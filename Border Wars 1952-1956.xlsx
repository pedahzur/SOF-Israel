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pedahzur/Dropbox/data_projects/sofs_book/data/"/>
    </mc:Choice>
  </mc:AlternateContent>
  <xr:revisionPtr revIDLastSave="0" documentId="8_{E9761F4F-B239-784A-8358-A16FB0574B0E}" xr6:coauthVersionLast="45" xr6:coauthVersionMax="45" xr10:uidLastSave="{00000000-0000-0000-0000-000000000000}"/>
  <bookViews>
    <workbookView xWindow="0" yWindow="460" windowWidth="51200" windowHeight="26800" activeTab="9" xr2:uid="{00000000-000D-0000-FFFF-FFFF00000000}"/>
  </bookViews>
  <sheets>
    <sheet name="Terrorism" sheetId="1" r:id="rId1"/>
    <sheet name="Atlas Carta" sheetId="2" r:id="rId2"/>
    <sheet name="Terrorism NSSC 48-63" sheetId="3" r:id="rId3"/>
    <sheet name="Geocoding" sheetId="4" state="hidden" r:id="rId4"/>
    <sheet name="Terrorism Combined" sheetId="5" r:id="rId5"/>
    <sheet name="Terrorism Combined Edited" sheetId="6" r:id="rId6"/>
    <sheet name="Terrorism and Reprisals Combine" sheetId="7" r:id="rId7"/>
    <sheet name="Reprisals Omer" sheetId="8" r:id="rId8"/>
    <sheet name="Reprisals Combined (Shivangi)" sheetId="9" r:id="rId9"/>
    <sheet name="Reprisals Paratroopers" sheetId="10" r:id="rId10"/>
    <sheet name="Geocoding (1)" sheetId="11" state="hidden" r:id="rId11"/>
    <sheet name="Copy of Reprisals Combined (Shi" sheetId="12" r:id="rId12"/>
  </sheets>
  <definedNames>
    <definedName name="_xlnm._FilterDatabase" localSheetId="11" hidden="1">'Copy of Reprisals Combined (Shi'!$A$1:$R$112</definedName>
    <definedName name="_xlnm._FilterDatabase" localSheetId="8" hidden="1">'Reprisals Combined (Shivangi)'!$A$1:$H$80</definedName>
    <definedName name="_xlnm._FilterDatabase" localSheetId="7" hidden="1">'Reprisals Omer'!$D$3:$D$69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378" i="3" l="1"/>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156" i="3"/>
  <c r="J155" i="3"/>
  <c r="J154" i="3"/>
  <c r="J153" i="3"/>
  <c r="J152" i="3"/>
  <c r="J151" i="3"/>
  <c r="J150" i="3"/>
  <c r="J149" i="3"/>
  <c r="J148" i="3"/>
  <c r="J147" i="3"/>
  <c r="J146" i="3"/>
  <c r="J145" i="3"/>
  <c r="J144" i="3"/>
  <c r="J143" i="3"/>
  <c r="J142" i="3"/>
  <c r="J141" i="3"/>
  <c r="J140" i="3"/>
  <c r="J139" i="3"/>
  <c r="J138" i="3"/>
  <c r="J137" i="3"/>
  <c r="J136" i="3"/>
  <c r="J135" i="3"/>
  <c r="J134" i="3"/>
  <c r="J133" i="3"/>
  <c r="J132" i="3"/>
  <c r="J131" i="3"/>
  <c r="J130" i="3"/>
  <c r="J129" i="3"/>
  <c r="J128" i="3"/>
  <c r="J127" i="3"/>
  <c r="J126" i="3"/>
  <c r="J125" i="3"/>
  <c r="J124"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63" i="3"/>
  <c r="J62" i="3"/>
  <c r="J61" i="3"/>
  <c r="J60" i="3"/>
  <c r="J59" i="3"/>
  <c r="J58" i="3"/>
  <c r="J57" i="3"/>
  <c r="J56" i="3"/>
  <c r="J55" i="3"/>
  <c r="J54" i="3"/>
  <c r="J53" i="3"/>
  <c r="J52" i="3"/>
  <c r="J51" i="3"/>
  <c r="J50" i="3"/>
  <c r="J49" i="3"/>
  <c r="J48" i="3"/>
  <c r="J47" i="3"/>
  <c r="J46" i="3"/>
  <c r="J45" i="3"/>
  <c r="J44" i="3"/>
  <c r="J43" i="3"/>
  <c r="J42" i="3"/>
  <c r="J41" i="3"/>
  <c r="J40" i="3"/>
  <c r="J39" i="3"/>
  <c r="J38" i="3"/>
  <c r="J37" i="3"/>
  <c r="J36" i="3"/>
  <c r="J35" i="3"/>
  <c r="J34" i="3"/>
  <c r="J33" i="3"/>
  <c r="J32" i="3"/>
  <c r="J31" i="3"/>
  <c r="J30" i="3"/>
  <c r="J29" i="3"/>
  <c r="J28" i="3"/>
  <c r="J27" i="3"/>
  <c r="J26" i="3"/>
  <c r="J25" i="3"/>
  <c r="J24" i="3"/>
  <c r="J23" i="3"/>
  <c r="J22" i="3"/>
  <c r="J21" i="3"/>
  <c r="J20" i="3"/>
  <c r="J19" i="3"/>
  <c r="J18" i="3"/>
  <c r="J17" i="3"/>
  <c r="J16" i="3"/>
  <c r="J15" i="3"/>
  <c r="J14" i="3"/>
  <c r="J13" i="3"/>
  <c r="J12" i="3"/>
  <c r="J11" i="3"/>
  <c r="J10" i="3"/>
  <c r="J9" i="3"/>
  <c r="J8" i="3"/>
  <c r="J7" i="3"/>
  <c r="J6" i="3"/>
  <c r="J5" i="3"/>
  <c r="J4" i="3"/>
  <c r="J3" i="3"/>
  <c r="J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S5" authorId="0" shapeId="0" xr:uid="{00000000-0006-0000-0200-000001000000}">
      <text>
        <r>
          <rPr>
            <sz val="10"/>
            <color rgb="FF000000"/>
            <rFont val="Arial"/>
          </rPr>
          <t xml:space="preserve">Geocode : 
We couldn't find any results for the given address. The GPS data was obtained by using the following address : 
undefined  </t>
        </r>
      </text>
    </comment>
    <comment ref="S14" authorId="0" shapeId="0" xr:uid="{00000000-0006-0000-0200-000002000000}">
      <text>
        <r>
          <rPr>
            <sz val="10"/>
            <color rgb="FF000000"/>
            <rFont val="Arial"/>
          </rPr>
          <t xml:space="preserve">Geocode : 
We couldn't find any results for the given address. The GPS data was obtained by using the following address : 
undefined  </t>
        </r>
      </text>
    </comment>
    <comment ref="S16" authorId="0" shapeId="0" xr:uid="{00000000-0006-0000-0200-000003000000}">
      <text>
        <r>
          <rPr>
            <sz val="10"/>
            <color rgb="FF000000"/>
            <rFont val="Arial"/>
          </rPr>
          <t xml:space="preserve">Geocode : 
We couldn't find any results for the given address. The GPS data was obtained by using the following address : 
undefined  </t>
        </r>
      </text>
    </comment>
    <comment ref="S18" authorId="0" shapeId="0" xr:uid="{00000000-0006-0000-0200-000004000000}">
      <text>
        <r>
          <rPr>
            <sz val="10"/>
            <color rgb="FF000000"/>
            <rFont val="Arial"/>
          </rPr>
          <t xml:space="preserve">Geocode : 
We couldn't find any results for the given address. The GPS data was obtained by using the following address : 
undefined  </t>
        </r>
      </text>
    </comment>
    <comment ref="S24" authorId="0" shapeId="0" xr:uid="{00000000-0006-0000-0200-000005000000}">
      <text>
        <r>
          <rPr>
            <sz val="10"/>
            <color rgb="FF000000"/>
            <rFont val="Arial"/>
          </rPr>
          <t xml:space="preserve">Geocode : 
We couldn't find any results for the given address. The GPS data was obtained by using the following address : 
Kissufim checkpoint </t>
        </r>
      </text>
    </comment>
    <comment ref="S29" authorId="0" shapeId="0" xr:uid="{00000000-0006-0000-0200-000006000000}">
      <text>
        <r>
          <rPr>
            <sz val="10"/>
            <color rgb="FF000000"/>
            <rFont val="Arial"/>
          </rPr>
          <t xml:space="preserve">Geocode : 
We couldn't find any results for the given address. The GPS data was obtained by using the following address : 
near Hebron </t>
        </r>
      </text>
    </comment>
    <comment ref="S31" authorId="0" shapeId="0" xr:uid="{00000000-0006-0000-0200-000007000000}">
      <text>
        <r>
          <rPr>
            <sz val="10"/>
            <color rgb="FF000000"/>
            <rFont val="Arial"/>
          </rPr>
          <t xml:space="preserve">Geocode : 
We couldn't find any results for the given address. The GPS data was obtained by using the following address : 
undefined  </t>
        </r>
      </text>
    </comment>
    <comment ref="S35" authorId="0" shapeId="0" xr:uid="{00000000-0006-0000-0200-000008000000}">
      <text>
        <r>
          <rPr>
            <sz val="10"/>
            <color rgb="FF000000"/>
            <rFont val="Arial"/>
          </rPr>
          <t xml:space="preserve">Geocode : 
We couldn't find any results for the given address. The GPS data was obtained by using the following address : 
undefined  </t>
        </r>
      </text>
    </comment>
    <comment ref="S36" authorId="0" shapeId="0" xr:uid="{00000000-0006-0000-0200-000009000000}">
      <text>
        <r>
          <rPr>
            <sz val="10"/>
            <color rgb="FF000000"/>
            <rFont val="Arial"/>
          </rPr>
          <t xml:space="preserve">Geocode : 
We couldn't find any results for the given address. The GPS data was obtained by using the following address : 
undefined  </t>
        </r>
      </text>
    </comment>
    <comment ref="S37" authorId="0" shapeId="0" xr:uid="{00000000-0006-0000-0200-00000A000000}">
      <text>
        <r>
          <rPr>
            <sz val="10"/>
            <color rgb="FF000000"/>
            <rFont val="Arial"/>
          </rPr>
          <t xml:space="preserve">Geocode : 
We couldn't find any results for the given address. The GPS data was obtained by using the following address : 
Daphne </t>
        </r>
      </text>
    </comment>
    <comment ref="S39" authorId="0" shapeId="0" xr:uid="{00000000-0006-0000-0200-00000B000000}">
      <text>
        <r>
          <rPr>
            <sz val="10"/>
            <color rgb="FF000000"/>
            <rFont val="Arial"/>
          </rPr>
          <t xml:space="preserve">Geocode : 
We couldn't find any results for the given address. The GPS data was obtained by using the following address : 
Rafah area </t>
        </r>
      </text>
    </comment>
    <comment ref="S42" authorId="0" shapeId="0" xr:uid="{00000000-0006-0000-0200-00000C000000}">
      <text>
        <r>
          <rPr>
            <sz val="10"/>
            <color rgb="FF000000"/>
            <rFont val="Arial"/>
          </rPr>
          <t xml:space="preserve">Geocode : 
We couldn't find any results for the given address. The GPS data was obtained by using the following address : 
and Nissan </t>
        </r>
      </text>
    </comment>
    <comment ref="S43" authorId="0" shapeId="0" xr:uid="{00000000-0006-0000-0200-00000D000000}">
      <text>
        <r>
          <rPr>
            <sz val="10"/>
            <color rgb="FF000000"/>
            <rFont val="Arial"/>
          </rPr>
          <t xml:space="preserve">Geocode : 
We couldn't find any results for the given address. The GPS data was obtained by using the following address : 
undefined  </t>
        </r>
      </text>
    </comment>
    <comment ref="S45" authorId="0" shapeId="0" xr:uid="{00000000-0006-0000-0200-00000E000000}">
      <text>
        <r>
          <rPr>
            <sz val="10"/>
            <color rgb="FF000000"/>
            <rFont val="Arial"/>
          </rPr>
          <t xml:space="preserve">Geocode : 
We couldn't find any results for the given address. The GPS data was obtained by using the following address : 
undefined  </t>
        </r>
      </text>
    </comment>
    <comment ref="S52" authorId="0" shapeId="0" xr:uid="{00000000-0006-0000-0200-00000F000000}">
      <text>
        <r>
          <rPr>
            <sz val="10"/>
            <color rgb="FF000000"/>
            <rFont val="Arial"/>
          </rPr>
          <t xml:space="preserve">Geocode : 
We couldn't find any results for the given address. The GPS data was obtained by using the following address : 
undefined  </t>
        </r>
      </text>
    </comment>
    <comment ref="S55" authorId="0" shapeId="0" xr:uid="{00000000-0006-0000-0200-000010000000}">
      <text>
        <r>
          <rPr>
            <sz val="10"/>
            <color rgb="FF000000"/>
            <rFont val="Arial"/>
          </rPr>
          <t xml:space="preserve">Geocode : 
We couldn't find any results for the given address. The GPS data was obtained by using the following address : 
Barry Isaac </t>
        </r>
      </text>
    </comment>
    <comment ref="S61" authorId="0" shapeId="0" xr:uid="{00000000-0006-0000-0200-000011000000}">
      <text>
        <r>
          <rPr>
            <sz val="10"/>
            <color rgb="FF000000"/>
            <rFont val="Arial"/>
          </rPr>
          <t xml:space="preserve">Geocode : 
We couldn't find any results for the given address. The GPS data was obtained by using the following address : 
undefined  </t>
        </r>
      </text>
    </comment>
    <comment ref="S68" authorId="0" shapeId="0" xr:uid="{00000000-0006-0000-0200-000012000000}">
      <text>
        <r>
          <rPr>
            <sz val="10"/>
            <color rgb="FF000000"/>
            <rFont val="Arial"/>
          </rPr>
          <t xml:space="preserve">Geocode : 
We couldn't find any results for the given address. The GPS data was obtained by using the following address : 
in southern Gaza Strip </t>
        </r>
      </text>
    </comment>
    <comment ref="S69" authorId="0" shapeId="0" xr:uid="{00000000-0006-0000-0200-000013000000}">
      <text>
        <r>
          <rPr>
            <sz val="10"/>
            <color rgb="FF000000"/>
            <rFont val="Arial"/>
          </rPr>
          <t xml:space="preserve">Geocode : 
We couldn't find any results for the given address. The GPS data was obtained by using the following address : 
undefined  </t>
        </r>
      </text>
    </comment>
    <comment ref="S72" authorId="0" shapeId="0" xr:uid="{00000000-0006-0000-0200-000014000000}">
      <text>
        <r>
          <rPr>
            <sz val="10"/>
            <color rgb="FF000000"/>
            <rFont val="Arial"/>
          </rPr>
          <t xml:space="preserve">Geocode : 
We couldn't find any results for the given address. The GPS data was obtained by using the following address : 
undefined  </t>
        </r>
      </text>
    </comment>
    <comment ref="S73" authorId="0" shapeId="0" xr:uid="{00000000-0006-0000-0200-000015000000}">
      <text>
        <r>
          <rPr>
            <sz val="10"/>
            <color rgb="FF000000"/>
            <rFont val="Arial"/>
          </rPr>
          <t xml:space="preserve">Geocode : 
We couldn't find any results for the given address. The GPS data was obtained by using the following address : 
undefined  </t>
        </r>
      </text>
    </comment>
    <comment ref="S74" authorId="0" shapeId="0" xr:uid="{00000000-0006-0000-0200-000016000000}">
      <text>
        <r>
          <rPr>
            <sz val="10"/>
            <color rgb="FF000000"/>
            <rFont val="Arial"/>
          </rPr>
          <t xml:space="preserve">Geocode : 
We couldn't find any results for the given address. The GPS data was obtained by using the following address : 
Hnobs </t>
        </r>
      </text>
    </comment>
    <comment ref="S80" authorId="0" shapeId="0" xr:uid="{00000000-0006-0000-0200-000017000000}">
      <text>
        <r>
          <rPr>
            <sz val="10"/>
            <color rgb="FF000000"/>
            <rFont val="Arial"/>
          </rPr>
          <t xml:space="preserve">Geocode : 
We couldn't find any results for the given address. The GPS data was obtained by using the following address : 
Hosob </t>
        </r>
      </text>
    </comment>
    <comment ref="S81" authorId="0" shapeId="0" xr:uid="{00000000-0006-0000-0200-000018000000}">
      <text>
        <r>
          <rPr>
            <sz val="10"/>
            <color rgb="FF000000"/>
            <rFont val="Arial"/>
          </rPr>
          <t xml:space="preserve">Geocode : 
We couldn't find any results for the given address. The GPS data was obtained by using the following address : 
undefined  </t>
        </r>
      </text>
    </comment>
    <comment ref="S85" authorId="0" shapeId="0" xr:uid="{00000000-0006-0000-0200-000019000000}">
      <text>
        <r>
          <rPr>
            <sz val="10"/>
            <color rgb="FF000000"/>
            <rFont val="Arial"/>
          </rPr>
          <t xml:space="preserve">Geocode : 
We couldn't find any results for the given address. The GPS data was obtained by using the following address : 
undefined  </t>
        </r>
      </text>
    </comment>
    <comment ref="S86" authorId="0" shapeId="0" xr:uid="{00000000-0006-0000-0200-00001A000000}">
      <text>
        <r>
          <rPr>
            <sz val="10"/>
            <color rgb="FF000000"/>
            <rFont val="Arial"/>
          </rPr>
          <t xml:space="preserve">Geocode : 
We couldn't find any results for the given address. The GPS data was obtained by using the following address : 
undefined  </t>
        </r>
      </text>
    </comment>
    <comment ref="S87" authorId="0" shapeId="0" xr:uid="{00000000-0006-0000-0200-00001B000000}">
      <text>
        <r>
          <rPr>
            <sz val="10"/>
            <color rgb="FF000000"/>
            <rFont val="Arial"/>
          </rPr>
          <t xml:space="preserve">Geocode : 
We couldn't find any results for the given address. The GPS data was obtained by using the following address : 
undefined  </t>
        </r>
      </text>
    </comment>
    <comment ref="S88" authorId="0" shapeId="0" xr:uid="{00000000-0006-0000-0200-00001C000000}">
      <text>
        <r>
          <rPr>
            <sz val="10"/>
            <color rgb="FF000000"/>
            <rFont val="Arial"/>
          </rPr>
          <t xml:space="preserve">Geocode : 
We couldn't find any results for the given address. The GPS data was obtained by using the following address : 
undefined  </t>
        </r>
      </text>
    </comment>
    <comment ref="S89" authorId="0" shapeId="0" xr:uid="{00000000-0006-0000-0200-00001D000000}">
      <text>
        <r>
          <rPr>
            <sz val="10"/>
            <color rgb="FF000000"/>
            <rFont val="Arial"/>
          </rPr>
          <t xml:space="preserve">Geocode : 
We couldn't find any results for the given address. The GPS data was obtained by using the following address : 
Junction </t>
        </r>
      </text>
    </comment>
    <comment ref="S90" authorId="0" shapeId="0" xr:uid="{00000000-0006-0000-0200-00001E000000}">
      <text>
        <r>
          <rPr>
            <sz val="10"/>
            <color rgb="FF000000"/>
            <rFont val="Arial"/>
          </rPr>
          <t xml:space="preserve">Geocode : 
We couldn't find any results for the given address. The GPS data was obtained by using the following address : 
undefined  </t>
        </r>
      </text>
    </comment>
    <comment ref="S91" authorId="0" shapeId="0" xr:uid="{00000000-0006-0000-0200-00001F000000}">
      <text>
        <r>
          <rPr>
            <sz val="10"/>
            <color rgb="FF000000"/>
            <rFont val="Arial"/>
          </rPr>
          <t xml:space="preserve">Geocode : 
We couldn't find any results for the given address. The GPS data was obtained by using the following address : 
in the Gaza Strip </t>
        </r>
      </text>
    </comment>
    <comment ref="S92" authorId="0" shapeId="0" xr:uid="{00000000-0006-0000-0200-000020000000}">
      <text>
        <r>
          <rPr>
            <sz val="10"/>
            <color rgb="FF000000"/>
            <rFont val="Arial"/>
          </rPr>
          <t xml:space="preserve">Geocode : 
We couldn't find any results for the given address. The GPS data was obtained by using the following address : 
undefined  </t>
        </r>
      </text>
    </comment>
    <comment ref="S93" authorId="0" shapeId="0" xr:uid="{00000000-0006-0000-0200-000021000000}">
      <text>
        <r>
          <rPr>
            <sz val="10"/>
            <color rgb="FF000000"/>
            <rFont val="Arial"/>
          </rPr>
          <t xml:space="preserve">Geocode : 
We couldn't find any results for the given address. The GPS data was obtained by using the following address : 
undefined  </t>
        </r>
      </text>
    </comment>
    <comment ref="S94" authorId="0" shapeId="0" xr:uid="{00000000-0006-0000-0200-000022000000}">
      <text>
        <r>
          <rPr>
            <sz val="10"/>
            <color rgb="FF000000"/>
            <rFont val="Arial"/>
          </rPr>
          <t xml:space="preserve">Geocode : 
We couldn't find any results for the given address. The GPS data was obtained by using the following address : 
undefined  </t>
        </r>
      </text>
    </comment>
    <comment ref="S95" authorId="0" shapeId="0" xr:uid="{00000000-0006-0000-0200-000023000000}">
      <text>
        <r>
          <rPr>
            <sz val="10"/>
            <color rgb="FF000000"/>
            <rFont val="Arial"/>
          </rPr>
          <t xml:space="preserve">Geocode : 
We couldn't find any results for the given address. The GPS data was obtained by using the following address : 
undefined  </t>
        </r>
      </text>
    </comment>
    <comment ref="S96" authorId="0" shapeId="0" xr:uid="{00000000-0006-0000-0200-000024000000}">
      <text>
        <r>
          <rPr>
            <sz val="10"/>
            <color rgb="FF000000"/>
            <rFont val="Arial"/>
          </rPr>
          <t xml:space="preserve">Geocode : 
We couldn't find any results for the given address. The GPS data was obtained by using the following address : 
undefined  </t>
        </r>
      </text>
    </comment>
    <comment ref="S97" authorId="0" shapeId="0" xr:uid="{00000000-0006-0000-0200-000025000000}">
      <text>
        <r>
          <rPr>
            <sz val="10"/>
            <color rgb="FF000000"/>
            <rFont val="Arial"/>
          </rPr>
          <t xml:space="preserve">Geocode : 
We couldn't find any results for the given address. The GPS data was obtained by using the following address : 
undefined  </t>
        </r>
      </text>
    </comment>
    <comment ref="S98" authorId="0" shapeId="0" xr:uid="{00000000-0006-0000-0200-000026000000}">
      <text>
        <r>
          <rPr>
            <sz val="10"/>
            <color rgb="FF000000"/>
            <rFont val="Arial"/>
          </rPr>
          <t xml:space="preserve">Geocode : 
We couldn't find any results for the given address. The GPS data was obtained by using the following address : 
undefined  </t>
        </r>
      </text>
    </comment>
    <comment ref="S99" authorId="0" shapeId="0" xr:uid="{00000000-0006-0000-0200-000027000000}">
      <text>
        <r>
          <rPr>
            <sz val="10"/>
            <color rgb="FF000000"/>
            <rFont val="Arial"/>
          </rPr>
          <t xml:space="preserve">Geocode : 
We couldn't find any results for the given address. The GPS data was obtained by using the following address : 
undefined  </t>
        </r>
      </text>
    </comment>
    <comment ref="S100" authorId="0" shapeId="0" xr:uid="{00000000-0006-0000-0200-000028000000}">
      <text>
        <r>
          <rPr>
            <sz val="10"/>
            <color rgb="FF000000"/>
            <rFont val="Arial"/>
          </rPr>
          <t xml:space="preserve">Geocode : 
We couldn't find any results for the given address. The GPS data was obtained by using the following address : 
snub </t>
        </r>
      </text>
    </comment>
    <comment ref="S101" authorId="0" shapeId="0" xr:uid="{00000000-0006-0000-0200-000029000000}">
      <text>
        <r>
          <rPr>
            <sz val="10"/>
            <color rgb="FF000000"/>
            <rFont val="Arial"/>
          </rPr>
          <t xml:space="preserve">Geocode : 
We couldn't find any results for the given address. The GPS data was obtained by using the following address : 
undefined  </t>
        </r>
      </text>
    </comment>
    <comment ref="S102" authorId="0" shapeId="0" xr:uid="{00000000-0006-0000-0200-00002A000000}">
      <text>
        <r>
          <rPr>
            <sz val="10"/>
            <color rgb="FF000000"/>
            <rFont val="Arial"/>
          </rPr>
          <t xml:space="preserve">Geocode : 
We couldn't find any results for the given address. The GPS data was obtained by using the following address : 
north of Migdal-Gad </t>
        </r>
      </text>
    </comment>
    <comment ref="S104" authorId="0" shapeId="0" xr:uid="{00000000-0006-0000-0200-00002B000000}">
      <text>
        <r>
          <rPr>
            <sz val="10"/>
            <color rgb="FF000000"/>
            <rFont val="Arial"/>
          </rPr>
          <t xml:space="preserve">Geocode : 
We couldn't find any results for the given address. The GPS data was obtained by using the following address : 
undefined  </t>
        </r>
      </text>
    </comment>
    <comment ref="S105" authorId="0" shapeId="0" xr:uid="{00000000-0006-0000-0200-00002C000000}">
      <text>
        <r>
          <rPr>
            <sz val="10"/>
            <color rgb="FF000000"/>
            <rFont val="Arial"/>
          </rPr>
          <t xml:space="preserve">Geocode : 
We couldn't find any results for the given address. The GPS data was obtained by using the following address : 
settlement </t>
        </r>
      </text>
    </comment>
    <comment ref="S108" authorId="0" shapeId="0" xr:uid="{00000000-0006-0000-0200-00002D000000}">
      <text>
        <r>
          <rPr>
            <sz val="10"/>
            <color rgb="FF000000"/>
            <rFont val="Arial"/>
          </rPr>
          <t xml:space="preserve">Geocode : 
We couldn't find any results for the given address. The GPS data was obtained by using the following address : 
undefined  </t>
        </r>
      </text>
    </comment>
    <comment ref="S111" authorId="0" shapeId="0" xr:uid="{00000000-0006-0000-0200-00002E000000}">
      <text>
        <r>
          <rPr>
            <sz val="10"/>
            <color rgb="FF000000"/>
            <rFont val="Arial"/>
          </rPr>
          <t>Geocode : 
Sorry, no results were found for this address. Please retry by reformulating it or looking for wider results.</t>
        </r>
      </text>
    </comment>
    <comment ref="S113" authorId="0" shapeId="0" xr:uid="{00000000-0006-0000-0200-00002F000000}">
      <text>
        <r>
          <rPr>
            <sz val="10"/>
            <color rgb="FF000000"/>
            <rFont val="Arial"/>
          </rPr>
          <t xml:space="preserve">Geocode : 
We couldn't find any results for the given address. The GPS data was obtained by using the following address : 
undefined  </t>
        </r>
      </text>
    </comment>
    <comment ref="S114" authorId="0" shapeId="0" xr:uid="{00000000-0006-0000-0200-000030000000}">
      <text>
        <r>
          <rPr>
            <sz val="10"/>
            <color rgb="FF000000"/>
            <rFont val="Arial"/>
          </rPr>
          <t>Geocode : 
Sorry, no results were found for this address. Please retry by reformulating it or looking for wider results.</t>
        </r>
      </text>
    </comment>
    <comment ref="S117" authorId="0" shapeId="0" xr:uid="{00000000-0006-0000-0200-000031000000}">
      <text>
        <r>
          <rPr>
            <sz val="10"/>
            <color rgb="FF000000"/>
            <rFont val="Arial"/>
          </rPr>
          <t xml:space="preserve">Geocode : 
We couldn't find any results for the given address. The GPS data was obtained by using the following address : 
undefined  </t>
        </r>
      </text>
    </comment>
    <comment ref="S118" authorId="0" shapeId="0" xr:uid="{00000000-0006-0000-0200-000032000000}">
      <text>
        <r>
          <rPr>
            <sz val="10"/>
            <color rgb="FF000000"/>
            <rFont val="Arial"/>
          </rPr>
          <t xml:space="preserve">Geocode : 
We couldn't find any results for the given address. The GPS data was obtained by using the following address : 
(Malcha) </t>
        </r>
      </text>
    </comment>
    <comment ref="S120" authorId="0" shapeId="0" xr:uid="{00000000-0006-0000-0200-000033000000}">
      <text>
        <r>
          <rPr>
            <sz val="10"/>
            <color rgb="FF000000"/>
            <rFont val="Arial"/>
          </rPr>
          <t xml:space="preserve">Geocode : 
We couldn't find any results for the given address. The GPS data was obtained by using the following address : 
Petah Tikva area </t>
        </r>
      </text>
    </comment>
    <comment ref="S122" authorId="0" shapeId="0" xr:uid="{00000000-0006-0000-0200-000034000000}">
      <text>
        <r>
          <rPr>
            <sz val="10"/>
            <color rgb="FF000000"/>
            <rFont val="Arial"/>
          </rPr>
          <t xml:space="preserve">Geocode : 
We couldn't find any results for the given address. The GPS data was obtained by using the following address : 
Deir Yassin </t>
        </r>
      </text>
    </comment>
    <comment ref="S129" authorId="0" shapeId="0" xr:uid="{00000000-0006-0000-0200-000035000000}">
      <text>
        <r>
          <rPr>
            <sz val="10"/>
            <color rgb="FF000000"/>
            <rFont val="Arial"/>
          </rPr>
          <t xml:space="preserve">Geocode : 
We couldn't find any results for the given address. The GPS data was obtained by using the following address : 
village, Ein Gev way </t>
        </r>
      </text>
    </comment>
    <comment ref="S130" authorId="0" shapeId="0" xr:uid="{00000000-0006-0000-0200-000036000000}">
      <text>
        <r>
          <rPr>
            <sz val="10"/>
            <color rgb="FF000000"/>
            <rFont val="Arial"/>
          </rPr>
          <t xml:space="preserve">Geocode : 
We couldn't find any results for the given address. The GPS data was obtained by using the following address : 
undefined  </t>
        </r>
      </text>
    </comment>
    <comment ref="S133" authorId="0" shapeId="0" xr:uid="{00000000-0006-0000-0200-000037000000}">
      <text>
        <r>
          <rPr>
            <sz val="10"/>
            <color rgb="FF000000"/>
            <rFont val="Arial"/>
          </rPr>
          <t xml:space="preserve">Geocode : 
We couldn't find any results for the given address. The GPS data was obtained by using the following address : 
undefined  </t>
        </r>
      </text>
    </comment>
    <comment ref="S134" authorId="0" shapeId="0" xr:uid="{00000000-0006-0000-0200-000038000000}">
      <text>
        <r>
          <rPr>
            <sz val="10"/>
            <color rgb="FF000000"/>
            <rFont val="Arial"/>
          </rPr>
          <t xml:space="preserve">Geocode : 
We couldn't find any results for the given address. The GPS data was obtained by using the following address : 
undefined  </t>
        </r>
      </text>
    </comment>
    <comment ref="S136" authorId="0" shapeId="0" xr:uid="{00000000-0006-0000-0200-000039000000}">
      <text>
        <r>
          <rPr>
            <sz val="10"/>
            <color rgb="FF000000"/>
            <rFont val="Arial"/>
          </rPr>
          <t xml:space="preserve">Geocode : 
We couldn't find any results for the given address. The GPS data was obtained by using the following address : 
undefined  </t>
        </r>
      </text>
    </comment>
    <comment ref="S140" authorId="0" shapeId="0" xr:uid="{00000000-0006-0000-0200-00003A000000}">
      <text>
        <r>
          <rPr>
            <sz val="10"/>
            <color rgb="FF000000"/>
            <rFont val="Arial"/>
          </rPr>
          <t xml:space="preserve">Geocode : 
We couldn't find any results for the given address. The GPS data was obtained by using the following address : 
undefined  </t>
        </r>
      </text>
    </comment>
    <comment ref="S141" authorId="0" shapeId="0" xr:uid="{00000000-0006-0000-0200-00003B000000}">
      <text>
        <r>
          <rPr>
            <sz val="10"/>
            <color rgb="FF000000"/>
            <rFont val="Arial"/>
          </rPr>
          <t>Geocode : 
Sorry, no results were found for this address. Please retry by reformulating it or looking for wider results.</t>
        </r>
      </text>
    </comment>
    <comment ref="S142" authorId="0" shapeId="0" xr:uid="{00000000-0006-0000-0200-00003C000000}">
      <text>
        <r>
          <rPr>
            <sz val="10"/>
            <color rgb="FF000000"/>
            <rFont val="Arial"/>
          </rPr>
          <t>Geocode : 
Sorry, no results were found for this address. Please retry by reformulating it or looking for wider results.</t>
        </r>
      </text>
    </comment>
    <comment ref="S143" authorId="0" shapeId="0" xr:uid="{00000000-0006-0000-0200-00003D000000}">
      <text>
        <r>
          <rPr>
            <sz val="10"/>
            <color rgb="FF000000"/>
            <rFont val="Arial"/>
          </rPr>
          <t>Geocode : 
Sorry, no results were found for this address. Please retry by reformulating it or looking for wider results.</t>
        </r>
      </text>
    </comment>
    <comment ref="S156" authorId="0" shapeId="0" xr:uid="{00000000-0006-0000-0200-00003E000000}">
      <text>
        <r>
          <rPr>
            <sz val="10"/>
            <color rgb="FF000000"/>
            <rFont val="Arial"/>
          </rPr>
          <t>Geocode : 
Sorry, no results were found for this address. Please retry by reformulating it or looking for wider results.</t>
        </r>
      </text>
    </comment>
    <comment ref="S158" authorId="0" shapeId="0" xr:uid="{00000000-0006-0000-0200-00003F000000}">
      <text>
        <r>
          <rPr>
            <sz val="10"/>
            <color rgb="FF000000"/>
            <rFont val="Arial"/>
          </rPr>
          <t>Geocode : 
Sorry, no results were found for this address. Please retry by reformulating it or looking for wider results.</t>
        </r>
      </text>
    </comment>
    <comment ref="S159" authorId="0" shapeId="0" xr:uid="{00000000-0006-0000-0200-000040000000}">
      <text>
        <r>
          <rPr>
            <sz val="10"/>
            <color rgb="FF000000"/>
            <rFont val="Arial"/>
          </rPr>
          <t>Geocode : 
Sorry, no results were found for this address. Please retry by reformulating it or looking for wider results.</t>
        </r>
      </text>
    </comment>
    <comment ref="S161" authorId="0" shapeId="0" xr:uid="{00000000-0006-0000-0200-000041000000}">
      <text>
        <r>
          <rPr>
            <sz val="10"/>
            <color rgb="FF000000"/>
            <rFont val="Arial"/>
          </rPr>
          <t>Geocode : 
Sorry, no results were found for this address. Please retry by reformulating it or looking for wider results.</t>
        </r>
      </text>
    </comment>
    <comment ref="S163" authorId="0" shapeId="0" xr:uid="{00000000-0006-0000-0200-000042000000}">
      <text>
        <r>
          <rPr>
            <sz val="10"/>
            <color rgb="FF000000"/>
            <rFont val="Arial"/>
          </rPr>
          <t>Geocode : 
Sorry, no results were found for this address. Please retry by reformulating it or looking for wider results.</t>
        </r>
      </text>
    </comment>
    <comment ref="S165" authorId="0" shapeId="0" xr:uid="{00000000-0006-0000-0200-000043000000}">
      <text>
        <r>
          <rPr>
            <sz val="10"/>
            <color rgb="FF000000"/>
            <rFont val="Arial"/>
          </rPr>
          <t>Geocode : 
Sorry, no results were found for this address. Please retry by reformulating it or looking for wider results.</t>
        </r>
      </text>
    </comment>
    <comment ref="S166" authorId="0" shapeId="0" xr:uid="{00000000-0006-0000-0200-000044000000}">
      <text>
        <r>
          <rPr>
            <sz val="10"/>
            <color rgb="FF000000"/>
            <rFont val="Arial"/>
          </rPr>
          <t>Geocode : 
Sorry, no results were found for this address. Please retry by reformulating it or looking for wider results.</t>
        </r>
      </text>
    </comment>
    <comment ref="S168" authorId="0" shapeId="0" xr:uid="{00000000-0006-0000-0200-000045000000}">
      <text>
        <r>
          <rPr>
            <sz val="10"/>
            <color rgb="FF000000"/>
            <rFont val="Arial"/>
          </rPr>
          <t>Geocode : 
Sorry, no results were found for this address. Please retry by reformulating it or looking for wider results.</t>
        </r>
      </text>
    </comment>
    <comment ref="S170" authorId="0" shapeId="0" xr:uid="{00000000-0006-0000-0200-000046000000}">
      <text>
        <r>
          <rPr>
            <sz val="10"/>
            <color rgb="FF000000"/>
            <rFont val="Arial"/>
          </rPr>
          <t>Geocode : 
Sorry, no results were found for this address. Please retry by reformulating it or looking for wider results.</t>
        </r>
      </text>
    </comment>
    <comment ref="S171" authorId="0" shapeId="0" xr:uid="{00000000-0006-0000-0200-000047000000}">
      <text>
        <r>
          <rPr>
            <sz val="10"/>
            <color rgb="FF000000"/>
            <rFont val="Arial"/>
          </rPr>
          <t>Geocode : 
Sorry, no results were found for this address. Please retry by reformulating it or looking for wider results.</t>
        </r>
      </text>
    </comment>
    <comment ref="S172" authorId="0" shapeId="0" xr:uid="{00000000-0006-0000-0200-000048000000}">
      <text>
        <r>
          <rPr>
            <sz val="10"/>
            <color rgb="FF000000"/>
            <rFont val="Arial"/>
          </rPr>
          <t>Geocode : 
Sorry, no results were found for this address. Please retry by reformulating it or looking for wider results.</t>
        </r>
      </text>
    </comment>
    <comment ref="S173" authorId="0" shapeId="0" xr:uid="{00000000-0006-0000-0200-000049000000}">
      <text>
        <r>
          <rPr>
            <sz val="10"/>
            <color rgb="FF000000"/>
            <rFont val="Arial"/>
          </rPr>
          <t>Geocode : 
Sorry, no results were found for this address. Please retry by reformulating it or looking for wider results.</t>
        </r>
      </text>
    </comment>
    <comment ref="S174" authorId="0" shapeId="0" xr:uid="{00000000-0006-0000-0200-00004A000000}">
      <text>
        <r>
          <rPr>
            <sz val="10"/>
            <color rgb="FF000000"/>
            <rFont val="Arial"/>
          </rPr>
          <t>Geocode : 
Sorry, no results were found for this address. Please retry by reformulating it or looking for wider results.</t>
        </r>
      </text>
    </comment>
    <comment ref="S175" authorId="0" shapeId="0" xr:uid="{00000000-0006-0000-0200-00004B000000}">
      <text>
        <r>
          <rPr>
            <sz val="10"/>
            <color rgb="FF000000"/>
            <rFont val="Arial"/>
          </rPr>
          <t>Geocode : 
Sorry, no results were found for this address. Please retry by reformulating it or looking for wider results.</t>
        </r>
      </text>
    </comment>
    <comment ref="S177" authorId="0" shapeId="0" xr:uid="{00000000-0006-0000-0200-00004C000000}">
      <text>
        <r>
          <rPr>
            <sz val="10"/>
            <color rgb="FF000000"/>
            <rFont val="Arial"/>
          </rPr>
          <t>Geocode : 
Sorry, no results were found for this address. Please retry by reformulating it or looking for wider results.</t>
        </r>
      </text>
    </comment>
    <comment ref="S178" authorId="0" shapeId="0" xr:uid="{00000000-0006-0000-0200-00004D000000}">
      <text>
        <r>
          <rPr>
            <sz val="10"/>
            <color rgb="FF000000"/>
            <rFont val="Arial"/>
          </rPr>
          <t>Geocode : 
Sorry, no results were found for this address. Please retry by reformulating it or looking for wider results.</t>
        </r>
      </text>
    </comment>
    <comment ref="S179" authorId="0" shapeId="0" xr:uid="{00000000-0006-0000-0200-00004E000000}">
      <text>
        <r>
          <rPr>
            <sz val="10"/>
            <color rgb="FF000000"/>
            <rFont val="Arial"/>
          </rPr>
          <t>Geocode : 
Sorry, no results were found for this address. Please retry by reformulating it or looking for wider results.</t>
        </r>
      </text>
    </comment>
    <comment ref="S182" authorId="0" shapeId="0" xr:uid="{00000000-0006-0000-0200-00004F000000}">
      <text>
        <r>
          <rPr>
            <sz val="10"/>
            <color rgb="FF000000"/>
            <rFont val="Arial"/>
          </rPr>
          <t>Geocode : 
Sorry, no results were found for this address. Please retry by reformulating it or looking for wider results.</t>
        </r>
      </text>
    </comment>
    <comment ref="S185" authorId="0" shapeId="0" xr:uid="{00000000-0006-0000-0200-000050000000}">
      <text>
        <r>
          <rPr>
            <sz val="10"/>
            <color rgb="FF000000"/>
            <rFont val="Arial"/>
          </rPr>
          <t>Geocode : 
Sorry, no results were found for this address. Please retry by reformulating it or looking for wider results.</t>
        </r>
      </text>
    </comment>
    <comment ref="S186" authorId="0" shapeId="0" xr:uid="{00000000-0006-0000-0200-000051000000}">
      <text>
        <r>
          <rPr>
            <sz val="10"/>
            <color rgb="FF000000"/>
            <rFont val="Arial"/>
          </rPr>
          <t>Geocode : 
Sorry, no results were found for this address. Please retry by reformulating it or looking for wider results.</t>
        </r>
      </text>
    </comment>
    <comment ref="S188" authorId="0" shapeId="0" xr:uid="{00000000-0006-0000-0200-000052000000}">
      <text>
        <r>
          <rPr>
            <sz val="10"/>
            <color rgb="FF000000"/>
            <rFont val="Arial"/>
          </rPr>
          <t>Geocode : 
Sorry, no results were found for this address. Please retry by reformulating it or looking for wider results.</t>
        </r>
      </text>
    </comment>
    <comment ref="S190" authorId="0" shapeId="0" xr:uid="{00000000-0006-0000-0200-000053000000}">
      <text>
        <r>
          <rPr>
            <sz val="10"/>
            <color rgb="FF000000"/>
            <rFont val="Arial"/>
          </rPr>
          <t>Geocode : 
Sorry, no results were found for this address. Please retry by reformulating it or looking for wider results.</t>
        </r>
      </text>
    </comment>
    <comment ref="S197" authorId="0" shapeId="0" xr:uid="{00000000-0006-0000-0200-000054000000}">
      <text>
        <r>
          <rPr>
            <sz val="10"/>
            <color rgb="FF000000"/>
            <rFont val="Arial"/>
          </rPr>
          <t>Geocode : 
Sorry, no results were found for this address. Please retry by reformulating it or looking for wider results.</t>
        </r>
      </text>
    </comment>
    <comment ref="S198" authorId="0" shapeId="0" xr:uid="{00000000-0006-0000-0200-000055000000}">
      <text>
        <r>
          <rPr>
            <sz val="10"/>
            <color rgb="FF000000"/>
            <rFont val="Arial"/>
          </rPr>
          <t>Geocode : 
Sorry, no results were found for this address. Please retry by reformulating it or looking for wider results.</t>
        </r>
      </text>
    </comment>
    <comment ref="S201" authorId="0" shapeId="0" xr:uid="{00000000-0006-0000-0200-000056000000}">
      <text>
        <r>
          <rPr>
            <sz val="10"/>
            <color rgb="FF000000"/>
            <rFont val="Arial"/>
          </rPr>
          <t>Geocode : 
Sorry, no results were found for this address. Please retry by reformulating it or looking for wider results.</t>
        </r>
      </text>
    </comment>
    <comment ref="S202" authorId="0" shapeId="0" xr:uid="{00000000-0006-0000-0200-000057000000}">
      <text>
        <r>
          <rPr>
            <sz val="10"/>
            <color rgb="FF000000"/>
            <rFont val="Arial"/>
          </rPr>
          <t>Geocode : 
Sorry, no results were found for this address. Please retry by reformulating it or looking for wider results.</t>
        </r>
      </text>
    </comment>
    <comment ref="S205" authorId="0" shapeId="0" xr:uid="{00000000-0006-0000-0200-000058000000}">
      <text>
        <r>
          <rPr>
            <sz val="10"/>
            <color rgb="FF000000"/>
            <rFont val="Arial"/>
          </rPr>
          <t>Geocode : 
Sorry, no results were found for this address. Please retry by reformulating it or looking for wider results.</t>
        </r>
      </text>
    </comment>
    <comment ref="S207" authorId="0" shapeId="0" xr:uid="{00000000-0006-0000-0200-000059000000}">
      <text>
        <r>
          <rPr>
            <sz val="10"/>
            <color rgb="FF000000"/>
            <rFont val="Arial"/>
          </rPr>
          <t>Geocode : 
Sorry, no results were found for this address. Please retry by reformulating it or looking for wider results.</t>
        </r>
      </text>
    </comment>
    <comment ref="S211" authorId="0" shapeId="0" xr:uid="{00000000-0006-0000-0200-00005A000000}">
      <text>
        <r>
          <rPr>
            <sz val="10"/>
            <color rgb="FF000000"/>
            <rFont val="Arial"/>
          </rPr>
          <t>Geocode : 
Sorry, no results were found for this address. Please retry by reformulating it or looking for wider results.</t>
        </r>
      </text>
    </comment>
    <comment ref="S212" authorId="0" shapeId="0" xr:uid="{00000000-0006-0000-0200-00005B000000}">
      <text>
        <r>
          <rPr>
            <sz val="10"/>
            <color rgb="FF000000"/>
            <rFont val="Arial"/>
          </rPr>
          <t>Geocode : 
Sorry, no results were found for this address. Please retry by reformulating it or looking for wider results.</t>
        </r>
      </text>
    </comment>
    <comment ref="S213" authorId="0" shapeId="0" xr:uid="{00000000-0006-0000-0200-00005C000000}">
      <text>
        <r>
          <rPr>
            <sz val="10"/>
            <color rgb="FF000000"/>
            <rFont val="Arial"/>
          </rPr>
          <t>Geocode : 
Sorry, no results were found for this address. Please retry by reformulating it or looking for wider results.</t>
        </r>
      </text>
    </comment>
    <comment ref="S214" authorId="0" shapeId="0" xr:uid="{00000000-0006-0000-0200-00005D000000}">
      <text>
        <r>
          <rPr>
            <sz val="10"/>
            <color rgb="FF000000"/>
            <rFont val="Arial"/>
          </rPr>
          <t>Geocode : 
Sorry, no results were found for this address. Please retry by reformulating it or looking for wider results.</t>
        </r>
      </text>
    </comment>
    <comment ref="S218" authorId="0" shapeId="0" xr:uid="{00000000-0006-0000-0200-00005E000000}">
      <text>
        <r>
          <rPr>
            <sz val="10"/>
            <color rgb="FF000000"/>
            <rFont val="Arial"/>
          </rPr>
          <t>Geocode : 
Sorry, no results were found for this address. Please retry by reformulating it or looking for wider results.</t>
        </r>
      </text>
    </comment>
    <comment ref="S219" authorId="0" shapeId="0" xr:uid="{00000000-0006-0000-0200-00005F000000}">
      <text>
        <r>
          <rPr>
            <sz val="10"/>
            <color rgb="FF000000"/>
            <rFont val="Arial"/>
          </rPr>
          <t>Geocode : 
Sorry, no results were found for this address. Please retry by reformulating it or looking for wider results.</t>
        </r>
      </text>
    </comment>
    <comment ref="S223" authorId="0" shapeId="0" xr:uid="{00000000-0006-0000-0200-000060000000}">
      <text>
        <r>
          <rPr>
            <sz val="10"/>
            <color rgb="FF000000"/>
            <rFont val="Arial"/>
          </rPr>
          <t>Geocode : 
Sorry, no results were found for this address. Please retry by reformulating it or looking for wider results.</t>
        </r>
      </text>
    </comment>
    <comment ref="S224" authorId="0" shapeId="0" xr:uid="{00000000-0006-0000-0200-000061000000}">
      <text>
        <r>
          <rPr>
            <sz val="10"/>
            <color rgb="FF000000"/>
            <rFont val="Arial"/>
          </rPr>
          <t>Geocode : 
Sorry, no results were found for this address. Please retry by reformulating it or looking for wider results.</t>
        </r>
      </text>
    </comment>
    <comment ref="S225" authorId="0" shapeId="0" xr:uid="{00000000-0006-0000-0200-000062000000}">
      <text>
        <r>
          <rPr>
            <sz val="10"/>
            <color rgb="FF000000"/>
            <rFont val="Arial"/>
          </rPr>
          <t>Geocode : 
Sorry, no results were found for this address. Please retry by reformulating it or looking for wider results.</t>
        </r>
      </text>
    </comment>
    <comment ref="S226" authorId="0" shapeId="0" xr:uid="{00000000-0006-0000-0200-000063000000}">
      <text>
        <r>
          <rPr>
            <sz val="10"/>
            <color rgb="FF000000"/>
            <rFont val="Arial"/>
          </rPr>
          <t>Geocode : 
Sorry, no results were found for this address. Please retry by reformulating it or looking for wider results.</t>
        </r>
      </text>
    </comment>
    <comment ref="S227" authorId="0" shapeId="0" xr:uid="{00000000-0006-0000-0200-000064000000}">
      <text>
        <r>
          <rPr>
            <sz val="10"/>
            <color rgb="FF000000"/>
            <rFont val="Arial"/>
          </rPr>
          <t>Geocode : 
Sorry, no results were found for this address. Please retry by reformulating it or looking for wider results.</t>
        </r>
      </text>
    </comment>
    <comment ref="S228" authorId="0" shapeId="0" xr:uid="{00000000-0006-0000-0200-000065000000}">
      <text>
        <r>
          <rPr>
            <sz val="10"/>
            <color rgb="FF000000"/>
            <rFont val="Arial"/>
          </rPr>
          <t>Geocode : 
Sorry, no results were found for this address. Please retry by reformulating it or looking for wider results.</t>
        </r>
      </text>
    </comment>
    <comment ref="S230" authorId="0" shapeId="0" xr:uid="{00000000-0006-0000-0200-000066000000}">
      <text>
        <r>
          <rPr>
            <sz val="10"/>
            <color rgb="FF000000"/>
            <rFont val="Arial"/>
          </rPr>
          <t>Geocode : 
Sorry, no results were found for this address. Please retry by reformulating it or looking for wider results.</t>
        </r>
      </text>
    </comment>
    <comment ref="S231" authorId="0" shapeId="0" xr:uid="{00000000-0006-0000-0200-000067000000}">
      <text>
        <r>
          <rPr>
            <sz val="10"/>
            <color rgb="FF000000"/>
            <rFont val="Arial"/>
          </rPr>
          <t>Geocode : 
Sorry, no results were found for this address. Please retry by reformulating it or looking for wider results.</t>
        </r>
      </text>
    </comment>
    <comment ref="S235" authorId="0" shapeId="0" xr:uid="{00000000-0006-0000-0200-000068000000}">
      <text>
        <r>
          <rPr>
            <sz val="10"/>
            <color rgb="FF000000"/>
            <rFont val="Arial"/>
          </rPr>
          <t>Geocode : 
Sorry, no results were found for this address. Please retry by reformulating it or looking for wider results.</t>
        </r>
      </text>
    </comment>
    <comment ref="S236" authorId="0" shapeId="0" xr:uid="{00000000-0006-0000-0200-000069000000}">
      <text>
        <r>
          <rPr>
            <sz val="10"/>
            <color rgb="FF000000"/>
            <rFont val="Arial"/>
          </rPr>
          <t>Geocode : 
Sorry, no results were found for this address. Please retry by reformulating it or looking for wider results.</t>
        </r>
      </text>
    </comment>
    <comment ref="S238" authorId="0" shapeId="0" xr:uid="{00000000-0006-0000-0200-00006A000000}">
      <text>
        <r>
          <rPr>
            <sz val="10"/>
            <color rgb="FF000000"/>
            <rFont val="Arial"/>
          </rPr>
          <t>Geocode : 
Sorry, no results were found for this address. Please retry by reformulating it or looking for wider results.</t>
        </r>
      </text>
    </comment>
    <comment ref="S239" authorId="0" shapeId="0" xr:uid="{00000000-0006-0000-0200-00006B000000}">
      <text>
        <r>
          <rPr>
            <sz val="10"/>
            <color rgb="FF000000"/>
            <rFont val="Arial"/>
          </rPr>
          <t>Geocode : 
Sorry, no results were found for this address. Please retry by reformulating it or looking for wider results.</t>
        </r>
      </text>
    </comment>
    <comment ref="S241" authorId="0" shapeId="0" xr:uid="{00000000-0006-0000-0200-00006C000000}">
      <text>
        <r>
          <rPr>
            <sz val="10"/>
            <color rgb="FF000000"/>
            <rFont val="Arial"/>
          </rPr>
          <t>Geocode : 
Sorry, no results were found for this address. Please retry by reformulating it or looking for wider results.</t>
        </r>
      </text>
    </comment>
    <comment ref="S242" authorId="0" shapeId="0" xr:uid="{00000000-0006-0000-0200-00006D000000}">
      <text>
        <r>
          <rPr>
            <sz val="10"/>
            <color rgb="FF000000"/>
            <rFont val="Arial"/>
          </rPr>
          <t>Geocode : 
Sorry, no results were found for this address. Please retry by reformulating it or looking for wider results.</t>
        </r>
      </text>
    </comment>
    <comment ref="S244" authorId="0" shapeId="0" xr:uid="{00000000-0006-0000-0200-00006E000000}">
      <text>
        <r>
          <rPr>
            <sz val="10"/>
            <color rgb="FF000000"/>
            <rFont val="Arial"/>
          </rPr>
          <t>Geocode : 
Sorry, no results were found for this address. Please retry by reformulating it or looking for wider results.</t>
        </r>
      </text>
    </comment>
    <comment ref="S245" authorId="0" shapeId="0" xr:uid="{00000000-0006-0000-0200-00006F000000}">
      <text>
        <r>
          <rPr>
            <sz val="10"/>
            <color rgb="FF000000"/>
            <rFont val="Arial"/>
          </rPr>
          <t>Geocode : 
Sorry, no results were found for this address. Please retry by reformulating it or looking for wider results.</t>
        </r>
      </text>
    </comment>
    <comment ref="S248" authorId="0" shapeId="0" xr:uid="{00000000-0006-0000-0200-000070000000}">
      <text>
        <r>
          <rPr>
            <sz val="10"/>
            <color rgb="FF000000"/>
            <rFont val="Arial"/>
          </rPr>
          <t>Geocode : 
Sorry, no results were found for this address. Please retry by reformulating it or looking for wider results.</t>
        </r>
      </text>
    </comment>
    <comment ref="S252" authorId="0" shapeId="0" xr:uid="{00000000-0006-0000-0200-000071000000}">
      <text>
        <r>
          <rPr>
            <sz val="10"/>
            <color rgb="FF000000"/>
            <rFont val="Arial"/>
          </rPr>
          <t>Geocode : 
Sorry, no results were found for this address. Please retry by reformulating it or looking for wider results.</t>
        </r>
      </text>
    </comment>
    <comment ref="S253" authorId="0" shapeId="0" xr:uid="{00000000-0006-0000-0200-000072000000}">
      <text>
        <r>
          <rPr>
            <sz val="10"/>
            <color rgb="FF000000"/>
            <rFont val="Arial"/>
          </rPr>
          <t>Geocode : 
Sorry, no results were found for this address. Please retry by reformulating it or looking for wider results.</t>
        </r>
      </text>
    </comment>
    <comment ref="S255" authorId="0" shapeId="0" xr:uid="{00000000-0006-0000-0200-000073000000}">
      <text>
        <r>
          <rPr>
            <sz val="10"/>
            <color rgb="FF000000"/>
            <rFont val="Arial"/>
          </rPr>
          <t>Geocode : 
Sorry, no results were found for this address. Please retry by reformulating it or looking for wider results.</t>
        </r>
      </text>
    </comment>
    <comment ref="S257" authorId="0" shapeId="0" xr:uid="{00000000-0006-0000-0200-000074000000}">
      <text>
        <r>
          <rPr>
            <sz val="10"/>
            <color rgb="FF000000"/>
            <rFont val="Arial"/>
          </rPr>
          <t>Geocode : 
Sorry, no results were found for this address. Please retry by reformulating it or looking for wider results.</t>
        </r>
      </text>
    </comment>
    <comment ref="S259" authorId="0" shapeId="0" xr:uid="{00000000-0006-0000-0200-000075000000}">
      <text>
        <r>
          <rPr>
            <sz val="10"/>
            <color rgb="FF000000"/>
            <rFont val="Arial"/>
          </rPr>
          <t>Geocode : 
Sorry, no results were found for this address. Please retry by reformulating it or looking for wider results.</t>
        </r>
      </text>
    </comment>
    <comment ref="S260" authorId="0" shapeId="0" xr:uid="{00000000-0006-0000-0200-000076000000}">
      <text>
        <r>
          <rPr>
            <sz val="10"/>
            <color rgb="FF000000"/>
            <rFont val="Arial"/>
          </rPr>
          <t>Geocode : 
Sorry, no results were found for this address. Please retry by reformulating it or looking for wider results.</t>
        </r>
      </text>
    </comment>
    <comment ref="S262" authorId="0" shapeId="0" xr:uid="{00000000-0006-0000-0200-000077000000}">
      <text>
        <r>
          <rPr>
            <sz val="10"/>
            <color rgb="FF000000"/>
            <rFont val="Arial"/>
          </rPr>
          <t>Geocode : 
Sorry, no results were found for this address. Please retry by reformulating it or looking for wider results.</t>
        </r>
      </text>
    </comment>
    <comment ref="S264" authorId="0" shapeId="0" xr:uid="{00000000-0006-0000-0200-000078000000}">
      <text>
        <r>
          <rPr>
            <sz val="10"/>
            <color rgb="FF000000"/>
            <rFont val="Arial"/>
          </rPr>
          <t>Geocode : 
Sorry, no results were found for this address. Please retry by reformulating it or looking for wider results.</t>
        </r>
      </text>
    </comment>
    <comment ref="S265" authorId="0" shapeId="0" xr:uid="{00000000-0006-0000-0200-000079000000}">
      <text>
        <r>
          <rPr>
            <sz val="10"/>
            <color rgb="FF000000"/>
            <rFont val="Arial"/>
          </rPr>
          <t>Geocode : 
Sorry, no results were found for this address. Please retry by reformulating it or looking for wider results.</t>
        </r>
      </text>
    </comment>
    <comment ref="S269" authorId="0" shapeId="0" xr:uid="{00000000-0006-0000-0200-00007A000000}">
      <text>
        <r>
          <rPr>
            <sz val="10"/>
            <color rgb="FF000000"/>
            <rFont val="Arial"/>
          </rPr>
          <t>Geocode : 
Sorry, no results were found for this address. Please retry by reformulating it or looking for wider results.</t>
        </r>
      </text>
    </comment>
    <comment ref="S270" authorId="0" shapeId="0" xr:uid="{00000000-0006-0000-0200-00007B000000}">
      <text>
        <r>
          <rPr>
            <sz val="10"/>
            <color rgb="FF000000"/>
            <rFont val="Arial"/>
          </rPr>
          <t>Geocode : 
Sorry, no results were found for this address. Please retry by reformulating it or looking for wider results.</t>
        </r>
      </text>
    </comment>
    <comment ref="S274" authorId="0" shapeId="0" xr:uid="{00000000-0006-0000-0200-00007C000000}">
      <text>
        <r>
          <rPr>
            <sz val="10"/>
            <color rgb="FF000000"/>
            <rFont val="Arial"/>
          </rPr>
          <t>Geocode : 
Sorry, no results were found for this address. Please retry by reformulating it or looking for wider results.</t>
        </r>
      </text>
    </comment>
    <comment ref="S277" authorId="0" shapeId="0" xr:uid="{00000000-0006-0000-0200-00007D000000}">
      <text>
        <r>
          <rPr>
            <sz val="10"/>
            <color rgb="FF000000"/>
            <rFont val="Arial"/>
          </rPr>
          <t>Geocode : 
Sorry, no results were found for this address. Please retry by reformulating it or looking for wider results.</t>
        </r>
      </text>
    </comment>
    <comment ref="S279" authorId="0" shapeId="0" xr:uid="{00000000-0006-0000-0200-00007E000000}">
      <text>
        <r>
          <rPr>
            <sz val="10"/>
            <color rgb="FF000000"/>
            <rFont val="Arial"/>
          </rPr>
          <t>Geocode : 
Sorry, no results were found for this address. Please retry by reformulating it or looking for wider results.</t>
        </r>
      </text>
    </comment>
    <comment ref="S282" authorId="0" shapeId="0" xr:uid="{00000000-0006-0000-0200-00007F000000}">
      <text>
        <r>
          <rPr>
            <sz val="10"/>
            <color rgb="FF000000"/>
            <rFont val="Arial"/>
          </rPr>
          <t>Geocode : 
Sorry, no results were found for this address. Please retry by reformulating it or looking for wider results.</t>
        </r>
      </text>
    </comment>
    <comment ref="S286" authorId="0" shapeId="0" xr:uid="{00000000-0006-0000-0200-000080000000}">
      <text>
        <r>
          <rPr>
            <sz val="10"/>
            <color rgb="FF000000"/>
            <rFont val="Arial"/>
          </rPr>
          <t>Geocode : 
Sorry, no results were found for this address. Please retry by reformulating it or looking for wider results.</t>
        </r>
      </text>
    </comment>
    <comment ref="S287" authorId="0" shapeId="0" xr:uid="{00000000-0006-0000-0200-000081000000}">
      <text>
        <r>
          <rPr>
            <sz val="10"/>
            <color rgb="FF000000"/>
            <rFont val="Arial"/>
          </rPr>
          <t>Geocode : 
Sorry, no results were found for this address. Please retry by reformulating it or looking for wider results.</t>
        </r>
      </text>
    </comment>
    <comment ref="S293" authorId="0" shapeId="0" xr:uid="{00000000-0006-0000-0200-000082000000}">
      <text>
        <r>
          <rPr>
            <sz val="10"/>
            <color rgb="FF000000"/>
            <rFont val="Arial"/>
          </rPr>
          <t>Geocode : 
Sorry, no results were found for this address. Please retry by reformulating it or looking for wider results.</t>
        </r>
      </text>
    </comment>
    <comment ref="S295" authorId="0" shapeId="0" xr:uid="{00000000-0006-0000-0200-000083000000}">
      <text>
        <r>
          <rPr>
            <sz val="10"/>
            <color rgb="FF000000"/>
            <rFont val="Arial"/>
          </rPr>
          <t>Geocode : 
Sorry, no results were found for this address. Please retry by reformulating it or looking for wider results.</t>
        </r>
      </text>
    </comment>
    <comment ref="S296" authorId="0" shapeId="0" xr:uid="{00000000-0006-0000-0200-000084000000}">
      <text>
        <r>
          <rPr>
            <sz val="10"/>
            <color rgb="FF000000"/>
            <rFont val="Arial"/>
          </rPr>
          <t>Geocode : 
Sorry, no results were found for this address. Please retry by reformulating it or looking for wider results.</t>
        </r>
      </text>
    </comment>
    <comment ref="S297" authorId="0" shapeId="0" xr:uid="{00000000-0006-0000-0200-000085000000}">
      <text>
        <r>
          <rPr>
            <sz val="10"/>
            <color rgb="FF000000"/>
            <rFont val="Arial"/>
          </rPr>
          <t>Geocode : 
Sorry, no results were found for this address. Please retry by reformulating it or looking for wider results.</t>
        </r>
      </text>
    </comment>
    <comment ref="S299" authorId="0" shapeId="0" xr:uid="{00000000-0006-0000-0200-000086000000}">
      <text>
        <r>
          <rPr>
            <sz val="10"/>
            <color rgb="FF000000"/>
            <rFont val="Arial"/>
          </rPr>
          <t>Geocode : 
Sorry, no results were found for this address. Please retry by reformulating it or looking for wider results.</t>
        </r>
      </text>
    </comment>
    <comment ref="S300" authorId="0" shapeId="0" xr:uid="{00000000-0006-0000-0200-000087000000}">
      <text>
        <r>
          <rPr>
            <sz val="10"/>
            <color rgb="FF000000"/>
            <rFont val="Arial"/>
          </rPr>
          <t>Geocode : 
Sorry, no results were found for this address. Please retry by reformulating it or looking for wider results.</t>
        </r>
      </text>
    </comment>
    <comment ref="S303" authorId="0" shapeId="0" xr:uid="{00000000-0006-0000-0200-000088000000}">
      <text>
        <r>
          <rPr>
            <sz val="10"/>
            <color rgb="FF000000"/>
            <rFont val="Arial"/>
          </rPr>
          <t>Geocode : 
Sorry, no results were found for this address. Please retry by reformulating it or looking for wider results.</t>
        </r>
      </text>
    </comment>
    <comment ref="S306" authorId="0" shapeId="0" xr:uid="{00000000-0006-0000-0200-000089000000}">
      <text>
        <r>
          <rPr>
            <sz val="10"/>
            <color rgb="FF000000"/>
            <rFont val="Arial"/>
          </rPr>
          <t>Geocode : 
Sorry, no results were found for this address. Please retry by reformulating it or looking for wider results.</t>
        </r>
      </text>
    </comment>
    <comment ref="S307" authorId="0" shapeId="0" xr:uid="{00000000-0006-0000-0200-00008A000000}">
      <text>
        <r>
          <rPr>
            <sz val="10"/>
            <color rgb="FF000000"/>
            <rFont val="Arial"/>
          </rPr>
          <t>Geocode : 
Sorry, no results were found for this address. Please retry by reformulating it or looking for wider results.</t>
        </r>
      </text>
    </comment>
    <comment ref="S309" authorId="0" shapeId="0" xr:uid="{00000000-0006-0000-0200-00008B000000}">
      <text>
        <r>
          <rPr>
            <sz val="10"/>
            <color rgb="FF000000"/>
            <rFont val="Arial"/>
          </rPr>
          <t>Geocode : 
Sorry, no results were found for this address. Please retry by reformulating it or looking for wider results.</t>
        </r>
      </text>
    </comment>
    <comment ref="S311" authorId="0" shapeId="0" xr:uid="{00000000-0006-0000-0200-00008C000000}">
      <text>
        <r>
          <rPr>
            <sz val="10"/>
            <color rgb="FF000000"/>
            <rFont val="Arial"/>
          </rPr>
          <t>Geocode : 
Sorry, no results were found for this address. Please retry by reformulating it or looking for wider results.</t>
        </r>
      </text>
    </comment>
    <comment ref="S314" authorId="0" shapeId="0" xr:uid="{00000000-0006-0000-0200-00008D000000}">
      <text>
        <r>
          <rPr>
            <sz val="10"/>
            <color rgb="FF000000"/>
            <rFont val="Arial"/>
          </rPr>
          <t>Geocode : 
Sorry, no results were found for this address. Please retry by reformulating it or looking for wider results.</t>
        </r>
      </text>
    </comment>
    <comment ref="S317" authorId="0" shapeId="0" xr:uid="{00000000-0006-0000-0200-00008E000000}">
      <text>
        <r>
          <rPr>
            <sz val="10"/>
            <color rgb="FF000000"/>
            <rFont val="Arial"/>
          </rPr>
          <t>Geocode : 
Sorry, no results were found for this address. Please retry by reformulating it or looking for wider results.</t>
        </r>
      </text>
    </comment>
    <comment ref="S318" authorId="0" shapeId="0" xr:uid="{00000000-0006-0000-0200-00008F000000}">
      <text>
        <r>
          <rPr>
            <sz val="10"/>
            <color rgb="FF000000"/>
            <rFont val="Arial"/>
          </rPr>
          <t>Geocode : 
Sorry, no results were found for this address. Please retry by reformulating it or looking for wider results.</t>
        </r>
      </text>
    </comment>
    <comment ref="S319" authorId="0" shapeId="0" xr:uid="{00000000-0006-0000-0200-000090000000}">
      <text>
        <r>
          <rPr>
            <sz val="10"/>
            <color rgb="FF000000"/>
            <rFont val="Arial"/>
          </rPr>
          <t>Geocode : 
Sorry, no results were found for this address. Please retry by reformulating it or looking for wider results.</t>
        </r>
      </text>
    </comment>
    <comment ref="S320" authorId="0" shapeId="0" xr:uid="{00000000-0006-0000-0200-000091000000}">
      <text>
        <r>
          <rPr>
            <sz val="10"/>
            <color rgb="FF000000"/>
            <rFont val="Arial"/>
          </rPr>
          <t>Geocode : 
Sorry, no results were found for this address. Please retry by reformulating it or looking for wider results.</t>
        </r>
      </text>
    </comment>
    <comment ref="S322" authorId="0" shapeId="0" xr:uid="{00000000-0006-0000-0200-000092000000}">
      <text>
        <r>
          <rPr>
            <sz val="10"/>
            <color rgb="FF000000"/>
            <rFont val="Arial"/>
          </rPr>
          <t>Geocode : 
Sorry, no results were found for this address. Please retry by reformulating it or looking for wider results.</t>
        </r>
      </text>
    </comment>
    <comment ref="S324" authorId="0" shapeId="0" xr:uid="{00000000-0006-0000-0200-000093000000}">
      <text>
        <r>
          <rPr>
            <sz val="10"/>
            <color rgb="FF000000"/>
            <rFont val="Arial"/>
          </rPr>
          <t>Geocode : 
Sorry, no results were found for this address. Please retry by reformulating it or looking for wider results.</t>
        </r>
      </text>
    </comment>
    <comment ref="S327" authorId="0" shapeId="0" xr:uid="{00000000-0006-0000-0200-000094000000}">
      <text>
        <r>
          <rPr>
            <sz val="10"/>
            <color rgb="FF000000"/>
            <rFont val="Arial"/>
          </rPr>
          <t>Geocode : 
Sorry, no results were found for this address. Please retry by reformulating it or looking for wider results.</t>
        </r>
      </text>
    </comment>
    <comment ref="S332" authorId="0" shapeId="0" xr:uid="{00000000-0006-0000-0200-000095000000}">
      <text>
        <r>
          <rPr>
            <sz val="10"/>
            <color rgb="FF000000"/>
            <rFont val="Arial"/>
          </rPr>
          <t>Geocode : 
Sorry, no results were found for this address. Please retry by reformulating it or looking for wider results.</t>
        </r>
      </text>
    </comment>
    <comment ref="S334" authorId="0" shapeId="0" xr:uid="{00000000-0006-0000-0200-000096000000}">
      <text>
        <r>
          <rPr>
            <sz val="10"/>
            <color rgb="FF000000"/>
            <rFont val="Arial"/>
          </rPr>
          <t>Geocode : 
Sorry, no results were found for this address. Please retry by reformulating it or looking for wider results.</t>
        </r>
      </text>
    </comment>
    <comment ref="S337" authorId="0" shapeId="0" xr:uid="{00000000-0006-0000-0200-000097000000}">
      <text>
        <r>
          <rPr>
            <sz val="10"/>
            <color rgb="FF000000"/>
            <rFont val="Arial"/>
          </rPr>
          <t>Geocode : 
Sorry, no results were found for this address. Please retry by reformulating it or looking for wider results.</t>
        </r>
      </text>
    </comment>
    <comment ref="S338" authorId="0" shapeId="0" xr:uid="{00000000-0006-0000-0200-000098000000}">
      <text>
        <r>
          <rPr>
            <sz val="10"/>
            <color rgb="FF000000"/>
            <rFont val="Arial"/>
          </rPr>
          <t>Geocode : 
Sorry, no results were found for this address. Please retry by reformulating it or looking for wider results.</t>
        </r>
      </text>
    </comment>
    <comment ref="S339" authorId="0" shapeId="0" xr:uid="{00000000-0006-0000-0200-000099000000}">
      <text>
        <r>
          <rPr>
            <sz val="10"/>
            <color rgb="FF000000"/>
            <rFont val="Arial"/>
          </rPr>
          <t>Geocode : 
Sorry, no results were found for this address. Please retry by reformulating it or looking for wider results.</t>
        </r>
      </text>
    </comment>
    <comment ref="S343" authorId="0" shapeId="0" xr:uid="{00000000-0006-0000-0200-00009A000000}">
      <text>
        <r>
          <rPr>
            <sz val="10"/>
            <color rgb="FF000000"/>
            <rFont val="Arial"/>
          </rPr>
          <t>Geocode : 
Sorry, no results were found for this address. Please retry by reformulating it or looking for wider results.</t>
        </r>
      </text>
    </comment>
    <comment ref="S345" authorId="0" shapeId="0" xr:uid="{00000000-0006-0000-0200-00009B000000}">
      <text>
        <r>
          <rPr>
            <sz val="10"/>
            <color rgb="FF000000"/>
            <rFont val="Arial"/>
          </rPr>
          <t>Geocode : 
Sorry, no results were found for this address. Please retry by reformulating it or looking for wider results.</t>
        </r>
      </text>
    </comment>
    <comment ref="S350" authorId="0" shapeId="0" xr:uid="{00000000-0006-0000-0200-00009C000000}">
      <text>
        <r>
          <rPr>
            <sz val="10"/>
            <color rgb="FF000000"/>
            <rFont val="Arial"/>
          </rPr>
          <t>Geocode : 
Sorry, no results were found for this address. Please retry by reformulating it or looking for wider results.</t>
        </r>
      </text>
    </comment>
    <comment ref="S351" authorId="0" shapeId="0" xr:uid="{00000000-0006-0000-0200-00009D000000}">
      <text>
        <r>
          <rPr>
            <sz val="10"/>
            <color rgb="FF000000"/>
            <rFont val="Arial"/>
          </rPr>
          <t>Geocode : 
Sorry, no results were found for this address. Please retry by reformulating it or looking for wider results.</t>
        </r>
      </text>
    </comment>
    <comment ref="S352" authorId="0" shapeId="0" xr:uid="{00000000-0006-0000-0200-00009E000000}">
      <text>
        <r>
          <rPr>
            <sz val="10"/>
            <color rgb="FF000000"/>
            <rFont val="Arial"/>
          </rPr>
          <t>Geocode : 
Sorry, no results were found for this address. Please retry by reformulating it or looking for wider results.</t>
        </r>
      </text>
    </comment>
    <comment ref="S354" authorId="0" shapeId="0" xr:uid="{00000000-0006-0000-0200-00009F000000}">
      <text>
        <r>
          <rPr>
            <sz val="10"/>
            <color rgb="FF000000"/>
            <rFont val="Arial"/>
          </rPr>
          <t>Geocode : 
Sorry, no results were found for this address. Please retry by reformulating it or looking for wider results.</t>
        </r>
      </text>
    </comment>
    <comment ref="S356" authorId="0" shapeId="0" xr:uid="{00000000-0006-0000-0200-0000A0000000}">
      <text>
        <r>
          <rPr>
            <sz val="10"/>
            <color rgb="FF000000"/>
            <rFont val="Arial"/>
          </rPr>
          <t>Geocode : 
Sorry, no results were found for this address. Please retry by reformulating it or looking for wider results.</t>
        </r>
      </text>
    </comment>
    <comment ref="S358" authorId="0" shapeId="0" xr:uid="{00000000-0006-0000-0200-0000A1000000}">
      <text>
        <r>
          <rPr>
            <sz val="10"/>
            <color rgb="FF000000"/>
            <rFont val="Arial"/>
          </rPr>
          <t>Geocode : 
Sorry, no results were found for this address. Please retry by reformulating it or looking for wider results.</t>
        </r>
      </text>
    </comment>
    <comment ref="S361" authorId="0" shapeId="0" xr:uid="{00000000-0006-0000-0200-0000A2000000}">
      <text>
        <r>
          <rPr>
            <sz val="10"/>
            <color rgb="FF000000"/>
            <rFont val="Arial"/>
          </rPr>
          <t>Geocode : 
Sorry, no results were found for this address. Please retry by reformulating it or looking for wider results.</t>
        </r>
      </text>
    </comment>
    <comment ref="S362" authorId="0" shapeId="0" xr:uid="{00000000-0006-0000-0200-0000A3000000}">
      <text>
        <r>
          <rPr>
            <sz val="10"/>
            <color rgb="FF000000"/>
            <rFont val="Arial"/>
          </rPr>
          <t>Geocode : 
Sorry, no results were found for this address. Please retry by reformulating it or looking for wider results.</t>
        </r>
      </text>
    </comment>
    <comment ref="S363" authorId="0" shapeId="0" xr:uid="{00000000-0006-0000-0200-0000A4000000}">
      <text>
        <r>
          <rPr>
            <sz val="10"/>
            <color rgb="FF000000"/>
            <rFont val="Arial"/>
          </rPr>
          <t>Geocode : 
Sorry, no results were found for this address. Please retry by reformulating it or looking for wider results.</t>
        </r>
      </text>
    </comment>
    <comment ref="S367" authorId="0" shapeId="0" xr:uid="{00000000-0006-0000-0200-0000A5000000}">
      <text>
        <r>
          <rPr>
            <sz val="10"/>
            <color rgb="FF000000"/>
            <rFont val="Arial"/>
          </rPr>
          <t>Geocode : 
Sorry, no results were found for this address. Please retry by reformulating it or looking for wider results.</t>
        </r>
      </text>
    </comment>
    <comment ref="S372" authorId="0" shapeId="0" xr:uid="{00000000-0006-0000-0200-0000A6000000}">
      <text>
        <r>
          <rPr>
            <sz val="10"/>
            <color rgb="FF000000"/>
            <rFont val="Arial"/>
          </rPr>
          <t>Geocode : 
Sorry, no results were found for this address. Please retry by reformulating it or looking for wider results.</t>
        </r>
      </text>
    </comment>
    <comment ref="S376" authorId="0" shapeId="0" xr:uid="{00000000-0006-0000-0200-0000A7000000}">
      <text>
        <r>
          <rPr>
            <sz val="10"/>
            <color rgb="FF000000"/>
            <rFont val="Arial"/>
          </rPr>
          <t>Geocode : 
Sorry, no results were found for this address. Please retry by reformulating it or looking for wider results.</t>
        </r>
      </text>
    </comment>
    <comment ref="S377" authorId="0" shapeId="0" xr:uid="{00000000-0006-0000-0200-0000A8000000}">
      <text>
        <r>
          <rPr>
            <sz val="10"/>
            <color rgb="FF000000"/>
            <rFont val="Arial"/>
          </rPr>
          <t>Geocode : 
Sorry, no results were found for this address. Please retry by reformulating it or looking for wider results.</t>
        </r>
      </text>
    </comment>
    <comment ref="S378" authorId="0" shapeId="0" xr:uid="{00000000-0006-0000-0200-0000A9000000}">
      <text>
        <r>
          <rPr>
            <sz val="10"/>
            <color rgb="FF000000"/>
            <rFont val="Arial"/>
          </rPr>
          <t>Geocode : 
Sorry, no results were found for this address. Please retry by reformulating it or looking for wider results.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5" authorId="0" shapeId="0" xr:uid="{00000000-0006-0000-0400-000001000000}">
      <text>
        <r>
          <rPr>
            <sz val="10"/>
            <color rgb="FF000000"/>
            <rFont val="Arial"/>
          </rPr>
          <t xml:space="preserve">Geocode : 
We couldn't find any results for the given address. The GPS data was obtained by using the following address : 
undefined  </t>
        </r>
      </text>
    </comment>
    <comment ref="E9" authorId="0" shapeId="0" xr:uid="{00000000-0006-0000-0400-000002000000}">
      <text>
        <r>
          <rPr>
            <sz val="10"/>
            <color rgb="FF000000"/>
            <rFont val="Arial"/>
          </rPr>
          <t xml:space="preserve">Geocode : 
We couldn't find any results for the given address. The GPS data was obtained by using the following address : 
undefined  </t>
        </r>
      </text>
    </comment>
    <comment ref="E15" authorId="0" shapeId="0" xr:uid="{00000000-0006-0000-0400-000003000000}">
      <text>
        <r>
          <rPr>
            <sz val="10"/>
            <color rgb="FF000000"/>
            <rFont val="Arial"/>
          </rPr>
          <t xml:space="preserve">Geocode : 
We couldn't find any results for the given address. The GPS data was obtained by using the following address : 
undefined  </t>
        </r>
      </text>
    </comment>
    <comment ref="E16" authorId="0" shapeId="0" xr:uid="{00000000-0006-0000-0400-000004000000}">
      <text>
        <r>
          <rPr>
            <sz val="10"/>
            <color rgb="FF000000"/>
            <rFont val="Arial"/>
          </rPr>
          <t xml:space="preserve">Geocode : 
We couldn't find any results for the given address. The GPS data was obtained by using the following address : 
undefined  </t>
        </r>
      </text>
    </comment>
    <comment ref="E19" authorId="0" shapeId="0" xr:uid="{00000000-0006-0000-0400-000005000000}">
      <text>
        <r>
          <rPr>
            <sz val="10"/>
            <color rgb="FF000000"/>
            <rFont val="Arial"/>
          </rPr>
          <t xml:space="preserve">Geocode : 
We couldn't find any results for the given address. The GPS data was obtained by using the following address : 
undefined  </t>
        </r>
      </text>
    </comment>
    <comment ref="E21" authorId="0" shapeId="0" xr:uid="{00000000-0006-0000-0400-000006000000}">
      <text>
        <r>
          <rPr>
            <sz val="10"/>
            <color rgb="FF000000"/>
            <rFont val="Arial"/>
          </rPr>
          <t xml:space="preserve">Geocode : 
We couldn't find any results for the given address. The GPS data was obtained by using the following address : 
undefined  </t>
        </r>
      </text>
    </comment>
    <comment ref="E27" authorId="0" shapeId="0" xr:uid="{00000000-0006-0000-0400-000007000000}">
      <text>
        <r>
          <rPr>
            <sz val="10"/>
            <color rgb="FF000000"/>
            <rFont val="Arial"/>
          </rPr>
          <t xml:space="preserve">Geocode : 
We couldn't find any results for the given address. The GPS data was obtained by using the following address : 
Kissufim checkpoint </t>
        </r>
      </text>
    </comment>
    <comment ref="E32" authorId="0" shapeId="0" xr:uid="{00000000-0006-0000-0400-000008000000}">
      <text>
        <r>
          <rPr>
            <sz val="10"/>
            <color rgb="FF000000"/>
            <rFont val="Arial"/>
          </rPr>
          <t xml:space="preserve">Geocode : 
We couldn't find any results for the given address. The GPS data was obtained by using the following address : 
near Hebron </t>
        </r>
      </text>
    </comment>
    <comment ref="E34" authorId="0" shapeId="0" xr:uid="{00000000-0006-0000-0400-000009000000}">
      <text>
        <r>
          <rPr>
            <sz val="10"/>
            <color rgb="FF000000"/>
            <rFont val="Arial"/>
          </rPr>
          <t xml:space="preserve">Geocode : 
We couldn't find any results for the given address. The GPS data was obtained by using the following address : 
undefined  </t>
        </r>
      </text>
    </comment>
    <comment ref="E39" authorId="0" shapeId="0" xr:uid="{00000000-0006-0000-0400-00000A000000}">
      <text>
        <r>
          <rPr>
            <sz val="10"/>
            <color rgb="FF000000"/>
            <rFont val="Arial"/>
          </rPr>
          <t xml:space="preserve">Geocode : 
We couldn't find any results for the given address. The GPS data was obtained by using the following address : 
undefined  </t>
        </r>
      </text>
    </comment>
    <comment ref="E40" authorId="0" shapeId="0" xr:uid="{00000000-0006-0000-0400-00000B000000}">
      <text>
        <r>
          <rPr>
            <sz val="10"/>
            <color rgb="FF000000"/>
            <rFont val="Arial"/>
          </rPr>
          <t xml:space="preserve">Geocode : 
We couldn't find any results for the given address. The GPS data was obtained by using the following address : 
undefined  </t>
        </r>
      </text>
    </comment>
    <comment ref="E41" authorId="0" shapeId="0" xr:uid="{00000000-0006-0000-0400-00000C000000}">
      <text>
        <r>
          <rPr>
            <sz val="10"/>
            <color rgb="FF000000"/>
            <rFont val="Arial"/>
          </rPr>
          <t xml:space="preserve">Geocode : 
We couldn't find any results for the given address. The GPS data was obtained by using the following address : 
Daphne </t>
        </r>
      </text>
    </comment>
    <comment ref="E43" authorId="0" shapeId="0" xr:uid="{00000000-0006-0000-0400-00000D000000}">
      <text>
        <r>
          <rPr>
            <sz val="10"/>
            <color rgb="FF000000"/>
            <rFont val="Arial"/>
          </rPr>
          <t xml:space="preserve">Geocode : 
We couldn't find any results for the given address. The GPS data was obtained by using the following address : 
undefined  </t>
        </r>
      </text>
    </comment>
    <comment ref="E45" authorId="0" shapeId="0" xr:uid="{00000000-0006-0000-0400-00000E000000}">
      <text>
        <r>
          <rPr>
            <sz val="10"/>
            <color rgb="FF000000"/>
            <rFont val="Arial"/>
          </rPr>
          <t xml:space="preserve">Geocode : 
We couldn't find any results for the given address. The GPS data was obtained by using the following address : 
undefined  </t>
        </r>
      </text>
    </comment>
    <comment ref="E46" authorId="0" shapeId="0" xr:uid="{00000000-0006-0000-0400-00000F000000}">
      <text>
        <r>
          <rPr>
            <sz val="10"/>
            <color rgb="FF000000"/>
            <rFont val="Arial"/>
          </rPr>
          <t xml:space="preserve">Geocode : 
We couldn't find any results for the given address. The GPS data was obtained by using the following address : 
Rafah area </t>
        </r>
      </text>
    </comment>
    <comment ref="E49" authorId="0" shapeId="0" xr:uid="{00000000-0006-0000-0400-000010000000}">
      <text>
        <r>
          <rPr>
            <sz val="10"/>
            <color rgb="FF000000"/>
            <rFont val="Arial"/>
          </rPr>
          <t xml:space="preserve">Geocode : 
We couldn't find any results for the given address. The GPS data was obtained by using the following address : 
and Nissan </t>
        </r>
      </text>
    </comment>
    <comment ref="E50" authorId="0" shapeId="0" xr:uid="{00000000-0006-0000-0400-000011000000}">
      <text>
        <r>
          <rPr>
            <sz val="10"/>
            <color rgb="FF000000"/>
            <rFont val="Arial"/>
          </rPr>
          <t xml:space="preserve">Geocode : 
We couldn't find any results for the given address. The GPS data was obtained by using the following address : 
undefined  </t>
        </r>
      </text>
    </comment>
    <comment ref="E54" authorId="0" shapeId="0" xr:uid="{00000000-0006-0000-0400-000012000000}">
      <text>
        <r>
          <rPr>
            <sz val="10"/>
            <color rgb="FF000000"/>
            <rFont val="Arial"/>
          </rPr>
          <t xml:space="preserve">Geocode : 
We couldn't find any results for the given address. The GPS data was obtained by using the following address : 
undefined  </t>
        </r>
      </text>
    </comment>
    <comment ref="E61" authorId="0" shapeId="0" xr:uid="{00000000-0006-0000-0400-000013000000}">
      <text>
        <r>
          <rPr>
            <sz val="10"/>
            <color rgb="FF000000"/>
            <rFont val="Arial"/>
          </rPr>
          <t xml:space="preserve">Geocode : 
We couldn't find any results for the given address. The GPS data was obtained by using the following address : 
undefined  </t>
        </r>
      </text>
    </comment>
    <comment ref="E79" authorId="0" shapeId="0" xr:uid="{00000000-0006-0000-0400-000014000000}">
      <text>
        <r>
          <rPr>
            <sz val="10"/>
            <color rgb="FF000000"/>
            <rFont val="Arial"/>
          </rPr>
          <t xml:space="preserve">Geocode : 
We couldn't find any results for the given address. The GPS data was obtained by using the following address : 
Barry Isaac </t>
        </r>
      </text>
    </comment>
    <comment ref="E87" authorId="0" shapeId="0" xr:uid="{00000000-0006-0000-0400-000015000000}">
      <text>
        <r>
          <rPr>
            <sz val="10"/>
            <color rgb="FF000000"/>
            <rFont val="Arial"/>
          </rPr>
          <t xml:space="preserve">Geocode : 
We couldn't find any results for the given address. The GPS data was obtained by using the following address : 
undefined  </t>
        </r>
      </text>
    </comment>
    <comment ref="E89" authorId="0" shapeId="0" xr:uid="{00000000-0006-0000-0400-000016000000}">
      <text>
        <r>
          <rPr>
            <sz val="10"/>
            <color rgb="FF000000"/>
            <rFont val="Arial"/>
          </rPr>
          <t xml:space="preserve">Geocode : 
We couldn't find any results for the given address. The GPS data was obtained by using the following address : 
undefined  </t>
        </r>
      </text>
    </comment>
    <comment ref="E99" authorId="0" shapeId="0" xr:uid="{00000000-0006-0000-0400-000017000000}">
      <text>
        <r>
          <rPr>
            <sz val="10"/>
            <color rgb="FF000000"/>
            <rFont val="Arial"/>
          </rPr>
          <t xml:space="preserve">Geocode : 
We couldn't find any results for the given address. The GPS data was obtained by using the following address : 
in southern Gaza Strip </t>
        </r>
      </text>
    </comment>
    <comment ref="E100" authorId="0" shapeId="0" xr:uid="{00000000-0006-0000-0400-000018000000}">
      <text>
        <r>
          <rPr>
            <sz val="10"/>
            <color rgb="FF000000"/>
            <rFont val="Arial"/>
          </rPr>
          <t xml:space="preserve">Geocode : 
We couldn't find any results for the given address. The GPS data was obtained by using the following address : 
undefined  </t>
        </r>
      </text>
    </comment>
    <comment ref="E103" authorId="0" shapeId="0" xr:uid="{00000000-0006-0000-0400-000019000000}">
      <text>
        <r>
          <rPr>
            <sz val="10"/>
            <color rgb="FF000000"/>
            <rFont val="Arial"/>
          </rPr>
          <t xml:space="preserve">Geocode : 
We couldn't find any results for the given address. The GPS data was obtained by using the following address : 
undefined  </t>
        </r>
      </text>
    </comment>
    <comment ref="E105" authorId="0" shapeId="0" xr:uid="{00000000-0006-0000-0400-00001A000000}">
      <text>
        <r>
          <rPr>
            <sz val="10"/>
            <color rgb="FF000000"/>
            <rFont val="Arial"/>
          </rPr>
          <t xml:space="preserve">Geocode : 
We couldn't find any results for the given address. The GPS data was obtained by using the following address : 
undefined  </t>
        </r>
      </text>
    </comment>
    <comment ref="E106" authorId="0" shapeId="0" xr:uid="{00000000-0006-0000-0400-00001B000000}">
      <text>
        <r>
          <rPr>
            <sz val="10"/>
            <color rgb="FF000000"/>
            <rFont val="Arial"/>
          </rPr>
          <t xml:space="preserve">Geocode : 
We couldn't find any results for the given address. The GPS data was obtained by using the following address : 
Hnobs </t>
        </r>
      </text>
    </comment>
    <comment ref="E113" authorId="0" shapeId="0" xr:uid="{00000000-0006-0000-0400-00001C000000}">
      <text>
        <r>
          <rPr>
            <sz val="10"/>
            <color rgb="FF000000"/>
            <rFont val="Arial"/>
          </rPr>
          <t xml:space="preserve">Geocode : 
We couldn't find any results for the given address. The GPS data was obtained by using the following address : 
Hosob </t>
        </r>
      </text>
    </comment>
    <comment ref="E114" authorId="0" shapeId="0" xr:uid="{00000000-0006-0000-0400-00001D000000}">
      <text>
        <r>
          <rPr>
            <sz val="10"/>
            <color rgb="FF000000"/>
            <rFont val="Arial"/>
          </rPr>
          <t xml:space="preserve">Geocode : 
We couldn't find any results for the given address. The GPS data was obtained by using the following address : 
undefined  </t>
        </r>
      </text>
    </comment>
    <comment ref="E118" authorId="0" shapeId="0" xr:uid="{00000000-0006-0000-0400-00001E000000}">
      <text>
        <r>
          <rPr>
            <sz val="10"/>
            <color rgb="FF000000"/>
            <rFont val="Arial"/>
          </rPr>
          <t xml:space="preserve">Geocode : 
We couldn't find any results for the given address. The GPS data was obtained by using the following address : 
undefined  </t>
        </r>
      </text>
    </comment>
    <comment ref="E119" authorId="0" shapeId="0" xr:uid="{00000000-0006-0000-0400-00001F000000}">
      <text>
        <r>
          <rPr>
            <sz val="10"/>
            <color rgb="FF000000"/>
            <rFont val="Arial"/>
          </rPr>
          <t xml:space="preserve">Geocode : 
We couldn't find any results for the given address. The GPS data was obtained by using the following address : 
undefined  </t>
        </r>
      </text>
    </comment>
    <comment ref="E120" authorId="0" shapeId="0" xr:uid="{00000000-0006-0000-0400-000020000000}">
      <text>
        <r>
          <rPr>
            <sz val="10"/>
            <color rgb="FF000000"/>
            <rFont val="Arial"/>
          </rPr>
          <t xml:space="preserve">Geocode : 
We couldn't find any results for the given address. The GPS data was obtained by using the following address : 
undefined  </t>
        </r>
      </text>
    </comment>
    <comment ref="E122" authorId="0" shapeId="0" xr:uid="{00000000-0006-0000-0400-000021000000}">
      <text>
        <r>
          <rPr>
            <sz val="10"/>
            <color rgb="FF000000"/>
            <rFont val="Arial"/>
          </rPr>
          <t xml:space="preserve">Geocode : 
We couldn't find any results for the given address. The GPS data was obtained by using the following address : 
undefined  </t>
        </r>
      </text>
    </comment>
    <comment ref="E123" authorId="0" shapeId="0" xr:uid="{00000000-0006-0000-0400-000022000000}">
      <text>
        <r>
          <rPr>
            <sz val="10"/>
            <color rgb="FF000000"/>
            <rFont val="Arial"/>
          </rPr>
          <t xml:space="preserve">Geocode : 
We couldn't find any results for the given address. The GPS data was obtained by using the following address : 
Junction </t>
        </r>
      </text>
    </comment>
    <comment ref="E124" authorId="0" shapeId="0" xr:uid="{00000000-0006-0000-0400-000023000000}">
      <text>
        <r>
          <rPr>
            <sz val="10"/>
            <color rgb="FF000000"/>
            <rFont val="Arial"/>
          </rPr>
          <t xml:space="preserve">Geocode : 
We couldn't find any results for the given address. The GPS data was obtained by using the following address : 
undefined  </t>
        </r>
      </text>
    </comment>
    <comment ref="E125" authorId="0" shapeId="0" xr:uid="{00000000-0006-0000-0400-000024000000}">
      <text>
        <r>
          <rPr>
            <sz val="10"/>
            <color rgb="FF000000"/>
            <rFont val="Arial"/>
          </rPr>
          <t xml:space="preserve">Geocode : 
We couldn't find any results for the given address. The GPS data was obtained by using the following address : 
in the Gaza Strip </t>
        </r>
      </text>
    </comment>
    <comment ref="E126" authorId="0" shapeId="0" xr:uid="{00000000-0006-0000-0400-000025000000}">
      <text>
        <r>
          <rPr>
            <sz val="10"/>
            <color rgb="FF000000"/>
            <rFont val="Arial"/>
          </rPr>
          <t xml:space="preserve">Geocode : 
We couldn't find any results for the given address. The GPS data was obtained by using the following address : 
undefined  </t>
        </r>
      </text>
    </comment>
    <comment ref="E127" authorId="0" shapeId="0" xr:uid="{00000000-0006-0000-0400-000026000000}">
      <text>
        <r>
          <rPr>
            <sz val="10"/>
            <color rgb="FF000000"/>
            <rFont val="Arial"/>
          </rPr>
          <t xml:space="preserve">Geocode : 
We couldn't find any results for the given address. The GPS data was obtained by using the following address : 
undefined  </t>
        </r>
      </text>
    </comment>
    <comment ref="E128" authorId="0" shapeId="0" xr:uid="{00000000-0006-0000-0400-000027000000}">
      <text>
        <r>
          <rPr>
            <sz val="10"/>
            <color rgb="FF000000"/>
            <rFont val="Arial"/>
          </rPr>
          <t xml:space="preserve">Geocode : 
We couldn't find any results for the given address. The GPS data was obtained by using the following address : 
undefined  </t>
        </r>
      </text>
    </comment>
    <comment ref="E130" authorId="0" shapeId="0" xr:uid="{00000000-0006-0000-0400-000028000000}">
      <text>
        <r>
          <rPr>
            <sz val="10"/>
            <color rgb="FF000000"/>
            <rFont val="Arial"/>
          </rPr>
          <t xml:space="preserve">Geocode : 
We couldn't find any results for the given address. The GPS data was obtained by using the following address : 
undefined  </t>
        </r>
      </text>
    </comment>
    <comment ref="E131" authorId="0" shapeId="0" xr:uid="{00000000-0006-0000-0400-000029000000}">
      <text>
        <r>
          <rPr>
            <sz val="10"/>
            <color rgb="FF000000"/>
            <rFont val="Arial"/>
          </rPr>
          <t xml:space="preserve">Geocode : 
We couldn't find any results for the given address. The GPS data was obtained by using the following address : 
undefined  </t>
        </r>
      </text>
    </comment>
    <comment ref="E132" authorId="0" shapeId="0" xr:uid="{00000000-0006-0000-0400-00002A000000}">
      <text>
        <r>
          <rPr>
            <sz val="10"/>
            <color rgb="FF000000"/>
            <rFont val="Arial"/>
          </rPr>
          <t xml:space="preserve">Geocode : 
We couldn't find any results for the given address. The GPS data was obtained by using the following address : 
undefined  </t>
        </r>
      </text>
    </comment>
    <comment ref="E133" authorId="0" shapeId="0" xr:uid="{00000000-0006-0000-0400-00002B000000}">
      <text>
        <r>
          <rPr>
            <sz val="10"/>
            <color rgb="FF000000"/>
            <rFont val="Arial"/>
          </rPr>
          <t xml:space="preserve">Geocode : 
We couldn't find any results for the given address. The GPS data was obtained by using the following address : 
undefined  </t>
        </r>
      </text>
    </comment>
    <comment ref="E134" authorId="0" shapeId="0" xr:uid="{00000000-0006-0000-0400-00002C000000}">
      <text>
        <r>
          <rPr>
            <sz val="10"/>
            <color rgb="FF000000"/>
            <rFont val="Arial"/>
          </rPr>
          <t xml:space="preserve">Geocode : 
We couldn't find any results for the given address. The GPS data was obtained by using the following address : 
undefined  </t>
        </r>
      </text>
    </comment>
    <comment ref="E135" authorId="0" shapeId="0" xr:uid="{00000000-0006-0000-0400-00002D000000}">
      <text>
        <r>
          <rPr>
            <sz val="10"/>
            <color rgb="FF000000"/>
            <rFont val="Arial"/>
          </rPr>
          <t xml:space="preserve">Geocode : 
We couldn't find any results for the given address. The GPS data was obtained by using the following address : 
snub </t>
        </r>
      </text>
    </comment>
    <comment ref="E136" authorId="0" shapeId="0" xr:uid="{00000000-0006-0000-0400-00002E000000}">
      <text>
        <r>
          <rPr>
            <sz val="10"/>
            <color rgb="FF000000"/>
            <rFont val="Arial"/>
          </rPr>
          <t xml:space="preserve">Geocode : 
We couldn't find any results for the given address. The GPS data was obtained by using the following address : 
undefined  </t>
        </r>
      </text>
    </comment>
    <comment ref="E137" authorId="0" shapeId="0" xr:uid="{00000000-0006-0000-0400-00002F000000}">
      <text>
        <r>
          <rPr>
            <sz val="10"/>
            <color rgb="FF000000"/>
            <rFont val="Arial"/>
          </rPr>
          <t xml:space="preserve">Geocode : 
We couldn't find any results for the given address. The GPS data was obtained by using the following address : 
north of Migdal-Gad </t>
        </r>
      </text>
    </comment>
    <comment ref="E139" authorId="0" shapeId="0" xr:uid="{00000000-0006-0000-0400-000030000000}">
      <text>
        <r>
          <rPr>
            <sz val="10"/>
            <color rgb="FF000000"/>
            <rFont val="Arial"/>
          </rPr>
          <t xml:space="preserve">Geocode : 
We couldn't find any results for the given address. The GPS data was obtained by using the following address : 
undefined  </t>
        </r>
      </text>
    </comment>
    <comment ref="E140" authorId="0" shapeId="0" xr:uid="{00000000-0006-0000-0400-000031000000}">
      <text>
        <r>
          <rPr>
            <sz val="10"/>
            <color rgb="FF000000"/>
            <rFont val="Arial"/>
          </rPr>
          <t xml:space="preserve">Geocode : 
We couldn't find any results for the given address. The GPS data was obtained by using the following address : 
settlement </t>
        </r>
      </text>
    </comment>
    <comment ref="E143" authorId="0" shapeId="0" xr:uid="{00000000-0006-0000-0400-000032000000}">
      <text>
        <r>
          <rPr>
            <sz val="10"/>
            <color rgb="FF000000"/>
            <rFont val="Arial"/>
          </rPr>
          <t xml:space="preserve">Geocode : 
We couldn't find any results for the given address. The GPS data was obtained by using the following address : 
undefined  </t>
        </r>
      </text>
    </comment>
    <comment ref="E146" authorId="0" shapeId="0" xr:uid="{00000000-0006-0000-0400-000033000000}">
      <text>
        <r>
          <rPr>
            <sz val="10"/>
            <color rgb="FF000000"/>
            <rFont val="Arial"/>
          </rPr>
          <t>Geocode : 
Sorry, no results were found for this address. Please retry by reformulating it or looking for wider results.</t>
        </r>
      </text>
    </comment>
    <comment ref="E149" authorId="0" shapeId="0" xr:uid="{00000000-0006-0000-0400-000034000000}">
      <text>
        <r>
          <rPr>
            <sz val="10"/>
            <color rgb="FF000000"/>
            <rFont val="Arial"/>
          </rPr>
          <t xml:space="preserve">Geocode : 
We couldn't find any results for the given address. The GPS data was obtained by using the following address : 
undefined  </t>
        </r>
      </text>
    </comment>
    <comment ref="E151" authorId="0" shapeId="0" xr:uid="{00000000-0006-0000-0400-000035000000}">
      <text>
        <r>
          <rPr>
            <sz val="10"/>
            <color rgb="FF000000"/>
            <rFont val="Arial"/>
          </rPr>
          <t>Geocode : 
Sorry, no results were found for this address. Please retry by reformulating it or looking for wider results.</t>
        </r>
      </text>
    </comment>
    <comment ref="E154" authorId="0" shapeId="0" xr:uid="{00000000-0006-0000-0400-000036000000}">
      <text>
        <r>
          <rPr>
            <sz val="10"/>
            <color rgb="FF000000"/>
            <rFont val="Arial"/>
          </rPr>
          <t xml:space="preserve">Geocode : 
We couldn't find any results for the given address. The GPS data was obtained by using the following address : 
undefined  </t>
        </r>
      </text>
    </comment>
    <comment ref="E155" authorId="0" shapeId="0" xr:uid="{00000000-0006-0000-0400-000037000000}">
      <text>
        <r>
          <rPr>
            <sz val="10"/>
            <color rgb="FF000000"/>
            <rFont val="Arial"/>
          </rPr>
          <t xml:space="preserve">Geocode : 
We couldn't find any results for the given address. The GPS data was obtained by using the following address : 
(Malcha) </t>
        </r>
      </text>
    </comment>
    <comment ref="E158" authorId="0" shapeId="0" xr:uid="{00000000-0006-0000-0400-000038000000}">
      <text>
        <r>
          <rPr>
            <sz val="10"/>
            <color rgb="FF000000"/>
            <rFont val="Arial"/>
          </rPr>
          <t xml:space="preserve">Geocode : 
We couldn't find any results for the given address. The GPS data was obtained by using the following address : 
Petah Tikva area </t>
        </r>
      </text>
    </comment>
    <comment ref="E160" authorId="0" shapeId="0" xr:uid="{00000000-0006-0000-0400-000039000000}">
      <text>
        <r>
          <rPr>
            <sz val="10"/>
            <color rgb="FF000000"/>
            <rFont val="Arial"/>
          </rPr>
          <t xml:space="preserve">Geocode : 
We couldn't find any results for the given address. The GPS data was obtained by using the following address : 
Deir Yassin </t>
        </r>
      </text>
    </comment>
    <comment ref="E169" authorId="0" shapeId="0" xr:uid="{00000000-0006-0000-0400-00003A000000}">
      <text>
        <r>
          <rPr>
            <sz val="10"/>
            <color rgb="FF000000"/>
            <rFont val="Arial"/>
          </rPr>
          <t xml:space="preserve">Geocode : 
We couldn't find any results for the given address. The GPS data was obtained by using the following address : 
village, Ein Gev way </t>
        </r>
      </text>
    </comment>
    <comment ref="E170" authorId="0" shapeId="0" xr:uid="{00000000-0006-0000-0400-00003B000000}">
      <text>
        <r>
          <rPr>
            <sz val="10"/>
            <color rgb="FF000000"/>
            <rFont val="Arial"/>
          </rPr>
          <t xml:space="preserve">Geocode : 
We couldn't find any results for the given address. The GPS data was obtained by using the following address : 
undefined  </t>
        </r>
      </text>
    </comment>
    <comment ref="E173" authorId="0" shapeId="0" xr:uid="{00000000-0006-0000-0400-00003C000000}">
      <text>
        <r>
          <rPr>
            <sz val="10"/>
            <color rgb="FF000000"/>
            <rFont val="Arial"/>
          </rPr>
          <t xml:space="preserve">Geocode : 
We couldn't find any results for the given address. The GPS data was obtained by using the following address : 
undefined  </t>
        </r>
      </text>
    </comment>
    <comment ref="E174" authorId="0" shapeId="0" xr:uid="{00000000-0006-0000-0400-00003D000000}">
      <text>
        <r>
          <rPr>
            <sz val="10"/>
            <color rgb="FF000000"/>
            <rFont val="Arial"/>
          </rPr>
          <t xml:space="preserve">Geocode : 
We couldn't find any results for the given address. The GPS data was obtained by using the following address : 
undefined  </t>
        </r>
      </text>
    </comment>
    <comment ref="E177" authorId="0" shapeId="0" xr:uid="{00000000-0006-0000-0400-00003E000000}">
      <text>
        <r>
          <rPr>
            <sz val="10"/>
            <color rgb="FF000000"/>
            <rFont val="Arial"/>
          </rPr>
          <t xml:space="preserve">Geocode : 
We couldn't find any results for the given address. The GPS data was obtained by using the following address : 
undefined  </t>
        </r>
      </text>
    </comment>
    <comment ref="E181" authorId="0" shapeId="0" xr:uid="{00000000-0006-0000-0400-00003F000000}">
      <text>
        <r>
          <rPr>
            <sz val="10"/>
            <color rgb="FF000000"/>
            <rFont val="Arial"/>
          </rPr>
          <t xml:space="preserve">Geocode : 
We couldn't find any results for the given address. The GPS data was obtained by using the following address : 
undefined  </t>
        </r>
      </text>
    </comment>
    <comment ref="E183" authorId="0" shapeId="0" xr:uid="{00000000-0006-0000-0400-000040000000}">
      <text>
        <r>
          <rPr>
            <sz val="10"/>
            <color rgb="FF000000"/>
            <rFont val="Arial"/>
          </rPr>
          <t>Geocode : 
Sorry, no results were found for this address. Please retry by reformulating it or looking for wider results.</t>
        </r>
      </text>
    </comment>
    <comment ref="E184" authorId="0" shapeId="0" xr:uid="{00000000-0006-0000-0400-000041000000}">
      <text>
        <r>
          <rPr>
            <sz val="10"/>
            <color rgb="FF000000"/>
            <rFont val="Arial"/>
          </rPr>
          <t>Geocode : 
Sorry, no results were found for this address. Please retry by reformulating it or looking for wider results.</t>
        </r>
      </text>
    </comment>
    <comment ref="E185" authorId="0" shapeId="0" xr:uid="{00000000-0006-0000-0400-000042000000}">
      <text>
        <r>
          <rPr>
            <sz val="10"/>
            <color rgb="FF000000"/>
            <rFont val="Arial"/>
          </rPr>
          <t>Geocode : 
Sorry, no results were found for this address. Please retry by reformulating it or looking for wider results.</t>
        </r>
      </text>
    </comment>
    <comment ref="E200" authorId="0" shapeId="0" xr:uid="{00000000-0006-0000-0400-000043000000}">
      <text>
        <r>
          <rPr>
            <sz val="10"/>
            <color rgb="FF000000"/>
            <rFont val="Arial"/>
          </rPr>
          <t>Geocode : 
Sorry, no results were found for this address. Please retry by reformulating it or looking for wider results.</t>
        </r>
      </text>
    </comment>
    <comment ref="E202" authorId="0" shapeId="0" xr:uid="{00000000-0006-0000-0400-000044000000}">
      <text>
        <r>
          <rPr>
            <sz val="10"/>
            <color rgb="FF000000"/>
            <rFont val="Arial"/>
          </rPr>
          <t>Geocode : 
Sorry, no results were found for this address. Please retry by reformulating it or looking for wider results.</t>
        </r>
      </text>
    </comment>
    <comment ref="E203" authorId="0" shapeId="0" xr:uid="{00000000-0006-0000-0400-000045000000}">
      <text>
        <r>
          <rPr>
            <sz val="10"/>
            <color rgb="FF000000"/>
            <rFont val="Arial"/>
          </rPr>
          <t>Geocode : 
Sorry, no results were found for this address. Please retry by reformulating it or looking for wider results.</t>
        </r>
      </text>
    </comment>
    <comment ref="E205" authorId="0" shapeId="0" xr:uid="{00000000-0006-0000-0400-000046000000}">
      <text>
        <r>
          <rPr>
            <sz val="10"/>
            <color rgb="FF000000"/>
            <rFont val="Arial"/>
          </rPr>
          <t>Geocode : 
Sorry, no results were found for this address. Please retry by reformulating it or looking for wider results.</t>
        </r>
      </text>
    </comment>
    <comment ref="E207" authorId="0" shapeId="0" xr:uid="{00000000-0006-0000-0400-000047000000}">
      <text>
        <r>
          <rPr>
            <sz val="10"/>
            <color rgb="FF000000"/>
            <rFont val="Arial"/>
          </rPr>
          <t>Geocode : 
Sorry, no results were found for this address. Please retry by reformulating it or looking for wider results.</t>
        </r>
      </text>
    </comment>
    <comment ref="E209" authorId="0" shapeId="0" xr:uid="{00000000-0006-0000-0400-000048000000}">
      <text>
        <r>
          <rPr>
            <sz val="10"/>
            <color rgb="FF000000"/>
            <rFont val="Arial"/>
          </rPr>
          <t>Geocode : 
Sorry, no results were found for this address. Please retry by reformulating it or looking for wider results.</t>
        </r>
      </text>
    </comment>
    <comment ref="E211" authorId="0" shapeId="0" xr:uid="{00000000-0006-0000-0400-000049000000}">
      <text>
        <r>
          <rPr>
            <sz val="10"/>
            <color rgb="FF000000"/>
            <rFont val="Arial"/>
          </rPr>
          <t>Geocode : 
Sorry, no results were found for this address. Please retry by reformulating it or looking for wider results.</t>
        </r>
      </text>
    </comment>
    <comment ref="E213" authorId="0" shapeId="0" xr:uid="{00000000-0006-0000-0400-00004A000000}">
      <text>
        <r>
          <rPr>
            <sz val="10"/>
            <color rgb="FF000000"/>
            <rFont val="Arial"/>
          </rPr>
          <t>Geocode : 
Sorry, no results were found for this address. Please retry by reformulating it or looking for wider results.</t>
        </r>
      </text>
    </comment>
    <comment ref="E215" authorId="0" shapeId="0" xr:uid="{00000000-0006-0000-0400-00004B000000}">
      <text>
        <r>
          <rPr>
            <sz val="10"/>
            <color rgb="FF000000"/>
            <rFont val="Arial"/>
          </rPr>
          <t>Geocode : 
Sorry, no results were found for this address. Please retry by reformulating it or looking for wider results.</t>
        </r>
      </text>
    </comment>
    <comment ref="E216" authorId="0" shapeId="0" xr:uid="{00000000-0006-0000-0400-00004C000000}">
      <text>
        <r>
          <rPr>
            <sz val="10"/>
            <color rgb="FF000000"/>
            <rFont val="Arial"/>
          </rPr>
          <t>Geocode : 
Sorry, no results were found for this address. Please retry by reformulating it or looking for wider results.</t>
        </r>
      </text>
    </comment>
    <comment ref="E217" authorId="0" shapeId="0" xr:uid="{00000000-0006-0000-0400-00004D000000}">
      <text>
        <r>
          <rPr>
            <sz val="10"/>
            <color rgb="FF000000"/>
            <rFont val="Arial"/>
          </rPr>
          <t>Geocode : 
Sorry, no results were found for this address. Please retry by reformulating it or looking for wider results.</t>
        </r>
      </text>
    </comment>
    <comment ref="E218" authorId="0" shapeId="0" xr:uid="{00000000-0006-0000-0400-00004E000000}">
      <text>
        <r>
          <rPr>
            <sz val="10"/>
            <color rgb="FF000000"/>
            <rFont val="Arial"/>
          </rPr>
          <t>Geocode : 
Sorry, no results were found for this address. Please retry by reformulating it or looking for wider results.</t>
        </r>
      </text>
    </comment>
    <comment ref="E219" authorId="0" shapeId="0" xr:uid="{00000000-0006-0000-0400-00004F000000}">
      <text>
        <r>
          <rPr>
            <sz val="10"/>
            <color rgb="FF000000"/>
            <rFont val="Arial"/>
          </rPr>
          <t>Geocode : 
Sorry, no results were found for this address. Please retry by reformulating it or looking for wider results.</t>
        </r>
      </text>
    </comment>
    <comment ref="E220" authorId="0" shapeId="0" xr:uid="{00000000-0006-0000-0400-000050000000}">
      <text>
        <r>
          <rPr>
            <sz val="10"/>
            <color rgb="FF000000"/>
            <rFont val="Arial"/>
          </rPr>
          <t>Geocode : 
Sorry, no results were found for this address. Please retry by reformulating it or looking for wider results.</t>
        </r>
      </text>
    </comment>
    <comment ref="E223" authorId="0" shapeId="0" xr:uid="{00000000-0006-0000-0400-000051000000}">
      <text>
        <r>
          <rPr>
            <sz val="10"/>
            <color rgb="FF000000"/>
            <rFont val="Arial"/>
          </rPr>
          <t>Geocode : 
Sorry, no results were found for this address. Please retry by reformulating it or looking for wider results.</t>
        </r>
      </text>
    </comment>
    <comment ref="E226" authorId="0" shapeId="0" xr:uid="{00000000-0006-0000-0400-000052000000}">
      <text>
        <r>
          <rPr>
            <sz val="10"/>
            <color rgb="FF000000"/>
            <rFont val="Arial"/>
          </rPr>
          <t>Geocode : 
Sorry, no results were found for this address. Please retry by reformulating it or looking for wider results.</t>
        </r>
      </text>
    </comment>
    <comment ref="E232" authorId="0" shapeId="0" xr:uid="{00000000-0006-0000-0400-000053000000}">
      <text>
        <r>
          <rPr>
            <sz val="10"/>
            <color rgb="FF000000"/>
            <rFont val="Arial"/>
          </rPr>
          <t>Geocode : 
Sorry, no results were found for this address. Please retry by reformulating it or looking for wider results.</t>
        </r>
      </text>
    </comment>
    <comment ref="E236" authorId="0" shapeId="0" xr:uid="{00000000-0006-0000-0400-000054000000}">
      <text>
        <r>
          <rPr>
            <sz val="10"/>
            <color rgb="FF000000"/>
            <rFont val="Arial"/>
          </rPr>
          <t>Geocode : 
Sorry, no results were found for this address. Please retry by reformulating it or looking for wider results.</t>
        </r>
      </text>
    </comment>
    <comment ref="E239" authorId="0" shapeId="0" xr:uid="{00000000-0006-0000-0400-000055000000}">
      <text>
        <r>
          <rPr>
            <sz val="10"/>
            <color rgb="FF000000"/>
            <rFont val="Arial"/>
          </rPr>
          <t>Geocode : 
Sorry, no results were found for this address. Please retry by reformulating it or looking for wider results.</t>
        </r>
      </text>
    </comment>
    <comment ref="E240" authorId="0" shapeId="0" xr:uid="{00000000-0006-0000-0400-000056000000}">
      <text>
        <r>
          <rPr>
            <sz val="10"/>
            <color rgb="FF000000"/>
            <rFont val="Arial"/>
          </rPr>
          <t>Geocode : 
Sorry, no results were found for this address. Please retry by reformulating it or looking for wider results.</t>
        </r>
      </text>
    </comment>
    <comment ref="E242" authorId="0" shapeId="0" xr:uid="{00000000-0006-0000-0400-000057000000}">
      <text>
        <r>
          <rPr>
            <sz val="10"/>
            <color rgb="FF000000"/>
            <rFont val="Arial"/>
          </rPr>
          <t>Geocode : 
Sorry, no results were found for this address. Please retry by reformulating it or looking for wider results.</t>
        </r>
      </text>
    </comment>
    <comment ref="E244" authorId="0" shapeId="0" xr:uid="{00000000-0006-0000-0400-000058000000}">
      <text>
        <r>
          <rPr>
            <sz val="10"/>
            <color rgb="FF000000"/>
            <rFont val="Arial"/>
          </rPr>
          <t>Geocode : 
Sorry, no results were found for this address. Please retry by reformulating it or looking for wider results.</t>
        </r>
      </text>
    </comment>
    <comment ref="E255" authorId="0" shapeId="0" xr:uid="{00000000-0006-0000-0400-000059000000}">
      <text>
        <r>
          <rPr>
            <sz val="10"/>
            <color rgb="FF000000"/>
            <rFont val="Arial"/>
          </rPr>
          <t>Geocode : 
Sorry, no results were found for this address. Please retry by reformulating it or looking for wider results.</t>
        </r>
      </text>
    </comment>
    <comment ref="E256" authorId="0" shapeId="0" xr:uid="{00000000-0006-0000-0400-00005A000000}">
      <text>
        <r>
          <rPr>
            <sz val="10"/>
            <color rgb="FF000000"/>
            <rFont val="Arial"/>
          </rPr>
          <t>Geocode : 
Sorry, no results were found for this address. Please retry by reformulating it or looking for wider results.</t>
        </r>
      </text>
    </comment>
    <comment ref="E259" authorId="0" shapeId="0" xr:uid="{00000000-0006-0000-0400-00005B000000}">
      <text>
        <r>
          <rPr>
            <sz val="10"/>
            <color rgb="FF000000"/>
            <rFont val="Arial"/>
          </rPr>
          <t>Geocode : 
Sorry, no results were found for this address. Please retry by reformulating it or looking for wider results.</t>
        </r>
      </text>
    </comment>
    <comment ref="E260" authorId="0" shapeId="0" xr:uid="{00000000-0006-0000-0400-00005C000000}">
      <text>
        <r>
          <rPr>
            <sz val="10"/>
            <color rgb="FF000000"/>
            <rFont val="Arial"/>
          </rPr>
          <t>Geocode : 
Sorry, no results were found for this address. Please retry by reformulating it or looking for wider results.</t>
        </r>
      </text>
    </comment>
    <comment ref="E263" authorId="0" shapeId="0" xr:uid="{00000000-0006-0000-0400-00005D000000}">
      <text>
        <r>
          <rPr>
            <sz val="10"/>
            <color rgb="FF000000"/>
            <rFont val="Arial"/>
          </rPr>
          <t>Geocode : 
Sorry, no results were found for this address. Please retry by reformulating it or looking for wider results.</t>
        </r>
      </text>
    </comment>
    <comment ref="E266" authorId="0" shapeId="0" xr:uid="{00000000-0006-0000-0400-00005E000000}">
      <text>
        <r>
          <rPr>
            <sz val="10"/>
            <color rgb="FF000000"/>
            <rFont val="Arial"/>
          </rPr>
          <t>Geocode : 
Sorry, no results were found for this address. Please retry by reformulating it or looking for wider results.</t>
        </r>
      </text>
    </comment>
    <comment ref="E271" authorId="0" shapeId="0" xr:uid="{00000000-0006-0000-0400-00005F000000}">
      <text>
        <r>
          <rPr>
            <sz val="10"/>
            <color rgb="FF000000"/>
            <rFont val="Arial"/>
          </rPr>
          <t>Geocode : 
Sorry, no results were found for this address. Please retry by reformulating it or looking for wider results.</t>
        </r>
      </text>
    </comment>
    <comment ref="E272" authorId="0" shapeId="0" xr:uid="{00000000-0006-0000-0400-000060000000}">
      <text>
        <r>
          <rPr>
            <sz val="10"/>
            <color rgb="FF000000"/>
            <rFont val="Arial"/>
          </rPr>
          <t>Geocode : 
Sorry, no results were found for this address. Please retry by reformulating it or looking for wider results.</t>
        </r>
      </text>
    </comment>
    <comment ref="E273" authorId="0" shapeId="0" xr:uid="{00000000-0006-0000-0400-000061000000}">
      <text>
        <r>
          <rPr>
            <sz val="10"/>
            <color rgb="FF000000"/>
            <rFont val="Arial"/>
          </rPr>
          <t>Geocode : 
Sorry, no results were found for this address. Please retry by reformulating it or looking for wider results.</t>
        </r>
      </text>
    </comment>
    <comment ref="E274" authorId="0" shapeId="0" xr:uid="{00000000-0006-0000-0400-000062000000}">
      <text>
        <r>
          <rPr>
            <sz val="10"/>
            <color rgb="FF000000"/>
            <rFont val="Arial"/>
          </rPr>
          <t>Geocode : 
Sorry, no results were found for this address. Please retry by reformulating it or looking for wider results.</t>
        </r>
      </text>
    </comment>
    <comment ref="E278" authorId="0" shapeId="0" xr:uid="{00000000-0006-0000-0400-000063000000}">
      <text>
        <r>
          <rPr>
            <sz val="10"/>
            <color rgb="FF000000"/>
            <rFont val="Arial"/>
          </rPr>
          <t>Geocode : 
Sorry, no results were found for this address. Please retry by reformulating it or looking for wider results.</t>
        </r>
      </text>
    </comment>
    <comment ref="E279" authorId="0" shapeId="0" xr:uid="{00000000-0006-0000-0400-000064000000}">
      <text>
        <r>
          <rPr>
            <sz val="10"/>
            <color rgb="FF000000"/>
            <rFont val="Arial"/>
          </rPr>
          <t>Geocode : 
Sorry, no results were found for this address. Please retry by reformulating it or looking for wider results.</t>
        </r>
      </text>
    </comment>
    <comment ref="E283" authorId="0" shapeId="0" xr:uid="{00000000-0006-0000-0400-000065000000}">
      <text>
        <r>
          <rPr>
            <sz val="10"/>
            <color rgb="FF000000"/>
            <rFont val="Arial"/>
          </rPr>
          <t>Geocode : 
Sorry, no results were found for this address. Please retry by reformulating it or looking for wider results.</t>
        </r>
      </text>
    </comment>
    <comment ref="E287" authorId="0" shapeId="0" xr:uid="{00000000-0006-0000-0400-000066000000}">
      <text>
        <r>
          <rPr>
            <sz val="10"/>
            <color rgb="FF000000"/>
            <rFont val="Arial"/>
          </rPr>
          <t>Geocode : 
Sorry, no results were found for this address. Please retry by reformulating it or looking for wider results.</t>
        </r>
      </text>
    </comment>
    <comment ref="E288" authorId="0" shapeId="0" xr:uid="{00000000-0006-0000-0400-000067000000}">
      <text>
        <r>
          <rPr>
            <sz val="10"/>
            <color rgb="FF000000"/>
            <rFont val="Arial"/>
          </rPr>
          <t>Geocode : 
Sorry, no results were found for this address. Please retry by reformulating it or looking for wider results.</t>
        </r>
      </text>
    </comment>
    <comment ref="E289" authorId="0" shapeId="0" xr:uid="{00000000-0006-0000-0400-000068000000}">
      <text>
        <r>
          <rPr>
            <sz val="10"/>
            <color rgb="FF000000"/>
            <rFont val="Arial"/>
          </rPr>
          <t>Geocode : 
Sorry, no results were found for this address. Please retry by reformulating it or looking for wider results.</t>
        </r>
      </text>
    </comment>
    <comment ref="E292" authorId="0" shapeId="0" xr:uid="{00000000-0006-0000-0400-000069000000}">
      <text>
        <r>
          <rPr>
            <sz val="10"/>
            <color rgb="FF000000"/>
            <rFont val="Arial"/>
          </rPr>
          <t>Geocode : 
Sorry, no results were found for this address. Please retry by reformulating it or looking for wider results.</t>
        </r>
      </text>
    </comment>
    <comment ref="E293" authorId="0" shapeId="0" xr:uid="{00000000-0006-0000-0400-00006A000000}">
      <text>
        <r>
          <rPr>
            <sz val="10"/>
            <color rgb="FF000000"/>
            <rFont val="Arial"/>
          </rPr>
          <t>Geocode : 
Sorry, no results were found for this address. Please retry by reformulating it or looking for wider results.</t>
        </r>
      </text>
    </comment>
    <comment ref="E295" authorId="0" shapeId="0" xr:uid="{00000000-0006-0000-0400-00006B000000}">
      <text>
        <r>
          <rPr>
            <sz val="10"/>
            <color rgb="FF000000"/>
            <rFont val="Arial"/>
          </rPr>
          <t>Geocode : 
Sorry, no results were found for this address. Please retry by reformulating it or looking for wider results.</t>
        </r>
      </text>
    </comment>
    <comment ref="E296" authorId="0" shapeId="0" xr:uid="{00000000-0006-0000-0400-00006C000000}">
      <text>
        <r>
          <rPr>
            <sz val="10"/>
            <color rgb="FF000000"/>
            <rFont val="Arial"/>
          </rPr>
          <t>Geocode : 
Sorry, no results were found for this address. Please retry by reformulating it or looking for wider results.</t>
        </r>
      </text>
    </comment>
    <comment ref="E300" authorId="0" shapeId="0" xr:uid="{00000000-0006-0000-0400-00006D000000}">
      <text>
        <r>
          <rPr>
            <sz val="10"/>
            <color rgb="FF000000"/>
            <rFont val="Arial"/>
          </rPr>
          <t>Geocode : 
Sorry, no results were found for this address. Please retry by reformulating it or looking for wider results.</t>
        </r>
      </text>
    </comment>
    <comment ref="E301" authorId="0" shapeId="0" xr:uid="{00000000-0006-0000-0400-00006E000000}">
      <text>
        <r>
          <rPr>
            <sz val="10"/>
            <color rgb="FF000000"/>
            <rFont val="Arial"/>
          </rPr>
          <t>Geocode : 
Sorry, no results were found for this address. Please retry by reformulating it or looking for wider results.</t>
        </r>
      </text>
    </comment>
    <comment ref="E303" authorId="0" shapeId="0" xr:uid="{00000000-0006-0000-0400-00006F000000}">
      <text>
        <r>
          <rPr>
            <sz val="10"/>
            <color rgb="FF000000"/>
            <rFont val="Arial"/>
          </rPr>
          <t>Geocode : 
Sorry, no results were found for this address. Please retry by reformulating it or looking for wider results.</t>
        </r>
      </text>
    </comment>
    <comment ref="E304" authorId="0" shapeId="0" xr:uid="{00000000-0006-0000-0400-000070000000}">
      <text>
        <r>
          <rPr>
            <sz val="10"/>
            <color rgb="FF000000"/>
            <rFont val="Arial"/>
          </rPr>
          <t>Geocode : 
Sorry, no results were found for this address. Please retry by reformulating it or looking for wider results.</t>
        </r>
      </text>
    </comment>
    <comment ref="E306" authorId="0" shapeId="0" xr:uid="{00000000-0006-0000-0400-000071000000}">
      <text>
        <r>
          <rPr>
            <sz val="10"/>
            <color rgb="FF000000"/>
            <rFont val="Arial"/>
          </rPr>
          <t>Geocode : 
Sorry, no results were found for this address. Please retry by reformulating it or looking for wider results.</t>
        </r>
      </text>
    </comment>
    <comment ref="E307" authorId="0" shapeId="0" xr:uid="{00000000-0006-0000-0400-000072000000}">
      <text>
        <r>
          <rPr>
            <sz val="10"/>
            <color rgb="FF000000"/>
            <rFont val="Arial"/>
          </rPr>
          <t>Geocode : 
Sorry, no results were found for this address. Please retry by reformulating it or looking for wider results.</t>
        </r>
      </text>
    </comment>
    <comment ref="E309" authorId="0" shapeId="0" xr:uid="{00000000-0006-0000-0400-000073000000}">
      <text>
        <r>
          <rPr>
            <sz val="10"/>
            <color rgb="FF000000"/>
            <rFont val="Arial"/>
          </rPr>
          <t>Geocode : 
Sorry, no results were found for this address. Please retry by reformulating it or looking for wider results.</t>
        </r>
      </text>
    </comment>
    <comment ref="E310" authorId="0" shapeId="0" xr:uid="{00000000-0006-0000-0400-000074000000}">
      <text>
        <r>
          <rPr>
            <sz val="10"/>
            <color rgb="FF000000"/>
            <rFont val="Arial"/>
          </rPr>
          <t>Geocode : 
Sorry, no results were found for this address. Please retry by reformulating it or looking for wider results.</t>
        </r>
      </text>
    </comment>
    <comment ref="E313" authorId="0" shapeId="0" xr:uid="{00000000-0006-0000-0400-000075000000}">
      <text>
        <r>
          <rPr>
            <sz val="10"/>
            <color rgb="FF000000"/>
            <rFont val="Arial"/>
          </rPr>
          <t>Geocode : 
Sorry, no results were found for this address. Please retry by reformulating it or looking for wider results.</t>
        </r>
      </text>
    </comment>
    <comment ref="E319" authorId="0" shapeId="0" xr:uid="{00000000-0006-0000-0400-000076000000}">
      <text>
        <r>
          <rPr>
            <sz val="10"/>
            <color rgb="FF000000"/>
            <rFont val="Arial"/>
          </rPr>
          <t>Geocode : 
Sorry, no results were found for this address. Please retry by reformulating it or looking for wider results.</t>
        </r>
      </text>
    </comment>
    <comment ref="E320" authorId="0" shapeId="0" xr:uid="{00000000-0006-0000-0400-000077000000}">
      <text>
        <r>
          <rPr>
            <sz val="10"/>
            <color rgb="FF000000"/>
            <rFont val="Arial"/>
          </rPr>
          <t>Geocode : 
Sorry, no results were found for this address. Please retry by reformulating it or looking for wider results.</t>
        </r>
      </text>
    </comment>
    <comment ref="E324" authorId="0" shapeId="0" xr:uid="{00000000-0006-0000-0400-000078000000}">
      <text>
        <r>
          <rPr>
            <sz val="10"/>
            <color rgb="FF000000"/>
            <rFont val="Arial"/>
          </rPr>
          <t>Geocode : 
Sorry, no results were found for this address. Please retry by reformulating it or looking for wider results.</t>
        </r>
      </text>
    </comment>
    <comment ref="E330" authorId="0" shapeId="0" xr:uid="{00000000-0006-0000-0400-000079000000}">
      <text>
        <r>
          <rPr>
            <sz val="10"/>
            <color rgb="FF000000"/>
            <rFont val="Arial"/>
          </rPr>
          <t>Geocode : 
Sorry, no results were found for this address. Please retry by reformulating it or looking for wider results.</t>
        </r>
      </text>
    </comment>
    <comment ref="E335" authorId="0" shapeId="0" xr:uid="{00000000-0006-0000-0400-00007A000000}">
      <text>
        <r>
          <rPr>
            <sz val="10"/>
            <color rgb="FF000000"/>
            <rFont val="Arial"/>
          </rPr>
          <t>Geocode : 
Sorry, no results were found for this address. Please retry by reformulating it or looking for wider results.</t>
        </r>
      </text>
    </comment>
    <comment ref="E336" authorId="0" shapeId="0" xr:uid="{00000000-0006-0000-0400-00007B000000}">
      <text>
        <r>
          <rPr>
            <sz val="10"/>
            <color rgb="FF000000"/>
            <rFont val="Arial"/>
          </rPr>
          <t>Geocode : 
Sorry, no results were found for this address. Please retry by reformulating it or looking for wider results.</t>
        </r>
      </text>
    </comment>
    <comment ref="E338" authorId="0" shapeId="0" xr:uid="{00000000-0006-0000-0400-00007C000000}">
      <text>
        <r>
          <rPr>
            <sz val="10"/>
            <color rgb="FF000000"/>
            <rFont val="Arial"/>
          </rPr>
          <t>Geocode : 
Sorry, no results were found for this address. Please retry by reformulating it or looking for wider results.</t>
        </r>
      </text>
    </comment>
    <comment ref="E340" authorId="0" shapeId="0" xr:uid="{00000000-0006-0000-0400-00007D000000}">
      <text>
        <r>
          <rPr>
            <sz val="10"/>
            <color rgb="FF000000"/>
            <rFont val="Arial"/>
          </rPr>
          <t>Geocode : 
Sorry, no results were found for this address. Please retry by reformulating it or looking for wider results.</t>
        </r>
      </text>
    </comment>
    <comment ref="E341" authorId="0" shapeId="0" xr:uid="{00000000-0006-0000-0400-00007E000000}">
      <text>
        <r>
          <rPr>
            <sz val="10"/>
            <color rgb="FF000000"/>
            <rFont val="Arial"/>
          </rPr>
          <t>Geocode : 
Sorry, no results were found for this address. Please retry by reformulating it or looking for wider results.</t>
        </r>
      </text>
    </comment>
    <comment ref="E345" authorId="0" shapeId="0" xr:uid="{00000000-0006-0000-0400-00007F000000}">
      <text>
        <r>
          <rPr>
            <sz val="10"/>
            <color rgb="FF000000"/>
            <rFont val="Arial"/>
          </rPr>
          <t>Geocode : 
Sorry, no results were found for this address. Please retry by reformulating it or looking for wider results.</t>
        </r>
      </text>
    </comment>
    <comment ref="E346" authorId="0" shapeId="0" xr:uid="{00000000-0006-0000-0400-000080000000}">
      <text>
        <r>
          <rPr>
            <sz val="10"/>
            <color rgb="FF000000"/>
            <rFont val="Arial"/>
          </rPr>
          <t>Geocode : 
Sorry, no results were found for this address. Please retry by reformulating it or looking for wider results.</t>
        </r>
      </text>
    </comment>
    <comment ref="E350" authorId="0" shapeId="0" xr:uid="{00000000-0006-0000-0400-000081000000}">
      <text>
        <r>
          <rPr>
            <sz val="10"/>
            <color rgb="FF000000"/>
            <rFont val="Arial"/>
          </rPr>
          <t>Geocode : 
Sorry, no results were found for this address. Please retry by reformulating it or looking for wider results.</t>
        </r>
      </text>
    </comment>
    <comment ref="E353" authorId="0" shapeId="0" xr:uid="{00000000-0006-0000-0400-000082000000}">
      <text>
        <r>
          <rPr>
            <sz val="10"/>
            <color rgb="FF000000"/>
            <rFont val="Arial"/>
          </rPr>
          <t>Geocode : 
Sorry, no results were found for this address. Please retry by reformulating it or looking for wider results.</t>
        </r>
      </text>
    </comment>
    <comment ref="E355" authorId="0" shapeId="0" xr:uid="{00000000-0006-0000-0400-000083000000}">
      <text>
        <r>
          <rPr>
            <sz val="10"/>
            <color rgb="FF000000"/>
            <rFont val="Arial"/>
          </rPr>
          <t>Geocode : 
Sorry, no results were found for this address. Please retry by reformulating it or looking for wider results.</t>
        </r>
      </text>
    </comment>
    <comment ref="E358" authorId="0" shapeId="0" xr:uid="{00000000-0006-0000-0400-000084000000}">
      <text>
        <r>
          <rPr>
            <sz val="10"/>
            <color rgb="FF000000"/>
            <rFont val="Arial"/>
          </rPr>
          <t>Geocode : 
Sorry, no results were found for this address. Please retry by reformulating it or looking for wider results.</t>
        </r>
      </text>
    </comment>
    <comment ref="E362" authorId="0" shapeId="0" xr:uid="{00000000-0006-0000-0400-000085000000}">
      <text>
        <r>
          <rPr>
            <sz val="10"/>
            <color rgb="FF000000"/>
            <rFont val="Arial"/>
          </rPr>
          <t>Geocode : 
Sorry, no results were found for this address. Please retry by reformulating it or looking for wider results.</t>
        </r>
      </text>
    </comment>
    <comment ref="E363" authorId="0" shapeId="0" xr:uid="{00000000-0006-0000-0400-000086000000}">
      <text>
        <r>
          <rPr>
            <sz val="10"/>
            <color rgb="FF000000"/>
            <rFont val="Arial"/>
          </rPr>
          <t>Geocode : 
Sorry, no results were found for this address. Please retry by reformulating it or looking for wider results.</t>
        </r>
      </text>
    </comment>
    <comment ref="E369" authorId="0" shapeId="0" xr:uid="{00000000-0006-0000-0400-000087000000}">
      <text>
        <r>
          <rPr>
            <sz val="10"/>
            <color rgb="FF000000"/>
            <rFont val="Arial"/>
          </rPr>
          <t>Geocode : 
Sorry, no results were found for this address. Please retry by reformulating it or looking for wider results.</t>
        </r>
      </text>
    </comment>
    <comment ref="E371" authorId="0" shapeId="0" xr:uid="{00000000-0006-0000-0400-000088000000}">
      <text>
        <r>
          <rPr>
            <sz val="10"/>
            <color rgb="FF000000"/>
            <rFont val="Arial"/>
          </rPr>
          <t>Geocode : 
Sorry, no results were found for this address. Please retry by reformulating it or looking for wider results.</t>
        </r>
      </text>
    </comment>
    <comment ref="E372" authorId="0" shapeId="0" xr:uid="{00000000-0006-0000-0400-000089000000}">
      <text>
        <r>
          <rPr>
            <sz val="10"/>
            <color rgb="FF000000"/>
            <rFont val="Arial"/>
          </rPr>
          <t>Geocode : 
Sorry, no results were found for this address. Please retry by reformulating it or looking for wider results.</t>
        </r>
      </text>
    </comment>
    <comment ref="E373" authorId="0" shapeId="0" xr:uid="{00000000-0006-0000-0400-00008A000000}">
      <text>
        <r>
          <rPr>
            <sz val="10"/>
            <color rgb="FF000000"/>
            <rFont val="Arial"/>
          </rPr>
          <t>Geocode : 
Sorry, no results were found for this address. Please retry by reformulating it or looking for wider results.</t>
        </r>
      </text>
    </comment>
    <comment ref="E375" authorId="0" shapeId="0" xr:uid="{00000000-0006-0000-0400-00008B000000}">
      <text>
        <r>
          <rPr>
            <sz val="10"/>
            <color rgb="FF000000"/>
            <rFont val="Arial"/>
          </rPr>
          <t>Geocode : 
Sorry, no results were found for this address. Please retry by reformulating it or looking for wider results.</t>
        </r>
      </text>
    </comment>
    <comment ref="E376" authorId="0" shapeId="0" xr:uid="{00000000-0006-0000-0400-00008C000000}">
      <text>
        <r>
          <rPr>
            <sz val="10"/>
            <color rgb="FF000000"/>
            <rFont val="Arial"/>
          </rPr>
          <t>Geocode : 
Sorry, no results were found for this address. Please retry by reformulating it or looking for wider results.</t>
        </r>
      </text>
    </comment>
    <comment ref="E379" authorId="0" shapeId="0" xr:uid="{00000000-0006-0000-0400-00008D000000}">
      <text>
        <r>
          <rPr>
            <sz val="10"/>
            <color rgb="FF000000"/>
            <rFont val="Arial"/>
          </rPr>
          <t>Geocode : 
Sorry, no results were found for this address. Please retry by reformulating it or looking for wider results.</t>
        </r>
      </text>
    </comment>
    <comment ref="E382" authorId="0" shapeId="0" xr:uid="{00000000-0006-0000-0400-00008E000000}">
      <text>
        <r>
          <rPr>
            <sz val="10"/>
            <color rgb="FF000000"/>
            <rFont val="Arial"/>
          </rPr>
          <t>Geocode : 
Sorry, no results were found for this address. Please retry by reformulating it or looking for wider results.</t>
        </r>
      </text>
    </comment>
    <comment ref="E383" authorId="0" shapeId="0" xr:uid="{00000000-0006-0000-0400-00008F000000}">
      <text>
        <r>
          <rPr>
            <sz val="10"/>
            <color rgb="FF000000"/>
            <rFont val="Arial"/>
          </rPr>
          <t>Geocode : 
Sorry, no results were found for this address. Please retry by reformulating it or looking for wider results.</t>
        </r>
      </text>
    </comment>
    <comment ref="E385" authorId="0" shapeId="0" xr:uid="{00000000-0006-0000-0400-000090000000}">
      <text>
        <r>
          <rPr>
            <sz val="10"/>
            <color rgb="FF000000"/>
            <rFont val="Arial"/>
          </rPr>
          <t>Geocode : 
Sorry, no results were found for this address. Please retry by reformulating it or looking for wider results.</t>
        </r>
      </text>
    </comment>
    <comment ref="E387" authorId="0" shapeId="0" xr:uid="{00000000-0006-0000-0400-000091000000}">
      <text>
        <r>
          <rPr>
            <sz val="10"/>
            <color rgb="FF000000"/>
            <rFont val="Arial"/>
          </rPr>
          <t>Geocode : 
Sorry, no results were found for this address. Please retry by reformulating it or looking for wider results.</t>
        </r>
      </text>
    </comment>
    <comment ref="E390" authorId="0" shapeId="0" xr:uid="{00000000-0006-0000-0400-000092000000}">
      <text>
        <r>
          <rPr>
            <sz val="10"/>
            <color rgb="FF000000"/>
            <rFont val="Arial"/>
          </rPr>
          <t>Geocode : 
Sorry, no results were found for this address. Please retry by reformulating it or looking for wider results.</t>
        </r>
      </text>
    </comment>
    <comment ref="E393" authorId="0" shapeId="0" xr:uid="{00000000-0006-0000-0400-000093000000}">
      <text>
        <r>
          <rPr>
            <sz val="10"/>
            <color rgb="FF000000"/>
            <rFont val="Arial"/>
          </rPr>
          <t>Geocode : 
Sorry, no results were found for this address. Please retry by reformulating it or looking for wider results.</t>
        </r>
      </text>
    </comment>
    <comment ref="E394" authorId="0" shapeId="0" xr:uid="{00000000-0006-0000-0400-000094000000}">
      <text>
        <r>
          <rPr>
            <sz val="10"/>
            <color rgb="FF000000"/>
            <rFont val="Arial"/>
          </rPr>
          <t>Geocode : 
Sorry, no results were found for this address. Please retry by reformulating it or looking for wider results.</t>
        </r>
      </text>
    </comment>
    <comment ref="E395" authorId="0" shapeId="0" xr:uid="{00000000-0006-0000-0400-000095000000}">
      <text>
        <r>
          <rPr>
            <sz val="10"/>
            <color rgb="FF000000"/>
            <rFont val="Arial"/>
          </rPr>
          <t>Geocode : 
Sorry, no results were found for this address. Please retry by reformulating it or looking for wider results.</t>
        </r>
      </text>
    </comment>
    <comment ref="E396" authorId="0" shapeId="0" xr:uid="{00000000-0006-0000-0400-000096000000}">
      <text>
        <r>
          <rPr>
            <sz val="10"/>
            <color rgb="FF000000"/>
            <rFont val="Arial"/>
          </rPr>
          <t>Geocode : 
Sorry, no results were found for this address. Please retry by reformulating it or looking for wider results.</t>
        </r>
      </text>
    </comment>
    <comment ref="E398" authorId="0" shapeId="0" xr:uid="{00000000-0006-0000-0400-000097000000}">
      <text>
        <r>
          <rPr>
            <sz val="10"/>
            <color rgb="FF000000"/>
            <rFont val="Arial"/>
          </rPr>
          <t>Geocode : 
Sorry, no results were found for this address. Please retry by reformulating it or looking for wider results.</t>
        </r>
      </text>
    </comment>
    <comment ref="E400" authorId="0" shapeId="0" xr:uid="{00000000-0006-0000-0400-000098000000}">
      <text>
        <r>
          <rPr>
            <sz val="10"/>
            <color rgb="FF000000"/>
            <rFont val="Arial"/>
          </rPr>
          <t>Geocode : 
Sorry, no results were found for this address. Please retry by reformulating it or looking for wider results.</t>
        </r>
      </text>
    </comment>
    <comment ref="E403" authorId="0" shapeId="0" xr:uid="{00000000-0006-0000-0400-000099000000}">
      <text>
        <r>
          <rPr>
            <sz val="10"/>
            <color rgb="FF000000"/>
            <rFont val="Arial"/>
          </rPr>
          <t>Geocode : 
Sorry, no results were found for this address. Please retry by reformulating it or looking for wider results.</t>
        </r>
      </text>
    </comment>
    <comment ref="E408" authorId="0" shapeId="0" xr:uid="{00000000-0006-0000-0400-00009A000000}">
      <text>
        <r>
          <rPr>
            <sz val="10"/>
            <color rgb="FF000000"/>
            <rFont val="Arial"/>
          </rPr>
          <t>Geocode : 
Sorry, no results were found for this address. Please retry by reformulating it or looking for wider results.</t>
        </r>
      </text>
    </comment>
    <comment ref="E410" authorId="0" shapeId="0" xr:uid="{00000000-0006-0000-0400-00009B000000}">
      <text>
        <r>
          <rPr>
            <sz val="10"/>
            <color rgb="FF000000"/>
            <rFont val="Arial"/>
          </rPr>
          <t>Geocode : 
Sorry, no results were found for this address. Please retry by reformulating it or looking for wider results.</t>
        </r>
      </text>
    </comment>
    <comment ref="E413" authorId="0" shapeId="0" xr:uid="{00000000-0006-0000-0400-00009C000000}">
      <text>
        <r>
          <rPr>
            <sz val="10"/>
            <color rgb="FF000000"/>
            <rFont val="Arial"/>
          </rPr>
          <t>Geocode : 
Sorry, no results were found for this address. Please retry by reformulating it or looking for wider results.</t>
        </r>
      </text>
    </comment>
    <comment ref="E414" authorId="0" shapeId="0" xr:uid="{00000000-0006-0000-0400-00009D000000}">
      <text>
        <r>
          <rPr>
            <sz val="10"/>
            <color rgb="FF000000"/>
            <rFont val="Arial"/>
          </rPr>
          <t>Geocode : 
Sorry, no results were found for this address. Please retry by reformulating it or looking for wider results.</t>
        </r>
      </text>
    </comment>
    <comment ref="E415" authorId="0" shapeId="0" xr:uid="{00000000-0006-0000-0400-00009E000000}">
      <text>
        <r>
          <rPr>
            <sz val="10"/>
            <color rgb="FF000000"/>
            <rFont val="Arial"/>
          </rPr>
          <t>Geocode : 
Sorry, no results were found for this address. Please retry by reformulating it or looking for wider results.</t>
        </r>
      </text>
    </comment>
    <comment ref="E419" authorId="0" shapeId="0" xr:uid="{00000000-0006-0000-0400-00009F000000}">
      <text>
        <r>
          <rPr>
            <sz val="10"/>
            <color rgb="FF000000"/>
            <rFont val="Arial"/>
          </rPr>
          <t>Geocode : 
Sorry, no results were found for this address. Please retry by reformulating it or looking for wider results.</t>
        </r>
      </text>
    </comment>
    <comment ref="E421" authorId="0" shapeId="0" xr:uid="{00000000-0006-0000-0400-0000A0000000}">
      <text>
        <r>
          <rPr>
            <sz val="10"/>
            <color rgb="FF000000"/>
            <rFont val="Arial"/>
          </rPr>
          <t>Geocode : 
Sorry, no results were found for this address. Please retry by reformulating it or looking for wider results.</t>
        </r>
      </text>
    </comment>
    <comment ref="E426" authorId="0" shapeId="0" xr:uid="{00000000-0006-0000-0400-0000A1000000}">
      <text>
        <r>
          <rPr>
            <sz val="10"/>
            <color rgb="FF000000"/>
            <rFont val="Arial"/>
          </rPr>
          <t>Geocode : 
Sorry, no results were found for this address. Please retry by reformulating it or looking for wider results.</t>
        </r>
      </text>
    </comment>
    <comment ref="E427" authorId="0" shapeId="0" xr:uid="{00000000-0006-0000-0400-0000A2000000}">
      <text>
        <r>
          <rPr>
            <sz val="10"/>
            <color rgb="FF000000"/>
            <rFont val="Arial"/>
          </rPr>
          <t>Geocode : 
Sorry, no results were found for this address. Please retry by reformulating it or looking for wider results.</t>
        </r>
      </text>
    </comment>
    <comment ref="E428" authorId="0" shapeId="0" xr:uid="{00000000-0006-0000-0400-0000A3000000}">
      <text>
        <r>
          <rPr>
            <sz val="10"/>
            <color rgb="FF000000"/>
            <rFont val="Arial"/>
          </rPr>
          <t>Geocode : 
Sorry, no results were found for this address. Please retry by reformulating it or looking for wider results.</t>
        </r>
      </text>
    </comment>
    <comment ref="E430" authorId="0" shapeId="0" xr:uid="{00000000-0006-0000-0400-0000A4000000}">
      <text>
        <r>
          <rPr>
            <sz val="10"/>
            <color rgb="FF000000"/>
            <rFont val="Arial"/>
          </rPr>
          <t>Geocode : 
Sorry, no results were found for this address. Please retry by reformulating it or looking for wider results.</t>
        </r>
      </text>
    </comment>
    <comment ref="E432" authorId="0" shapeId="0" xr:uid="{00000000-0006-0000-0400-0000A5000000}">
      <text>
        <r>
          <rPr>
            <sz val="10"/>
            <color rgb="FF000000"/>
            <rFont val="Arial"/>
          </rPr>
          <t>Geocode : 
Sorry, no results were found for this address. Please retry by reformulating it or looking for wider results.</t>
        </r>
      </text>
    </comment>
    <comment ref="E434" authorId="0" shapeId="0" xr:uid="{00000000-0006-0000-0400-0000A6000000}">
      <text>
        <r>
          <rPr>
            <sz val="10"/>
            <color rgb="FF000000"/>
            <rFont val="Arial"/>
          </rPr>
          <t>Geocode : 
Sorry, no results were found for this address. Please retry by reformulating it or looking for wider results.</t>
        </r>
      </text>
    </comment>
    <comment ref="E437" authorId="0" shapeId="0" xr:uid="{00000000-0006-0000-0400-0000A7000000}">
      <text>
        <r>
          <rPr>
            <sz val="10"/>
            <color rgb="FF000000"/>
            <rFont val="Arial"/>
          </rPr>
          <t>Geocode : 
Sorry, no results were found for this address. Please retry by reformulating it or looking for wider results.</t>
        </r>
      </text>
    </comment>
    <comment ref="E438" authorId="0" shapeId="0" xr:uid="{00000000-0006-0000-0400-0000A8000000}">
      <text>
        <r>
          <rPr>
            <sz val="10"/>
            <color rgb="FF000000"/>
            <rFont val="Arial"/>
          </rPr>
          <t>Geocode : 
Sorry, no results were found for this address. Please retry by reformulating it or looking for wider results.</t>
        </r>
      </text>
    </comment>
    <comment ref="E439" authorId="0" shapeId="0" xr:uid="{00000000-0006-0000-0400-0000A9000000}">
      <text>
        <r>
          <rPr>
            <sz val="10"/>
            <color rgb="FF000000"/>
            <rFont val="Arial"/>
          </rPr>
          <t>Geocode : 
Sorry, no results were found for this address. Please retry by reformulating it or looking for wider results.</t>
        </r>
      </text>
    </comment>
    <comment ref="E443" authorId="0" shapeId="0" xr:uid="{00000000-0006-0000-0400-0000AA000000}">
      <text>
        <r>
          <rPr>
            <sz val="10"/>
            <color rgb="FF000000"/>
            <rFont val="Arial"/>
          </rPr>
          <t>Geocode : 
Sorry, no results were found for this address. Please retry by reformulating it or looking for wider results.</t>
        </r>
      </text>
    </comment>
    <comment ref="E448" authorId="0" shapeId="0" xr:uid="{00000000-0006-0000-0400-0000AB000000}">
      <text>
        <r>
          <rPr>
            <sz val="10"/>
            <color rgb="FF000000"/>
            <rFont val="Arial"/>
          </rPr>
          <t>Geocode : 
Sorry, no results were found for this address. Please retry by reformulating it or looking for wider results.</t>
        </r>
      </text>
    </comment>
    <comment ref="E452" authorId="0" shapeId="0" xr:uid="{00000000-0006-0000-0400-0000AC000000}">
      <text>
        <r>
          <rPr>
            <sz val="10"/>
            <color rgb="FF000000"/>
            <rFont val="Arial"/>
          </rPr>
          <t>Geocode : 
Sorry, no results were found for this address. Please retry by reformulating it or looking for wider results.</t>
        </r>
      </text>
    </comment>
    <comment ref="E453" authorId="0" shapeId="0" xr:uid="{00000000-0006-0000-0400-0000AD000000}">
      <text>
        <r>
          <rPr>
            <sz val="10"/>
            <color rgb="FF000000"/>
            <rFont val="Arial"/>
          </rPr>
          <t>Geocode : 
Sorry, no results were found for this address. Please retry by reformulating it or looking for wider results.</t>
        </r>
      </text>
    </comment>
    <comment ref="E454" authorId="0" shapeId="0" xr:uid="{00000000-0006-0000-0400-0000AE000000}">
      <text>
        <r>
          <rPr>
            <sz val="10"/>
            <color rgb="FF000000"/>
            <rFont val="Arial"/>
          </rPr>
          <t>Geocode : 
Sorry, no results were found for this address. Please retry by reformulating it or looking for wider results.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F33" authorId="0" shapeId="0" xr:uid="{00000000-0006-0000-0500-000001000000}">
      <text>
        <r>
          <rPr>
            <sz val="10"/>
            <color rgb="FF000000"/>
            <rFont val="Arial"/>
          </rPr>
          <t xml:space="preserve">Geocode : 
We couldn't find any results for the given address. The GPS data was obtained by using the following address : 
near Hebron </t>
        </r>
      </text>
    </comment>
    <comment ref="F35" authorId="0" shapeId="0" xr:uid="{00000000-0006-0000-0500-000002000000}">
      <text>
        <r>
          <rPr>
            <sz val="10"/>
            <color rgb="FF000000"/>
            <rFont val="Arial"/>
          </rPr>
          <t xml:space="preserve">Geocode : 
We couldn't find any results for the given address. The GPS data was obtained by using the following address : 
Village </t>
        </r>
      </text>
    </comment>
    <comment ref="F42" authorId="0" shapeId="0" xr:uid="{00000000-0006-0000-0500-000003000000}">
      <text>
        <r>
          <rPr>
            <sz val="10"/>
            <color rgb="FF000000"/>
            <rFont val="Arial"/>
          </rPr>
          <t xml:space="preserve">Geocode : 
We couldn't find any results for the given address. The GPS data was obtained by using the following address : 
Daphne </t>
        </r>
      </text>
    </comment>
    <comment ref="F46" authorId="0" shapeId="0" xr:uid="{00000000-0006-0000-0500-000004000000}">
      <text>
        <r>
          <rPr>
            <sz val="10"/>
            <color rgb="FF000000"/>
            <rFont val="Arial"/>
          </rPr>
          <t xml:space="preserve">Geocode : 
We couldn't find any results for the given address. The GPS data was obtained by using the following address : 
Rafah area </t>
        </r>
      </text>
    </comment>
    <comment ref="F49" authorId="0" shapeId="0" xr:uid="{00000000-0006-0000-0500-000005000000}">
      <text>
        <r>
          <rPr>
            <sz val="10"/>
            <color rgb="FF000000"/>
            <rFont val="Arial"/>
          </rPr>
          <t xml:space="preserve">Geocode : 
We couldn't find any results for the given address. The GPS data was obtained by using the following address : 
and Nissan </t>
        </r>
      </text>
    </comment>
    <comment ref="F79" authorId="0" shapeId="0" xr:uid="{00000000-0006-0000-0500-000006000000}">
      <text>
        <r>
          <rPr>
            <sz val="10"/>
            <color rgb="FF000000"/>
            <rFont val="Arial"/>
          </rPr>
          <t xml:space="preserve">Geocode : 
We couldn't find any results for the given address. The GPS data was obtained by using the following address : 
Barry Isaac </t>
        </r>
      </text>
    </comment>
    <comment ref="F96" authorId="0" shapeId="0" xr:uid="{00000000-0006-0000-0500-000007000000}">
      <text>
        <r>
          <rPr>
            <sz val="10"/>
            <color rgb="FF000000"/>
            <rFont val="Arial"/>
          </rPr>
          <t xml:space="preserve">Geocode : 
We couldn't find any results for the given address. The GPS data was obtained by using the following address : 
in southern Gaza Strip </t>
        </r>
      </text>
    </comment>
    <comment ref="F103" authorId="0" shapeId="0" xr:uid="{00000000-0006-0000-0500-000008000000}">
      <text>
        <r>
          <rPr>
            <sz val="10"/>
            <color rgb="FF000000"/>
            <rFont val="Arial"/>
          </rPr>
          <t xml:space="preserve">Geocode : 
We couldn't find any results for the given address. The GPS data was obtained by using the following address : 
Hnobs </t>
        </r>
      </text>
    </comment>
    <comment ref="F110" authorId="0" shapeId="0" xr:uid="{00000000-0006-0000-0500-000009000000}">
      <text>
        <r>
          <rPr>
            <sz val="10"/>
            <color rgb="FF000000"/>
            <rFont val="Arial"/>
          </rPr>
          <t xml:space="preserve">Geocode : 
We couldn't find any results for the given address. The GPS data was obtained by using the following address : 
Hosob </t>
        </r>
      </text>
    </comment>
    <comment ref="F115" authorId="0" shapeId="0" xr:uid="{00000000-0006-0000-0500-00000A000000}">
      <text>
        <r>
          <rPr>
            <sz val="10"/>
            <color rgb="FF000000"/>
            <rFont val="Arial"/>
          </rPr>
          <t xml:space="preserve">Geocode : 
We couldn't find any results for the given address. The GPS data was obtained by using the following address : 
undefined  </t>
        </r>
      </text>
    </comment>
    <comment ref="F118" authorId="0" shapeId="0" xr:uid="{00000000-0006-0000-0500-00000B000000}">
      <text>
        <r>
          <rPr>
            <sz val="10"/>
            <color rgb="FF000000"/>
            <rFont val="Arial"/>
          </rPr>
          <t xml:space="preserve">Geocode : 
We couldn't find any results for the given address. The GPS data was obtained by using the following address : 
Sha'alvim </t>
        </r>
      </text>
    </comment>
    <comment ref="F120" authorId="0" shapeId="0" xr:uid="{00000000-0006-0000-0500-00000C000000}">
      <text>
        <r>
          <rPr>
            <sz val="10"/>
            <color rgb="FF000000"/>
            <rFont val="Arial"/>
          </rPr>
          <t xml:space="preserve">Geocode : 
We couldn't find any results for the given address. The GPS data was obtained by using the following address : 
Junction </t>
        </r>
      </text>
    </comment>
    <comment ref="F131" authorId="0" shapeId="0" xr:uid="{00000000-0006-0000-0500-00000D000000}">
      <text>
        <r>
          <rPr>
            <sz val="10"/>
            <color rgb="FF000000"/>
            <rFont val="Arial"/>
          </rPr>
          <t xml:space="preserve">Geocode : 
We couldn't find any results for the given address. The GPS data was obtained by using the following address : 
snub </t>
        </r>
      </text>
    </comment>
    <comment ref="F133" authorId="0" shapeId="0" xr:uid="{00000000-0006-0000-0500-00000E000000}">
      <text>
        <r>
          <rPr>
            <sz val="10"/>
            <color rgb="FF000000"/>
            <rFont val="Arial"/>
          </rPr>
          <t xml:space="preserve">Geocode : 
We couldn't find any results for the given address. The GPS data was obtained by using the following address : 
north of Migdal-Gad </t>
        </r>
      </text>
    </comment>
    <comment ref="F136" authorId="0" shapeId="0" xr:uid="{00000000-0006-0000-0500-00000F000000}">
      <text>
        <r>
          <rPr>
            <sz val="10"/>
            <color rgb="FF000000"/>
            <rFont val="Arial"/>
          </rPr>
          <t xml:space="preserve">Geocode : 
We couldn't find any results for the given address. The GPS data was obtained by using the following address : 
settlement </t>
        </r>
      </text>
    </comment>
    <comment ref="F144" authorId="0" shapeId="0" xr:uid="{00000000-0006-0000-0500-000010000000}">
      <text>
        <r>
          <rPr>
            <sz val="10"/>
            <color rgb="FF000000"/>
            <rFont val="Arial"/>
          </rPr>
          <t xml:space="preserve">Geocode : 
We couldn't find any results for the given address. The GPS data was obtained by using the following address : 
undefined  </t>
        </r>
      </text>
    </comment>
    <comment ref="F145" authorId="0" shapeId="0" xr:uid="{00000000-0006-0000-0500-000011000000}">
      <text>
        <r>
          <rPr>
            <sz val="10"/>
            <color rgb="FF000000"/>
            <rFont val="Arial"/>
          </rPr>
          <t>Geocode : 
Sorry, no results were found for this address. Please retry by reformulating it or looking for wider results.</t>
        </r>
      </text>
    </comment>
    <comment ref="F149" authorId="0" shapeId="0" xr:uid="{00000000-0006-0000-0500-000012000000}">
      <text>
        <r>
          <rPr>
            <sz val="10"/>
            <color rgb="FF000000"/>
            <rFont val="Arial"/>
          </rPr>
          <t xml:space="preserve">Geocode : 
We couldn't find any results for the given address. The GPS data was obtained by using the following address : 
(Malcha) </t>
        </r>
      </text>
    </comment>
    <comment ref="F152" authorId="0" shapeId="0" xr:uid="{00000000-0006-0000-0500-000013000000}">
      <text>
        <r>
          <rPr>
            <sz val="10"/>
            <color rgb="FF000000"/>
            <rFont val="Arial"/>
          </rPr>
          <t xml:space="preserve">Geocode : 
We couldn't find any results for the given address. The GPS data was obtained by using the following address : 
Petah Tikva area </t>
        </r>
      </text>
    </comment>
    <comment ref="F154" authorId="0" shapeId="0" xr:uid="{00000000-0006-0000-0500-000014000000}">
      <text>
        <r>
          <rPr>
            <sz val="10"/>
            <color rgb="FF000000"/>
            <rFont val="Arial"/>
          </rPr>
          <t xml:space="preserve">Geocode : 
We couldn't find any results for the given address. The GPS data was obtained by using the following address : 
Deir Yassin </t>
        </r>
      </text>
    </comment>
    <comment ref="F162" authorId="0" shapeId="0" xr:uid="{00000000-0006-0000-0500-000015000000}">
      <text>
        <r>
          <rPr>
            <sz val="10"/>
            <color rgb="FF000000"/>
            <rFont val="Arial"/>
          </rPr>
          <t xml:space="preserve">Geocode : 
We couldn't find any results for the given address. The GPS data was obtained by using the following address : 
village, Ein Gev way </t>
        </r>
      </text>
    </comment>
    <comment ref="F174" authorId="0" shapeId="0" xr:uid="{00000000-0006-0000-0500-000016000000}">
      <text>
        <r>
          <rPr>
            <sz val="10"/>
            <color rgb="FF000000"/>
            <rFont val="Arial"/>
          </rPr>
          <t>Geocode : 
Sorry, no results were found for this address. Please retry by reformulating it or looking for wider results.</t>
        </r>
      </text>
    </comment>
    <comment ref="F175" authorId="0" shapeId="0" xr:uid="{00000000-0006-0000-0500-000017000000}">
      <text>
        <r>
          <rPr>
            <sz val="10"/>
            <color rgb="FF000000"/>
            <rFont val="Arial"/>
          </rPr>
          <t xml:space="preserve">Geocode : 
We couldn't find any results for the given address. The GPS data was obtained by using the following address : 
way to Sodom </t>
        </r>
      </text>
    </comment>
    <comment ref="F190" authorId="0" shapeId="0" xr:uid="{00000000-0006-0000-0500-000018000000}">
      <text>
        <r>
          <rPr>
            <sz val="10"/>
            <color rgb="FF000000"/>
            <rFont val="Arial"/>
          </rPr>
          <t xml:space="preserve">Geocode : 
We couldn't find any results for the given address. The GPS data was obtained by using the following address : 
Darom and Gush Katif </t>
        </r>
      </text>
    </comment>
    <comment ref="F192" authorId="0" shapeId="0" xr:uid="{00000000-0006-0000-0500-000019000000}">
      <text>
        <r>
          <rPr>
            <sz val="10"/>
            <color rgb="FF000000"/>
            <rFont val="Arial"/>
          </rPr>
          <t xml:space="preserve">Geocode : 
We couldn't find any results for the given address. The GPS data was obtained by using the following address : 
north of Tulkarm </t>
        </r>
      </text>
    </comment>
    <comment ref="F193" authorId="0" shapeId="0" xr:uid="{00000000-0006-0000-0500-00001A000000}">
      <text>
        <r>
          <rPr>
            <sz val="10"/>
            <color rgb="FF000000"/>
            <rFont val="Arial"/>
          </rPr>
          <t xml:space="preserve">Geocode : 
We couldn't find any results for the given address. The GPS data was obtained by using the following address : 
undefined  </t>
        </r>
      </text>
    </comment>
    <comment ref="F194" authorId="0" shapeId="0" xr:uid="{00000000-0006-0000-0500-00001B000000}">
      <text>
        <r>
          <rPr>
            <sz val="10"/>
            <color rgb="FF000000"/>
            <rFont val="Arial"/>
          </rPr>
          <t xml:space="preserve">Geocode : 
We couldn't find any results for the given address. The GPS data was obtained by using the following address : 
near Mevo Dotan </t>
        </r>
      </text>
    </comment>
    <comment ref="F203" authorId="0" shapeId="0" xr:uid="{00000000-0006-0000-0500-00001C000000}">
      <text>
        <r>
          <rPr>
            <sz val="10"/>
            <color rgb="FF000000"/>
            <rFont val="Arial"/>
          </rPr>
          <t xml:space="preserve">Geocode : 
We couldn't find any results for the given address. The GPS data was obtained by using the following address : 
south of Nablus </t>
        </r>
      </text>
    </comment>
    <comment ref="F204" authorId="0" shapeId="0" xr:uid="{00000000-0006-0000-0500-00001D000000}">
      <text>
        <r>
          <rPr>
            <sz val="10"/>
            <color rgb="FF000000"/>
            <rFont val="Arial"/>
          </rPr>
          <t xml:space="preserve">Geocode : 
We couldn't find any results for the given address. The GPS data was obtained by using the following address : 
Nablus </t>
        </r>
      </text>
    </comment>
    <comment ref="F217" authorId="0" shapeId="0" xr:uid="{00000000-0006-0000-0500-00001E000000}">
      <text>
        <r>
          <rPr>
            <sz val="10"/>
            <color rgb="FF000000"/>
            <rFont val="Arial"/>
          </rPr>
          <t xml:space="preserve">Geocode : 
We couldn't find any results for the given address. The GPS data was obtained by using the following address : 
Apple </t>
        </r>
      </text>
    </comment>
    <comment ref="F224" authorId="0" shapeId="0" xr:uid="{00000000-0006-0000-0500-00001F000000}">
      <text>
        <r>
          <rPr>
            <sz val="10"/>
            <color rgb="FF000000"/>
            <rFont val="Arial"/>
          </rPr>
          <t xml:space="preserve">Geocode : 
We couldn't find any results for the given address. The GPS data was obtained by using the following address : 
Copper Mine </t>
        </r>
      </text>
    </comment>
    <comment ref="F225" authorId="0" shapeId="0" xr:uid="{00000000-0006-0000-0500-000020000000}">
      <text>
        <r>
          <rPr>
            <sz val="10"/>
            <color rgb="FF000000"/>
            <rFont val="Arial"/>
          </rPr>
          <t xml:space="preserve">Geocode : 
We couldn't find any results for the given address. The GPS data was obtained by using the following address : 
lowlands </t>
        </r>
      </text>
    </comment>
    <comment ref="F229" authorId="0" shapeId="0" xr:uid="{00000000-0006-0000-0500-000021000000}">
      <text>
        <r>
          <rPr>
            <sz val="10"/>
            <color rgb="FF000000"/>
            <rFont val="Arial"/>
          </rPr>
          <t xml:space="preserve">Geocode : 
We couldn't find any results for the given address. The GPS data was obtained by using the following address : 
triangle </t>
        </r>
      </text>
    </comment>
    <comment ref="F240" authorId="0" shapeId="0" xr:uid="{00000000-0006-0000-0500-000022000000}">
      <text>
        <r>
          <rPr>
            <sz val="10"/>
            <color rgb="FF000000"/>
            <rFont val="Arial"/>
          </rPr>
          <t xml:space="preserve">Geocode : 
We couldn't find any results for the given address. The GPS data was obtained by using the following address : 
camp north of Hebron </t>
        </r>
      </text>
    </comment>
    <comment ref="F243" authorId="0" shapeId="0" xr:uid="{00000000-0006-0000-0500-000023000000}">
      <text>
        <r>
          <rPr>
            <sz val="10"/>
            <color rgb="FF000000"/>
            <rFont val="Arial"/>
          </rPr>
          <t xml:space="preserve">Geocode : 
We couldn't find any results for the given address. The GPS data was obtained by using the following address : 
entrance to the village </t>
        </r>
      </text>
    </comment>
    <comment ref="F246" authorId="0" shapeId="0" xr:uid="{00000000-0006-0000-0500-000024000000}">
      <text>
        <r>
          <rPr>
            <sz val="10"/>
            <color rgb="FF000000"/>
            <rFont val="Arial"/>
          </rPr>
          <t xml:space="preserve">Geocode : 
We couldn't find any results for the given address. The GPS data was obtained by using the following address : 
south of Qalqiliya </t>
        </r>
      </text>
    </comment>
    <comment ref="F249" authorId="0" shapeId="0" xr:uid="{00000000-0006-0000-0500-000025000000}">
      <text>
        <r>
          <rPr>
            <sz val="10"/>
            <color rgb="FF000000"/>
            <rFont val="Arial"/>
          </rPr>
          <t xml:space="preserve">Geocode : 
We couldn't find any results for the given address. The GPS data was obtained by using the following address : 
of Telem </t>
        </r>
      </text>
    </comment>
    <comment ref="F254" authorId="0" shapeId="0" xr:uid="{00000000-0006-0000-0500-000026000000}">
      <text>
        <r>
          <rPr>
            <sz val="10"/>
            <color rgb="FF000000"/>
            <rFont val="Arial"/>
          </rPr>
          <t xml:space="preserve">Geocode : 
We couldn't find any results for the given address. The GPS data was obtained by using the following address : 
near the Syrian border </t>
        </r>
      </text>
    </comment>
    <comment ref="F261" authorId="0" shapeId="0" xr:uid="{00000000-0006-0000-0500-000027000000}">
      <text>
        <r>
          <rPr>
            <sz val="10"/>
            <color rgb="FF000000"/>
            <rFont val="Arial"/>
          </rPr>
          <t xml:space="preserve">Geocode : 
We couldn't find any results for the given address. The GPS data was obtained by using the following address : 
near the Lebanese border </t>
        </r>
      </text>
    </comment>
    <comment ref="F262" authorId="0" shapeId="0" xr:uid="{00000000-0006-0000-0500-000028000000}">
      <text>
        <r>
          <rPr>
            <sz val="10"/>
            <color rgb="FF000000"/>
            <rFont val="Arial"/>
          </rPr>
          <t xml:space="preserve">Geocode : 
We couldn't find any results for the given address. The GPS data was obtained by using the following address : 
Eilat-Tel Aviv Highway </t>
        </r>
      </text>
    </comment>
    <comment ref="F271" authorId="0" shapeId="0" xr:uid="{00000000-0006-0000-0500-000029000000}">
      <text>
        <r>
          <rPr>
            <sz val="10"/>
            <color rgb="FF000000"/>
            <rFont val="Arial"/>
          </rPr>
          <t xml:space="preserve">Geocode : 
We couldn't find any results for the given address. The GPS data was obtained by using the following address : 
undefined  </t>
        </r>
      </text>
    </comment>
    <comment ref="F273" authorId="0" shapeId="0" xr:uid="{00000000-0006-0000-0500-00002A000000}">
      <text>
        <r>
          <rPr>
            <sz val="10"/>
            <color rgb="FF000000"/>
            <rFont val="Arial"/>
          </rPr>
          <t xml:space="preserve">Geocode : 
We couldn't find any results for the given address. The GPS data was obtained by using the following address : 
west of Ramallah </t>
        </r>
      </text>
    </comment>
    <comment ref="F276" authorId="0" shapeId="0" xr:uid="{00000000-0006-0000-0500-00002B000000}">
      <text>
        <r>
          <rPr>
            <sz val="10"/>
            <color rgb="FF000000"/>
            <rFont val="Arial"/>
          </rPr>
          <t>Geocode : 
Sorry, no results were found for this address. Please retry by reformulating it or looking for wider results.</t>
        </r>
      </text>
    </comment>
    <comment ref="F281" authorId="0" shapeId="0" xr:uid="{00000000-0006-0000-0500-00002C000000}">
      <text>
        <r>
          <rPr>
            <sz val="10"/>
            <color rgb="FF000000"/>
            <rFont val="Arial"/>
          </rPr>
          <t>Geocode : 
Sorry, no results were found for this address. Please retry by reformulating it or looking for wider results.</t>
        </r>
      </text>
    </comment>
    <comment ref="F284" authorId="0" shapeId="0" xr:uid="{00000000-0006-0000-0500-00002D000000}">
      <text>
        <r>
          <rPr>
            <sz val="10"/>
            <color rgb="FF000000"/>
            <rFont val="Arial"/>
          </rPr>
          <t xml:space="preserve">Geocode : 
We couldn't find any results for the given address. The GPS data was obtained by using the following address : 
(Halamish) </t>
        </r>
      </text>
    </comment>
    <comment ref="F285" authorId="0" shapeId="0" xr:uid="{00000000-0006-0000-0500-00002E000000}">
      <text>
        <r>
          <rPr>
            <sz val="10"/>
            <color rgb="FF000000"/>
            <rFont val="Arial"/>
          </rPr>
          <t xml:space="preserve">Geocode : 
We couldn't find any results for the given address. The GPS data was obtained by using the following address : 
near the Lebanese border </t>
        </r>
      </text>
    </comment>
    <comment ref="F287" authorId="0" shapeId="0" xr:uid="{00000000-0006-0000-0500-00002F000000}">
      <text>
        <r>
          <rPr>
            <sz val="10"/>
            <color rgb="FF000000"/>
            <rFont val="Arial"/>
          </rPr>
          <t xml:space="preserve">Geocode : 
We couldn't find any results for the given address. The GPS data was obtained by using the following address : 
Tel Aviv-Jerusalem Highway </t>
        </r>
      </text>
    </comment>
    <comment ref="F294" authorId="0" shapeId="0" xr:uid="{00000000-0006-0000-0500-000030000000}">
      <text>
        <r>
          <rPr>
            <sz val="10"/>
            <color rgb="FF000000"/>
            <rFont val="Arial"/>
          </rPr>
          <t xml:space="preserve">Geocode : 
We couldn't find any results for the given address. The GPS data was obtained by using the following address : 
an area Jordan </t>
        </r>
      </text>
    </comment>
    <comment ref="F313" authorId="0" shapeId="0" xr:uid="{00000000-0006-0000-0500-000031000000}">
      <text>
        <r>
          <rPr>
            <sz val="10"/>
            <color rgb="FF000000"/>
            <rFont val="Arial"/>
          </rPr>
          <t xml:space="preserve">Geocode : 
We couldn't find any results for the given address. The GPS data was obtained by using the following address : 
north Lrmllh </t>
        </r>
      </text>
    </comment>
    <comment ref="F317" authorId="0" shapeId="0" xr:uid="{00000000-0006-0000-0500-000032000000}">
      <text>
        <r>
          <rPr>
            <sz val="10"/>
            <color rgb="FF000000"/>
            <rFont val="Arial"/>
          </rPr>
          <t xml:space="preserve">Geocode : 
We couldn't find any results for the given address. The GPS data was obtained by using the following address : 
the Jordanian border </t>
        </r>
      </text>
    </comment>
    <comment ref="F323" authorId="0" shapeId="0" xr:uid="{00000000-0006-0000-0500-000033000000}">
      <text>
        <r>
          <rPr>
            <sz val="10"/>
            <color rgb="FF000000"/>
            <rFont val="Arial"/>
          </rPr>
          <t xml:space="preserve">Geocode : 
We couldn't find any results for the given address. The GPS data was obtained by using the following address : 
industrial zone, Erez </t>
        </r>
      </text>
    </comment>
    <comment ref="F327" authorId="0" shapeId="0" xr:uid="{00000000-0006-0000-0500-000034000000}">
      <text>
        <r>
          <rPr>
            <sz val="10"/>
            <color rgb="FF000000"/>
            <rFont val="Arial"/>
          </rPr>
          <t xml:space="preserve">Geocode : 
We couldn't find any results for the given address. The GPS data was obtained by using the following address : 
road </t>
        </r>
      </text>
    </comment>
    <comment ref="F329" authorId="0" shapeId="0" xr:uid="{00000000-0006-0000-0500-000035000000}">
      <text>
        <r>
          <rPr>
            <sz val="10"/>
            <color rgb="FF000000"/>
            <rFont val="Arial"/>
          </rPr>
          <t xml:space="preserve">Geocode : 
We couldn't find any results for the given address. The GPS data was obtained by using the following address : 
at the Erez Crossing </t>
        </r>
      </text>
    </comment>
    <comment ref="F334" authorId="0" shapeId="0" xr:uid="{00000000-0006-0000-0500-000036000000}">
      <text>
        <r>
          <rPr>
            <sz val="10"/>
            <color rgb="FF000000"/>
            <rFont val="Arial"/>
          </rPr>
          <t xml:space="preserve">Geocode : 
We couldn't find any results for the given address. The GPS data was obtained by using the following address : 
undefined  </t>
        </r>
      </text>
    </comment>
    <comment ref="F338" authorId="0" shapeId="0" xr:uid="{00000000-0006-0000-0500-000037000000}">
      <text>
        <r>
          <rPr>
            <sz val="10"/>
            <color rgb="FF000000"/>
            <rFont val="Arial"/>
          </rPr>
          <t xml:space="preserve">Geocode : 
We couldn't find any results for the given address. The GPS data was obtained by using the following address : 
fields of economy </t>
        </r>
      </text>
    </comment>
    <comment ref="F339" authorId="0" shapeId="0" xr:uid="{00000000-0006-0000-0500-000038000000}">
      <text>
        <r>
          <rPr>
            <sz val="10"/>
            <color rgb="FF000000"/>
            <rFont val="Arial"/>
          </rPr>
          <t xml:space="preserve">Geocode : 
We couldn't find any results for the given address. The GPS data was obtained by using the following address : 
road-open </t>
        </r>
      </text>
    </comment>
    <comment ref="F344" authorId="0" shapeId="0" xr:uid="{00000000-0006-0000-0500-000039000000}">
      <text>
        <r>
          <rPr>
            <sz val="10"/>
            <color rgb="FF000000"/>
            <rFont val="Arial"/>
          </rPr>
          <t>Geocode : 
Sorry, no results were found for this address. Please retry by reformulating it or looking for wider results.</t>
        </r>
      </text>
    </comment>
    <comment ref="F346" authorId="0" shapeId="0" xr:uid="{00000000-0006-0000-0500-00003A000000}">
      <text>
        <r>
          <rPr>
            <sz val="10"/>
            <color rgb="FF000000"/>
            <rFont val="Arial"/>
          </rPr>
          <t xml:space="preserve">Geocode : 
We couldn't find any results for the given address. The GPS data was obtained by using the following address : 
carved </t>
        </r>
      </text>
    </comment>
    <comment ref="F347" authorId="0" shapeId="0" xr:uid="{00000000-0006-0000-0500-00003B000000}">
      <text>
        <r>
          <rPr>
            <sz val="10"/>
            <color rgb="FF000000"/>
            <rFont val="Arial"/>
          </rPr>
          <t xml:space="preserve">Geocode : 
We couldn't find any results for the given address. The GPS data was obtained by using the following address : 
the border of Jordan </t>
        </r>
      </text>
    </comment>
    <comment ref="F349" authorId="0" shapeId="0" xr:uid="{00000000-0006-0000-0500-00003C000000}">
      <text>
        <r>
          <rPr>
            <sz val="10"/>
            <color rgb="FF000000"/>
            <rFont val="Arial"/>
          </rPr>
          <t xml:space="preserve">Geocode : 
We couldn't find any results for the given address. The GPS data was obtained by using the following address : 
the way to Sycamore </t>
        </r>
      </text>
    </comment>
    <comment ref="F350" authorId="0" shapeId="0" xr:uid="{00000000-0006-0000-0500-00003D000000}">
      <text>
        <r>
          <rPr>
            <sz val="10"/>
            <color rgb="FF000000"/>
            <rFont val="Arial"/>
          </rPr>
          <t xml:space="preserve">Geocode : 
We couldn't find any results for the given address. The GPS data was obtained by using the following address : 
south of sprouts </t>
        </r>
      </text>
    </comment>
    <comment ref="F353" authorId="0" shapeId="0" xr:uid="{00000000-0006-0000-0500-00003E000000}">
      <text>
        <r>
          <rPr>
            <sz val="10"/>
            <color rgb="FF000000"/>
            <rFont val="Arial"/>
          </rPr>
          <t xml:space="preserve">Geocode : 
We couldn't find any results for the given address. The GPS data was obtained by using the following address : 
ot more </t>
        </r>
      </text>
    </comment>
    <comment ref="F356" authorId="0" shapeId="0" xr:uid="{00000000-0006-0000-0500-00003F000000}">
      <text>
        <r>
          <rPr>
            <sz val="10"/>
            <color rgb="FF000000"/>
            <rFont val="Arial"/>
          </rPr>
          <t xml:space="preserve">Geocode : 
We couldn't find any results for the given address. The GPS data was obtained by using the following address : 
the southern Negev </t>
        </r>
      </text>
    </comment>
    <comment ref="F358" authorId="0" shapeId="0" xr:uid="{00000000-0006-0000-0500-000040000000}">
      <text>
        <r>
          <rPr>
            <sz val="10"/>
            <color rgb="FF000000"/>
            <rFont val="Arial"/>
          </rPr>
          <t xml:space="preserve">Geocode : 
We couldn't find any results for the given address. The GPS data was obtained by using the following address : 
Yotvata rest </t>
        </r>
      </text>
    </comment>
    <comment ref="F360" authorId="0" shapeId="0" xr:uid="{00000000-0006-0000-0500-000041000000}">
      <text>
        <r>
          <rPr>
            <sz val="10"/>
            <color rgb="FF000000"/>
            <rFont val="Arial"/>
          </rPr>
          <t xml:space="preserve">Geocode : 
We couldn't find any results for the given address. The GPS data was obtained by using the following address : 
the Lebanon border </t>
        </r>
      </text>
    </comment>
    <comment ref="F363" authorId="0" shapeId="0" xr:uid="{00000000-0006-0000-0500-000042000000}">
      <text>
        <r>
          <rPr>
            <sz val="10"/>
            <color rgb="FF000000"/>
            <rFont val="Arial"/>
          </rPr>
          <t xml:space="preserve">Geocode : 
We couldn't find any results for the given address. The GPS data was obtained by using the following address : 
near the village Geva </t>
        </r>
      </text>
    </comment>
    <comment ref="F368" authorId="0" shapeId="0" xr:uid="{00000000-0006-0000-0500-000043000000}">
      <text>
        <r>
          <rPr>
            <sz val="10"/>
            <color rgb="FF000000"/>
            <rFont val="Arial"/>
          </rPr>
          <t xml:space="preserve">Geocode : 
We couldn't find any results for the given address. The GPS data was obtained by using the following address : 
the Jerusalem Corridor </t>
        </r>
      </text>
    </comment>
    <comment ref="F369" authorId="0" shapeId="0" xr:uid="{00000000-0006-0000-0500-000044000000}">
      <text>
        <r>
          <rPr>
            <sz val="10"/>
            <color rgb="FF000000"/>
            <rFont val="Arial"/>
          </rPr>
          <t xml:space="preserve">Geocode : 
We couldn't find any results for the given address. The GPS data was obtained by using the following address : 
area the patient </t>
        </r>
      </text>
    </comment>
    <comment ref="F371" authorId="0" shapeId="0" xr:uid="{00000000-0006-0000-0500-000045000000}">
      <text>
        <r>
          <rPr>
            <sz val="10"/>
            <color rgb="FF000000"/>
            <rFont val="Arial"/>
          </rPr>
          <t xml:space="preserve">Geocode : 
We couldn't find any results for the given address. The GPS data was obtained by using the following address : 
Beit She'an Valley </t>
        </r>
      </text>
    </comment>
    <comment ref="F373" authorId="0" shapeId="0" xr:uid="{00000000-0006-0000-0500-000046000000}">
      <text>
        <r>
          <rPr>
            <sz val="10"/>
            <color rgb="FF000000"/>
            <rFont val="Arial"/>
          </rPr>
          <t xml:space="preserve">Geocode : 
We couldn't find any results for the given address. The GPS data was obtained by using the following address : 
trio </t>
        </r>
      </text>
    </comment>
    <comment ref="F376" authorId="0" shapeId="0" xr:uid="{00000000-0006-0000-0500-000047000000}">
      <text>
        <r>
          <rPr>
            <sz val="10"/>
            <color rgb="FF000000"/>
            <rFont val="Arial"/>
          </rPr>
          <t xml:space="preserve">Geocode : 
We couldn't find any results for the given address. The GPS data was obtained by using the following address : 
poured Jordan </t>
        </r>
      </text>
    </comment>
    <comment ref="F381" authorId="0" shapeId="0" xr:uid="{00000000-0006-0000-0500-000048000000}">
      <text>
        <r>
          <rPr>
            <sz val="10"/>
            <color rgb="FF000000"/>
            <rFont val="Arial"/>
          </rPr>
          <t xml:space="preserve">Geocode : 
We couldn't find any results for the given address. The GPS data was obtained by using the following address : 
Kibbutz Shamir Kfar Szold </t>
        </r>
      </text>
    </comment>
    <comment ref="F383" authorId="0" shapeId="0" xr:uid="{00000000-0006-0000-0500-000049000000}">
      <text>
        <r>
          <rPr>
            <sz val="10"/>
            <color rgb="FF000000"/>
            <rFont val="Arial"/>
          </rPr>
          <t xml:space="preserve">Geocode : 
We couldn't find any results for the given address. The GPS data was obtained by using the following address : 
dill </t>
        </r>
      </text>
    </comment>
    <comment ref="F385" authorId="0" shapeId="0" xr:uid="{00000000-0006-0000-0500-00004A000000}">
      <text>
        <r>
          <rPr>
            <sz val="10"/>
            <color rgb="FF000000"/>
            <rFont val="Arial"/>
          </rPr>
          <t xml:space="preserve">Geocode : 
We couldn't find any results for the given address. The GPS data was obtained by using the following address : 
Israel and Syria </t>
        </r>
      </text>
    </comment>
    <comment ref="F389" authorId="0" shapeId="0" xr:uid="{00000000-0006-0000-0500-00004B000000}">
      <text>
        <r>
          <rPr>
            <sz val="10"/>
            <color rgb="FF000000"/>
            <rFont val="Arial"/>
          </rPr>
          <t xml:space="preserve">Geocode : 
We couldn't find any results for the given address. The GPS data was obtained by using the following address : 
Galilee </t>
        </r>
      </text>
    </comment>
    <comment ref="F391" authorId="0" shapeId="0" xr:uid="{00000000-0006-0000-0500-00004C000000}">
      <text>
        <r>
          <rPr>
            <sz val="10"/>
            <color rgb="FF000000"/>
            <rFont val="Arial"/>
          </rPr>
          <t xml:space="preserve">Geocode : 
We couldn't find any results for the given address. The GPS data was obtained by using the following address : 
road-blocks </t>
        </r>
      </text>
    </comment>
    <comment ref="F396" authorId="0" shapeId="0" xr:uid="{00000000-0006-0000-0500-00004D000000}">
      <text>
        <r>
          <rPr>
            <sz val="10"/>
            <color rgb="FF000000"/>
            <rFont val="Arial"/>
          </rPr>
          <t xml:space="preserve">Geocode : 
We couldn't find any results for the given address. The GPS data was obtained by using the following address : 
western Negev </t>
        </r>
      </text>
    </comment>
    <comment ref="F402" authorId="0" shapeId="0" xr:uid="{00000000-0006-0000-0500-00004E000000}">
      <text>
        <r>
          <rPr>
            <sz val="10"/>
            <color rgb="FF000000"/>
            <rFont val="Arial"/>
          </rPr>
          <t xml:space="preserve">Geocode : 
We couldn't find any results for the given address. The GPS data was obtained by using the following address : 
zone </t>
        </r>
      </text>
    </comment>
    <comment ref="F404" authorId="0" shapeId="0" xr:uid="{00000000-0006-0000-0500-00004F000000}">
      <text>
        <r>
          <rPr>
            <sz val="10"/>
            <color rgb="FF000000"/>
            <rFont val="Arial"/>
          </rPr>
          <t xml:space="preserve">Geocode : 
We couldn't find any results for the given address. The GPS data was obtained by using the following address : 
Session </t>
        </r>
      </text>
    </comment>
    <comment ref="F408" authorId="0" shapeId="0" xr:uid="{00000000-0006-0000-0500-000050000000}">
      <text>
        <r>
          <rPr>
            <sz val="10"/>
            <color rgb="FF000000"/>
            <rFont val="Arial"/>
          </rPr>
          <t xml:space="preserve">Geocode : 
We couldn't find any results for the given address. The GPS data was obtained by using the following address : 
zone </t>
        </r>
      </text>
    </comment>
    <comment ref="F412" authorId="0" shapeId="0" xr:uid="{00000000-0006-0000-0500-000051000000}">
      <text>
        <r>
          <rPr>
            <sz val="10"/>
            <color rgb="FF000000"/>
            <rFont val="Arial"/>
          </rPr>
          <t xml:space="preserve">Geocode : 
We couldn't find any results for the given address. The GPS data was obtained by using the following address : 
near the border </t>
        </r>
      </text>
    </comment>
    <comment ref="F416" authorId="0" shapeId="0" xr:uid="{00000000-0006-0000-0500-000052000000}">
      <text>
        <r>
          <rPr>
            <sz val="10"/>
            <color rgb="FF000000"/>
            <rFont val="Arial"/>
          </rPr>
          <t xml:space="preserve">Geocode : 
We couldn't find any results for the given address. The GPS data was obtained by using the following address : 
village, a village vineyards </t>
        </r>
      </text>
    </comment>
    <comment ref="F420" authorId="0" shapeId="0" xr:uid="{00000000-0006-0000-0500-000053000000}">
      <text>
        <r>
          <rPr>
            <sz val="10"/>
            <color rgb="FF000000"/>
            <rFont val="Arial"/>
          </rPr>
          <t xml:space="preserve">Geocode : 
We couldn't find any results for the given address. The GPS data was obtained by using the following address : 
zone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K3" authorId="0" shapeId="0" xr:uid="{00000000-0006-0000-0700-000001000000}">
      <text>
        <r>
          <rPr>
            <sz val="10"/>
            <color rgb="FF000000"/>
            <rFont val="Arial"/>
          </rPr>
          <t>Geocode : 
Sorry, no results were found for this address. Please retry by reformulating it or looking for wider results.</t>
        </r>
      </text>
    </comment>
    <comment ref="K6" authorId="0" shapeId="0" xr:uid="{00000000-0006-0000-0700-000002000000}">
      <text>
        <r>
          <rPr>
            <sz val="10"/>
            <color rgb="FF000000"/>
            <rFont val="Arial"/>
          </rPr>
          <t>Geocode : 
Sorry, no results were found for this address. Please retry by reformulating it or looking for wider results.</t>
        </r>
      </text>
    </comment>
    <comment ref="K9" authorId="0" shapeId="0" xr:uid="{00000000-0006-0000-0700-000003000000}">
      <text>
        <r>
          <rPr>
            <sz val="10"/>
            <color rgb="FF000000"/>
            <rFont val="Arial"/>
          </rPr>
          <t>Geocode : 
Sorry, no results were found for this address. Please retry by reformulating it or looking for wider results.</t>
        </r>
      </text>
    </comment>
    <comment ref="K10" authorId="0" shapeId="0" xr:uid="{00000000-0006-0000-0700-000004000000}">
      <text>
        <r>
          <rPr>
            <sz val="10"/>
            <color rgb="FF000000"/>
            <rFont val="Arial"/>
          </rPr>
          <t>Geocode : 
Sorry, no results were found for this address. Please retry by reformulating it or looking for wider results.</t>
        </r>
      </text>
    </comment>
    <comment ref="K17" authorId="0" shapeId="0" xr:uid="{00000000-0006-0000-0700-000005000000}">
      <text>
        <r>
          <rPr>
            <sz val="10"/>
            <color rgb="FF000000"/>
            <rFont val="Arial"/>
          </rPr>
          <t>Geocode : 
We couldn't find any results for the given address. The GPS data was obtained by using the following address : 
Al Bireh</t>
        </r>
      </text>
    </comment>
    <comment ref="K26" authorId="0" shapeId="0" xr:uid="{00000000-0006-0000-0700-000006000000}">
      <text>
        <r>
          <rPr>
            <sz val="10"/>
            <color rgb="FF000000"/>
            <rFont val="Arial"/>
          </rPr>
          <t xml:space="preserve">Geocode : 
We couldn't find any results for the given address. The GPS data was obtained by using the following address : 
Ur al Tahta </t>
        </r>
      </text>
    </comment>
    <comment ref="K27" authorId="0" shapeId="0" xr:uid="{00000000-0006-0000-0700-000007000000}">
      <text>
        <r>
          <rPr>
            <sz val="10"/>
            <color rgb="FF000000"/>
            <rFont val="Arial"/>
          </rPr>
          <t>Geocode : 
We couldn't find any results for the given address. The GPS data was obtained by using the following address : 
Kadis</t>
        </r>
      </text>
    </comment>
    <comment ref="K28" authorId="0" shapeId="0" xr:uid="{00000000-0006-0000-0700-000008000000}">
      <text>
        <r>
          <rPr>
            <sz val="10"/>
            <color rgb="FF000000"/>
            <rFont val="Arial"/>
          </rPr>
          <t>Geocode : 
We couldn't find any results for the given address. The GPS data was obtained by using the following address : 
Khan Younis</t>
        </r>
      </text>
    </comment>
    <comment ref="K30" authorId="0" shapeId="0" xr:uid="{00000000-0006-0000-0700-000009000000}">
      <text>
        <r>
          <rPr>
            <sz val="10"/>
            <color rgb="FF000000"/>
            <rFont val="Arial"/>
          </rPr>
          <t xml:space="preserve">Geocode : 
We couldn't find any results for the given address. The GPS data was obtained by using the following address : 
Castle </t>
        </r>
      </text>
    </comment>
    <comment ref="K34" authorId="0" shapeId="0" xr:uid="{00000000-0006-0000-0700-00000A000000}">
      <text>
        <r>
          <rPr>
            <sz val="10"/>
            <color rgb="FF000000"/>
            <rFont val="Arial"/>
          </rPr>
          <t>Geocode : 
We couldn't find any results for the given address. The GPS data was obtained by using the following address : 
north and east of Galilee</t>
        </r>
      </text>
    </comment>
    <comment ref="K37" authorId="0" shapeId="0" xr:uid="{00000000-0006-0000-0700-00000B000000}">
      <text>
        <r>
          <rPr>
            <sz val="10"/>
            <color rgb="FF000000"/>
            <rFont val="Arial"/>
          </rPr>
          <t>Geocode : 
We couldn't find any results for the given address. The GPS data was obtained by using the following address : 
of Taba</t>
        </r>
      </text>
    </comment>
    <comment ref="K38" authorId="0" shapeId="0" xr:uid="{00000000-0006-0000-0700-00000C000000}">
      <text>
        <r>
          <rPr>
            <sz val="10"/>
            <color rgb="FF000000"/>
            <rFont val="Arial"/>
          </rPr>
          <t>Geocode : 
Sorry, no results were found for this address. Please retry by reformulating it or looking for wider results.</t>
        </r>
      </text>
    </comment>
    <comment ref="K40" authorId="0" shapeId="0" xr:uid="{00000000-0006-0000-0700-00000D000000}">
      <text>
        <r>
          <rPr>
            <sz val="10"/>
            <color rgb="FF000000"/>
            <rFont val="Arial"/>
          </rPr>
          <t>Geocode : 
Cell was empty, geocoding ignored</t>
        </r>
      </text>
    </comment>
    <comment ref="K49" authorId="0" shapeId="0" xr:uid="{00000000-0006-0000-0700-00000E000000}">
      <text>
        <r>
          <rPr>
            <sz val="10"/>
            <color rgb="FF000000"/>
            <rFont val="Arial"/>
          </rPr>
          <t>Geocode : 
Sorry, no results were found for this address. Please retry by reformulating it or looking for wider results.</t>
        </r>
      </text>
    </comment>
    <comment ref="K53" authorId="0" shapeId="0" xr:uid="{00000000-0006-0000-0700-00000F000000}">
      <text>
        <r>
          <rPr>
            <sz val="10"/>
            <color rgb="FF000000"/>
            <rFont val="Arial"/>
          </rPr>
          <t>Geocode : 
Sorry, no results were found for this address. Please retry by reformulating it or looking for wider results.</t>
        </r>
      </text>
    </comment>
    <comment ref="K54" authorId="0" shapeId="0" xr:uid="{00000000-0006-0000-0700-000010000000}">
      <text>
        <r>
          <rPr>
            <sz val="10"/>
            <color rgb="FF000000"/>
            <rFont val="Arial"/>
          </rPr>
          <t>Geocode : 
Cell was empty, geocoding ignored</t>
        </r>
      </text>
    </comment>
    <comment ref="K64" authorId="0" shapeId="0" xr:uid="{00000000-0006-0000-0700-000011000000}">
      <text>
        <r>
          <rPr>
            <sz val="10"/>
            <color rgb="FF000000"/>
            <rFont val="Arial"/>
          </rPr>
          <t>Geocode : 
We couldn't find any results for the given address. The GPS data was obtained by using the following address : 
crater negev</t>
        </r>
      </text>
    </comment>
    <comment ref="K66" authorId="0" shapeId="0" xr:uid="{00000000-0006-0000-0700-000012000000}">
      <text>
        <r>
          <rPr>
            <sz val="10"/>
            <color rgb="FF000000"/>
            <rFont val="Arial"/>
          </rPr>
          <t>Geocode : 
We couldn't find any results for the given address. The GPS data was obtained by using the following address : 
village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G24" authorId="0" shapeId="0" xr:uid="{00000000-0006-0000-0800-000001000000}">
      <text>
        <r>
          <rPr>
            <sz val="10"/>
            <color rgb="FF000000"/>
            <rFont val="Arial"/>
          </rPr>
          <t>Geocode : 
We couldn't find any results for the given address. The GPS data was obtained by using the following address : 
סיכה</t>
        </r>
      </text>
    </comment>
    <comment ref="G30" authorId="0" shapeId="0" xr:uid="{00000000-0006-0000-0800-000002000000}">
      <text>
        <r>
          <rPr>
            <sz val="10"/>
            <color rgb="FF000000"/>
            <rFont val="Arial"/>
          </rPr>
          <t>Geocode : 
Cell was empty, geocoding ignored</t>
        </r>
      </text>
    </comment>
    <comment ref="G39" authorId="0" shapeId="0" xr:uid="{00000000-0006-0000-0800-000003000000}">
      <text>
        <r>
          <rPr>
            <sz val="10"/>
            <color rgb="FF000000"/>
            <rFont val="Arial"/>
          </rPr>
          <t>Geocode : 
Sorry, no results were found for this address. Please retry by reformulating it or looking for wider results.</t>
        </r>
      </text>
    </comment>
    <comment ref="G45" authorId="0" shapeId="0" xr:uid="{00000000-0006-0000-0800-000004000000}">
      <text>
        <r>
          <rPr>
            <sz val="10"/>
            <color rgb="FF000000"/>
            <rFont val="Arial"/>
          </rPr>
          <t>Geocode : 
We couldn't find any results for the given address. The GPS data was obtained by using the following address : 
village</t>
        </r>
      </text>
    </comment>
    <comment ref="G48" authorId="0" shapeId="0" xr:uid="{00000000-0006-0000-0800-000005000000}">
      <text>
        <r>
          <rPr>
            <sz val="10"/>
            <color rgb="FF000000"/>
            <rFont val="Arial"/>
          </rPr>
          <t>Geocode : 
Sorry, no results were found for this address. Please retry by reformulating it or looking for wider results.</t>
        </r>
      </text>
    </comment>
    <comment ref="G51" authorId="0" shapeId="0" xr:uid="{00000000-0006-0000-0800-000006000000}">
      <text>
        <r>
          <rPr>
            <sz val="10"/>
            <color rgb="FF000000"/>
            <rFont val="Arial"/>
          </rPr>
          <t>Geocode : 
We couldn't find any results for the given address. The GPS data was obtained by using the following address : 
of Taba</t>
        </r>
      </text>
    </comment>
    <comment ref="G52" authorId="0" shapeId="0" xr:uid="{00000000-0006-0000-0800-000007000000}">
      <text>
        <r>
          <rPr>
            <sz val="10"/>
            <color rgb="FF000000"/>
            <rFont val="Arial"/>
          </rPr>
          <t>Geocode : 
Sorry, no results were found for this address. Please retry by reformulating it or looking for wider results.</t>
        </r>
      </text>
    </comment>
    <comment ref="G56" authorId="0" shapeId="0" xr:uid="{00000000-0006-0000-0800-000008000000}">
      <text>
        <r>
          <rPr>
            <sz val="10"/>
            <color rgb="FF000000"/>
            <rFont val="Arial"/>
          </rPr>
          <t>Geocode : 
Sorry, no results were found for this address. Please retry by reformulating it or looking for wider results.</t>
        </r>
      </text>
    </comment>
    <comment ref="G59" authorId="0" shapeId="0" xr:uid="{00000000-0006-0000-0800-000009000000}">
      <text>
        <r>
          <rPr>
            <sz val="10"/>
            <color rgb="FF000000"/>
            <rFont val="Arial"/>
          </rPr>
          <t>Geocode : 
Sorry, no results were found for this address. Please retry by reformulating it or looking for wider results.</t>
        </r>
      </text>
    </comment>
    <comment ref="G60" authorId="0" shapeId="0" xr:uid="{00000000-0006-0000-0800-00000A000000}">
      <text>
        <r>
          <rPr>
            <sz val="10"/>
            <color rgb="FF000000"/>
            <rFont val="Arial"/>
          </rPr>
          <t>Geocode : 
Cell was empty, geocoding ignored</t>
        </r>
      </text>
    </comment>
    <comment ref="G70" authorId="0" shapeId="0" xr:uid="{00000000-0006-0000-0800-00000B000000}">
      <text>
        <r>
          <rPr>
            <sz val="10"/>
            <color rgb="FF000000"/>
            <rFont val="Arial"/>
          </rPr>
          <t>Geocode : 
We couldn't find any results for the given address. The GPS data was obtained by using the following address : 
crater negev</t>
        </r>
      </text>
    </comment>
    <comment ref="G76" authorId="0" shapeId="0" xr:uid="{00000000-0006-0000-0800-00000C000000}">
      <text>
        <r>
          <rPr>
            <sz val="10"/>
            <color rgb="FF000000"/>
            <rFont val="Arial"/>
          </rPr>
          <t>Geocode : 
Sorry, no results were found for this address. Please retry by reformulating it or looking for wider results.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900-000001000000}">
      <text>
        <r>
          <rPr>
            <sz val="10"/>
            <color rgb="FF000000"/>
            <rFont val="Arial"/>
          </rPr>
          <t>Geocode : 
Sorry, no results were found for this address. Please retry by reformulating it or looking for wider results.</t>
        </r>
      </text>
    </comment>
    <comment ref="F26" authorId="0" shapeId="0" xr:uid="{00000000-0006-0000-0900-000002000000}">
      <text>
        <r>
          <rPr>
            <sz val="10"/>
            <color rgb="FF000000"/>
            <rFont val="Arial"/>
          </rPr>
          <t>Geocode : 
Sorry, no results were found for this address. Please retry by reformulating it or looking for wider results.</t>
        </r>
      </text>
    </comment>
    <comment ref="F27" authorId="0" shapeId="0" xr:uid="{00000000-0006-0000-0900-000003000000}">
      <text>
        <r>
          <rPr>
            <sz val="10"/>
            <color rgb="FF000000"/>
            <rFont val="Arial"/>
            <family val="2"/>
          </rPr>
          <t xml:space="preserve">Geocode : 
</t>
        </r>
        <r>
          <rPr>
            <sz val="10"/>
            <color rgb="FF000000"/>
            <rFont val="Arial"/>
            <family val="2"/>
          </rPr>
          <t xml:space="preserve">We couldn't find any results for the given address. The GPS data was obtained by using the following address : 
</t>
        </r>
        <r>
          <rPr>
            <sz val="10"/>
            <color rgb="FF000000"/>
            <rFont val="Arial"/>
            <family val="2"/>
          </rPr>
          <t>סיכה</t>
        </r>
      </text>
    </comment>
    <comment ref="F38" authorId="0" shapeId="0" xr:uid="{00000000-0006-0000-0900-000004000000}">
      <text>
        <r>
          <rPr>
            <sz val="10"/>
            <color rgb="FF000000"/>
            <rFont val="Arial"/>
            <family val="2"/>
          </rPr>
          <t xml:space="preserve">Geocode : 
</t>
        </r>
        <r>
          <rPr>
            <sz val="10"/>
            <color rgb="FF000000"/>
            <rFont val="Arial"/>
            <family val="2"/>
          </rPr>
          <t>Sorry, no results were found for this address. Please retry by reformulating it or looking for wider results.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I5" authorId="0" shapeId="0" xr:uid="{00000000-0006-0000-0B00-000001000000}">
      <text>
        <r>
          <rPr>
            <sz val="10"/>
            <color rgb="FF000000"/>
            <rFont val="Arial"/>
          </rPr>
          <t>Geocode : 
Sorry, no results were found for this address. Please retry by reformulating it or looking for wider results.</t>
        </r>
      </text>
    </comment>
    <comment ref="I13" authorId="0" shapeId="0" xr:uid="{00000000-0006-0000-0B00-000002000000}">
      <text>
        <r>
          <rPr>
            <sz val="10"/>
            <color rgb="FF000000"/>
            <rFont val="Arial"/>
          </rPr>
          <t>Geocode : 
We couldn't find any results for the given address. The GPS data was obtained by using the following address : 
Al Bireh</t>
        </r>
      </text>
    </comment>
    <comment ref="I23" authorId="0" shapeId="0" xr:uid="{00000000-0006-0000-0B00-000003000000}">
      <text>
        <r>
          <rPr>
            <sz val="10"/>
            <color rgb="FF000000"/>
            <rFont val="Arial"/>
          </rPr>
          <t>Geocode : 
Sorry, no results were found for this address. Please retry by reformulating it or looking for wider results.</t>
        </r>
      </text>
    </comment>
    <comment ref="I25" authorId="0" shapeId="0" xr:uid="{00000000-0006-0000-0B00-000004000000}">
      <text>
        <r>
          <rPr>
            <sz val="10"/>
            <color rgb="FF000000"/>
            <rFont val="Arial"/>
          </rPr>
          <t>Geocode : 
Sorry, no results were found for this address. Please retry by reformulating it or looking for wider results.</t>
        </r>
      </text>
    </comment>
    <comment ref="I37" authorId="0" shapeId="0" xr:uid="{00000000-0006-0000-0B00-000005000000}">
      <text>
        <r>
          <rPr>
            <sz val="10"/>
            <color rgb="FF000000"/>
            <rFont val="Arial"/>
          </rPr>
          <t>Geocode : 
We couldn't find any results for the given address. The GPS data was obtained by using the following address : 
Khan Younis</t>
        </r>
      </text>
    </comment>
    <comment ref="I41" authorId="0" shapeId="0" xr:uid="{00000000-0006-0000-0B00-000006000000}">
      <text>
        <r>
          <rPr>
            <sz val="10"/>
            <color rgb="FF000000"/>
            <rFont val="Arial"/>
          </rPr>
          <t>Geocode : 
Sorry, no results were found for this address. Please retry by reformulating it or looking for wider results.</t>
        </r>
      </text>
    </comment>
    <comment ref="I42" authorId="0" shapeId="0" xr:uid="{00000000-0006-0000-0B00-000007000000}">
      <text>
        <r>
          <rPr>
            <sz val="10"/>
            <color rgb="FF000000"/>
            <rFont val="Arial"/>
          </rPr>
          <t>Geocode : 
We couldn't find any results for the given address. The GPS data was obtained by using the following address : 
סיכה</t>
        </r>
      </text>
    </comment>
    <comment ref="I43" authorId="0" shapeId="0" xr:uid="{00000000-0006-0000-0B00-000008000000}">
      <text>
        <r>
          <rPr>
            <sz val="10"/>
            <color rgb="FF000000"/>
            <rFont val="Arial"/>
          </rPr>
          <t xml:space="preserve">Geocode : 
We couldn't find any results for the given address. The GPS data was obtained by using the following address : 
Ur al Tahta </t>
        </r>
      </text>
    </comment>
    <comment ref="I45" authorId="0" shapeId="0" xr:uid="{00000000-0006-0000-0B00-000009000000}">
      <text>
        <r>
          <rPr>
            <sz val="10"/>
            <color rgb="FF000000"/>
            <rFont val="Arial"/>
          </rPr>
          <t>Geocode : 
We couldn't find any results for the given address. The GPS data was obtained by using the following address : 
Kadis</t>
        </r>
      </text>
    </comment>
    <comment ref="I51" authorId="0" shapeId="0" xr:uid="{00000000-0006-0000-0B00-00000A000000}">
      <text>
        <r>
          <rPr>
            <sz val="10"/>
            <color rgb="FF000000"/>
            <rFont val="Arial"/>
          </rPr>
          <t>Geocode : 
Cell was empty, geocoding ignored</t>
        </r>
      </text>
    </comment>
    <comment ref="I60" authorId="0" shapeId="0" xr:uid="{00000000-0006-0000-0B00-00000B000000}">
      <text>
        <r>
          <rPr>
            <sz val="10"/>
            <color rgb="FF000000"/>
            <rFont val="Arial"/>
          </rPr>
          <t xml:space="preserve">Geocode : 
We couldn't find any results for the given address. The GPS data was obtained by using the following address : 
Castle </t>
        </r>
      </text>
    </comment>
    <comment ref="I64" authorId="0" shapeId="0" xr:uid="{00000000-0006-0000-0B00-00000C000000}">
      <text>
        <r>
          <rPr>
            <sz val="10"/>
            <color rgb="FF000000"/>
            <rFont val="Arial"/>
          </rPr>
          <t>Geocode : 
We couldn't find any results for the given address. The GPS data was obtained by using the following address : 
north and east of Galilee</t>
        </r>
      </text>
    </comment>
    <comment ref="I67" authorId="0" shapeId="0" xr:uid="{00000000-0006-0000-0B00-00000D000000}">
      <text>
        <r>
          <rPr>
            <sz val="10"/>
            <color rgb="FF000000"/>
            <rFont val="Arial"/>
          </rPr>
          <t>Geocode : 
Sorry, no results were found for this address. Please retry by reformulating it or looking for wider results.</t>
        </r>
      </text>
    </comment>
    <comment ref="I77" authorId="0" shapeId="0" xr:uid="{00000000-0006-0000-0B00-00000E000000}">
      <text>
        <r>
          <rPr>
            <sz val="10"/>
            <color rgb="FF000000"/>
            <rFont val="Arial"/>
          </rPr>
          <t>Geocode : 
We couldn't find any results for the given address. The GPS data was obtained by using the following address : 
village</t>
        </r>
      </text>
    </comment>
    <comment ref="I80" authorId="0" shapeId="0" xr:uid="{00000000-0006-0000-0B00-00000F000000}">
      <text>
        <r>
          <rPr>
            <sz val="10"/>
            <color rgb="FF000000"/>
            <rFont val="Arial"/>
          </rPr>
          <t>Geocode : 
Sorry, no results were found for this address. Please retry by reformulating it or looking for wider results.</t>
        </r>
      </text>
    </comment>
    <comment ref="I83" authorId="0" shapeId="0" xr:uid="{00000000-0006-0000-0B00-000010000000}">
      <text>
        <r>
          <rPr>
            <sz val="10"/>
            <color rgb="FF000000"/>
            <rFont val="Arial"/>
          </rPr>
          <t>Geocode : 
We couldn't find any results for the given address. The GPS data was obtained by using the following address : 
of Taba</t>
        </r>
      </text>
    </comment>
    <comment ref="I84" authorId="0" shapeId="0" xr:uid="{00000000-0006-0000-0B00-000011000000}">
      <text>
        <r>
          <rPr>
            <sz val="10"/>
            <color rgb="FF000000"/>
            <rFont val="Arial"/>
          </rPr>
          <t>Geocode : 
Sorry, no results were found for this address. Please retry by reformulating it or looking for wider results.</t>
        </r>
      </text>
    </comment>
    <comment ref="I88" authorId="0" shapeId="0" xr:uid="{00000000-0006-0000-0B00-000012000000}">
      <text>
        <r>
          <rPr>
            <sz val="10"/>
            <color rgb="FF000000"/>
            <rFont val="Arial"/>
          </rPr>
          <t>Geocode : 
Sorry, no results were found for this address. Please retry by reformulating it or looking for wider results.</t>
        </r>
      </text>
    </comment>
    <comment ref="I91" authorId="0" shapeId="0" xr:uid="{00000000-0006-0000-0B00-000013000000}">
      <text>
        <r>
          <rPr>
            <sz val="10"/>
            <color rgb="FF000000"/>
            <rFont val="Arial"/>
          </rPr>
          <t>Geocode : 
Sorry, no results were found for this address. Please retry by reformulating it or looking for wider results.</t>
        </r>
      </text>
    </comment>
    <comment ref="I92" authorId="0" shapeId="0" xr:uid="{00000000-0006-0000-0B00-000014000000}">
      <text>
        <r>
          <rPr>
            <sz val="10"/>
            <color rgb="FF000000"/>
            <rFont val="Arial"/>
          </rPr>
          <t>Geocode : 
Cell was empty, geocoding ignored</t>
        </r>
      </text>
    </comment>
    <comment ref="I102" authorId="0" shapeId="0" xr:uid="{00000000-0006-0000-0B00-000015000000}">
      <text>
        <r>
          <rPr>
            <sz val="10"/>
            <color rgb="FF000000"/>
            <rFont val="Arial"/>
          </rPr>
          <t>Geocode : 
We couldn't find any results for the given address. The GPS data was obtained by using the following address : 
crater negev</t>
        </r>
      </text>
    </comment>
    <comment ref="I108" authorId="0" shapeId="0" xr:uid="{00000000-0006-0000-0B00-000016000000}">
      <text>
        <r>
          <rPr>
            <sz val="10"/>
            <color rgb="FF000000"/>
            <rFont val="Arial"/>
          </rPr>
          <t>Geocode : 
Sorry, no results were found for this address. Please retry by reformulating it or looking for wider results.</t>
        </r>
      </text>
    </comment>
  </commentList>
</comments>
</file>

<file path=xl/sharedStrings.xml><?xml version="1.0" encoding="utf-8"?>
<sst xmlns="http://schemas.openxmlformats.org/spreadsheetml/2006/main" count="10688" uniqueCount="3617">
  <si>
    <t>Year</t>
  </si>
  <si>
    <t>descripiton</t>
  </si>
  <si>
    <t>Civilian Fatalities</t>
  </si>
  <si>
    <t>Civilians Injured</t>
  </si>
  <si>
    <t>Military Fatalities</t>
  </si>
  <si>
    <t xml:space="preserve">Overall Fatalities </t>
  </si>
  <si>
    <t>Jordan Fatalities</t>
  </si>
  <si>
    <t>Reprisals Operations</t>
  </si>
  <si>
    <t>P. 189</t>
  </si>
  <si>
    <t>Event Hebrew</t>
  </si>
  <si>
    <t>size</t>
  </si>
  <si>
    <t>type</t>
  </si>
  <si>
    <t>day</t>
  </si>
  <si>
    <t>Clashes 49-56</t>
  </si>
  <si>
    <t>Jordan</t>
  </si>
  <si>
    <t>Egypt</t>
  </si>
  <si>
    <t>Syria</t>
  </si>
  <si>
    <t>Lebanon</t>
  </si>
  <si>
    <t>Overall</t>
  </si>
  <si>
    <t>month</t>
  </si>
  <si>
    <t>year</t>
  </si>
  <si>
    <t>Description - Google Translate</t>
  </si>
  <si>
    <t>Place</t>
  </si>
  <si>
    <t>Place Google Translate</t>
  </si>
  <si>
    <t>Latitude</t>
  </si>
  <si>
    <t>DATE</t>
  </si>
  <si>
    <t>Longitude</t>
  </si>
  <si>
    <t>Date</t>
  </si>
  <si>
    <t>Young was murdered by Arabs in the Malha neighborhood nearby barn</t>
  </si>
  <si>
    <t>Young was murdered in the Arab neighborhood of Malcha by burning nearby</t>
  </si>
  <si>
    <t>ירושלים</t>
  </si>
  <si>
    <t>time</t>
  </si>
  <si>
    <t>Jerusalem</t>
  </si>
  <si>
    <t>descrip</t>
  </si>
  <si>
    <t>region code</t>
  </si>
  <si>
    <t>Region</t>
  </si>
  <si>
    <t>Jordanian Legion unit penetrated into Israel near Beit Guvrin</t>
  </si>
  <si>
    <t>בית גוברין</t>
  </si>
  <si>
    <t>Beit Guvrin</t>
  </si>
  <si>
    <t>26/02/1953</t>
  </si>
  <si>
    <t>נרצחו 2 חיילים בחופשה ליד המושב</t>
  </si>
  <si>
    <t>Killed two off-duty soldiers near Moshav</t>
  </si>
  <si>
    <t>כפר הס</t>
  </si>
  <si>
    <t>Kfar Hess</t>
  </si>
  <si>
    <t>28/02/1953</t>
  </si>
  <si>
    <t>אשה נרצחה, בעלה ושני ילדיה נפצעו בהתקפה על נבלט (כיום מושב בית נחמיה)</t>
  </si>
  <si>
    <t>A woman was killed and her husband and two children were wounded in the attack on Nblt (now Moshav Beit Nehemia)</t>
  </si>
  <si>
    <t>בית נחמיה</t>
  </si>
  <si>
    <t>Beit Nehemia</t>
  </si>
  <si>
    <t>place</t>
  </si>
  <si>
    <t>25/05/1953</t>
  </si>
  <si>
    <t>Full Address</t>
  </si>
  <si>
    <t>territor</t>
  </si>
  <si>
    <t>border</t>
  </si>
  <si>
    <t>נורתה אש על רכבת משא ליד ראש העין. תלמיד בן 16 נהרג בהתקפה על משאית מטיילים בכביש עכו-צפת.</t>
  </si>
  <si>
    <t>Shots were fired from a freight train near the top of the eye. 16-year-old student was killed in an attack on a truck travelers the Acre-Safad road.</t>
  </si>
  <si>
    <t>ראש העין</t>
  </si>
  <si>
    <t>WEATHER</t>
  </si>
  <si>
    <t>Rosh HaAyin</t>
  </si>
  <si>
    <t>topograp</t>
  </si>
  <si>
    <t>30/05/1953</t>
  </si>
  <si>
    <t>zone</t>
  </si>
  <si>
    <t>גבר בן 25 נרצח ביריות בשכונת קטמון . חייל הלגיון הטיל רימון ופצע 2 תושבים במלחה.</t>
  </si>
  <si>
    <t>25-year-old man was killed by gunfire in the Katamon neighborhood. Legion soldier threw a grenade, injuring two residents in Malha.</t>
  </si>
  <si>
    <t>מסתננים חדרו למושב ליד רמלה ורצחו צעירה בת 19 בשנתה.</t>
  </si>
  <si>
    <t>Infiltrators seat near Ramla and killed 19 year-old woman in her sleep.</t>
  </si>
  <si>
    <t>משמר אילון</t>
  </si>
  <si>
    <t>Mishmar Ayalon</t>
  </si>
  <si>
    <t>מסתננים הטילו רימוני יד לבית בכפר, אשה נהרגה ובעלה נפצע קשה.</t>
  </si>
  <si>
    <t>Infiltrators threw grenades to the village, a woman was killed and her husband was seriously injured.</t>
  </si>
  <si>
    <t>נרצח שומר יהודי בכפר ליד ירושלים.</t>
  </si>
  <si>
    <t>TRAFFIC</t>
  </si>
  <si>
    <t>agricult</t>
  </si>
  <si>
    <t>evtime</t>
  </si>
  <si>
    <t>Jewish guard was killed in a village near Jerusalem.</t>
  </si>
  <si>
    <t>weapon</t>
  </si>
  <si>
    <t>בית נקופה</t>
  </si>
  <si>
    <t>bargaini</t>
  </si>
  <si>
    <t>The Nekofa</t>
  </si>
  <si>
    <t>tername</t>
  </si>
  <si>
    <t>tersex</t>
  </si>
  <si>
    <t>19/06/1953</t>
  </si>
  <si>
    <t>terage</t>
  </si>
  <si>
    <t>terrelig</t>
  </si>
  <si>
    <t>terborn</t>
  </si>
  <si>
    <t>שני חיילי צה"ל נרצחו בשמירה ליד מושב באיזור ירושלים (ע"י מוסטפה סמואלי)</t>
  </si>
  <si>
    <t>terlivin</t>
  </si>
  <si>
    <t>tereduca</t>
  </si>
  <si>
    <t>Two IDF soldiers were killed near Moshav maintaining the Jerusalem area (by Mustafa Samuelly)</t>
  </si>
  <si>
    <t>tereduty</t>
  </si>
  <si>
    <t>אבן ספיר</t>
  </si>
  <si>
    <t>Even Sapir</t>
  </si>
  <si>
    <t>terpoli</t>
  </si>
  <si>
    <t>cought</t>
  </si>
  <si>
    <t>terhealt</t>
  </si>
  <si>
    <t>firstev</t>
  </si>
  <si>
    <t>הוטלו רימונים למוסד נערים בקרית יערים ליד ירושלים.</t>
  </si>
  <si>
    <t>vicname</t>
  </si>
  <si>
    <t>Thrown grenades Kiryat Yearim youth institution near Jerusalem.</t>
  </si>
  <si>
    <t>vicage</t>
  </si>
  <si>
    <t>קרית יערים</t>
  </si>
  <si>
    <t>Kirjathjearim</t>
  </si>
  <si>
    <t>viclivin</t>
  </si>
  <si>
    <t>vichealt</t>
  </si>
  <si>
    <t>respm</t>
  </si>
  <si>
    <t>resmin</t>
  </si>
  <si>
    <t>rescm</t>
  </si>
  <si>
    <t>revip</t>
  </si>
  <si>
    <t>נרצחו 5 מטיילים יהודים בערבה (2 בחורות ו-3 בחורים)</t>
  </si>
  <si>
    <t>Killed five Jewish travelers Prairie (2 girls and 3 boys)</t>
  </si>
  <si>
    <t>ערבה</t>
  </si>
  <si>
    <t>Petra</t>
  </si>
  <si>
    <t>repep</t>
  </si>
  <si>
    <t>reaction</t>
  </si>
  <si>
    <t>reamean</t>
  </si>
  <si>
    <t>27/08/1953</t>
  </si>
  <si>
    <t>שני צעירים נרצחו ליד לוד בדרכם למושב אחיעזר.</t>
  </si>
  <si>
    <t>Two young men were killed on their way to a seat near Lod Achiezer.</t>
  </si>
  <si>
    <t>לוד</t>
  </si>
  <si>
    <t>Lod</t>
  </si>
  <si>
    <t>reavic</t>
  </si>
  <si>
    <t>rvliving</t>
  </si>
  <si>
    <t>rvhealth</t>
  </si>
  <si>
    <t>readec</t>
  </si>
  <si>
    <t>בדואים בני שבט העזזמה, מזוינים בנשק חם, פלשו מסיני לאיזור ניצנה בנגב</t>
  </si>
  <si>
    <t>novicinj</t>
  </si>
  <si>
    <t>novicdea</t>
  </si>
  <si>
    <t>Azzama Bedouin tribesmen, armed with firearms, invaded the Sinai area of ​​Nitzana in the Negev</t>
  </si>
  <si>
    <t>novictot</t>
  </si>
  <si>
    <t>ניצנה</t>
  </si>
  <si>
    <t>noterror</t>
  </si>
  <si>
    <t>Nitzana</t>
  </si>
  <si>
    <t>target</t>
  </si>
  <si>
    <t>00/09/1953</t>
  </si>
  <si>
    <t>משק דן הותקף ע"י יחידות סוריות, אין מידע על נפגעים</t>
  </si>
  <si>
    <t>Kibbutz Dan</t>
  </si>
  <si>
    <t>addresskey</t>
  </si>
  <si>
    <t>09/00/1953</t>
  </si>
  <si>
    <t>חולית ירדנים הסתננה למושב יהודיה (יהוד), השליכו רימון ורצחו אם ושני ילדיה (שושנה בת 3 ובנימין בן שנה וחצי) עקבות הרוצחים מובילים לכפר קיביה.</t>
  </si>
  <si>
    <t>Jordanian squad infiltrated Jewish colonies (Jewish), threw a grenade and killed a mother and her two children (3-year-old Rose and Benjamin eighteen months old) tracks leading killers Cuvier village.</t>
  </si>
  <si>
    <t>יהוד</t>
  </si>
  <si>
    <t>Yehud</t>
  </si>
  <si>
    <t>שני חיילים נרצחו באכזריות, נשקם ובגדיהם נשדדו</t>
  </si>
  <si>
    <t>Two soldiers were brutally murdered, their weapons and their clothes were robbed</t>
  </si>
  <si>
    <t>16/12/1953</t>
  </si>
  <si>
    <t>חמש חוליות מסתננים מצריים חדרו לישראל ופעלו במושבים אמונים, תפרח ותלמים</t>
  </si>
  <si>
    <t>Five vertebrae Egyptian infiltrators entered Israel and there were seats of trust will flourish and furrows</t>
  </si>
  <si>
    <t>איזור אשקלון</t>
  </si>
  <si>
    <t>Area Ashkelon</t>
  </si>
  <si>
    <t>שבטי בדואים חדרו לאיזור המפורז בניצנה והונסו ע"י מטוסי חיל האויר</t>
  </si>
  <si>
    <t>Bedouin tribes penetrated the demilitarized zone Nitzana and driven away by the Israeli Air Force</t>
  </si>
  <si>
    <t>איזור ניצנה</t>
  </si>
  <si>
    <t>Nitzana area</t>
  </si>
  <si>
    <t>latitude</t>
  </si>
  <si>
    <t>longitude</t>
  </si>
  <si>
    <t>flag</t>
  </si>
  <si>
    <t>אוטובוס אגד בקו אילת -תל אביב הותקף ממארב. 11 נוסעים נרצחו באכזריות. המדינה הוכתה בהלם.</t>
  </si>
  <si>
    <t>Egged bus line of the Tel Aviv Eilat ambushed. 11 passengers were brutally murdered. The country was in shock.</t>
  </si>
  <si>
    <t>מעלה עקרבים</t>
  </si>
  <si>
    <t>Ma'ale Akrabim</t>
  </si>
  <si>
    <t>31.768319</t>
  </si>
  <si>
    <t>35.21371</t>
  </si>
  <si>
    <t>32.1289729</t>
  </si>
  <si>
    <t>34.853284</t>
  </si>
  <si>
    <t>32.247721</t>
  </si>
  <si>
    <t>34.935137</t>
  </si>
  <si>
    <t>31.977142</t>
  </si>
  <si>
    <t>34.953835</t>
  </si>
  <si>
    <t>32.095838</t>
  </si>
  <si>
    <t>34.952177</t>
  </si>
  <si>
    <t>17/03/1954</t>
  </si>
  <si>
    <t>31.872478</t>
  </si>
  <si>
    <t>34.943253</t>
  </si>
  <si>
    <t>תקרית ירי שבה חייל ישראלי פצוע נלקח לשבי המצרי.</t>
  </si>
  <si>
    <t>A shooting incident in which an Israeli soldier was wounded was taken into captivity in Egypt.</t>
  </si>
  <si>
    <t>גבול עזה</t>
  </si>
  <si>
    <t>Gaza</t>
  </si>
  <si>
    <t>31.804392</t>
  </si>
  <si>
    <t>35.126876</t>
  </si>
  <si>
    <t>31.7625</t>
  </si>
  <si>
    <t>35.134991</t>
  </si>
  <si>
    <t>31.803758</t>
  </si>
  <si>
    <t>35.102508</t>
  </si>
  <si>
    <t>Willow</t>
  </si>
  <si>
    <t>36.5679822</t>
  </si>
  <si>
    <t>-114.4667774</t>
  </si>
  <si>
    <t>31.951014</t>
  </si>
  <si>
    <t>34.888075</t>
  </si>
  <si>
    <t>25/03/1954</t>
  </si>
  <si>
    <t>30.885983</t>
  </si>
  <si>
    <t>34.422569</t>
  </si>
  <si>
    <t>שומר יהודי נרצח בפאתי המושב בפרוזדור ירושלים, וחברו נפצע קשה. עקבות המסתננים הובילו דרומה לירדן.</t>
  </si>
  <si>
    <t>Jewish guard was killed on the outskirts of Jerusalem corridor seat, and his friend was seriously injured. Footprints of infiltrators led South Jordan.</t>
  </si>
  <si>
    <t>מושב כסלון</t>
  </si>
  <si>
    <t>32.030339</t>
  </si>
  <si>
    <t>Ksalon</t>
  </si>
  <si>
    <t>34.8870985</t>
  </si>
  <si>
    <t>31.794129</t>
  </si>
  <si>
    <t>34.631909</t>
  </si>
  <si>
    <t>29.5624275</t>
  </si>
  <si>
    <t>34.9448012</t>
  </si>
  <si>
    <t>Scorpion Ascent</t>
  </si>
  <si>
    <t>ZERO_RESULTS</t>
  </si>
  <si>
    <t>Gaza border</t>
  </si>
  <si>
    <t>-23.5856692</t>
  </si>
  <si>
    <t>31.6594701</t>
  </si>
  <si>
    <t>27/03/1954</t>
  </si>
  <si>
    <t>Session living room</t>
  </si>
  <si>
    <t>יחידות מצריות מזוינות חדרו לישראל, הניחו מארבים ופצעו קשה כמה חיילי צה"ל. הוגשה תלונה לועדת שביתת הנשק.</t>
  </si>
  <si>
    <t>Armed Egyptian units infiltrated into Israel, laid ambushes and severely wounding several soldiers. A complaint was filed Armistice Commission.</t>
  </si>
  <si>
    <t>Wadi Fukin</t>
  </si>
  <si>
    <t>31.707272</t>
  </si>
  <si>
    <t>00/04/1954</t>
  </si>
  <si>
    <t>35.104193</t>
  </si>
  <si>
    <t>04/00/1954</t>
  </si>
  <si>
    <t>Ra'anana</t>
  </si>
  <si>
    <t>32.184781</t>
  </si>
  <si>
    <t>תושבי ואדי פוקין התקיפו סיור של משמר הגבול והרגו את הקצין משולם בר-נתן והשוטר טוביה וולפסטל.</t>
  </si>
  <si>
    <t>34.871326</t>
  </si>
  <si>
    <t>Wadi Fukin residents attacked a border police patrol and killed the officer paid Bar-Nathan and cop Tuvia and pastel.</t>
  </si>
  <si>
    <t>ואדי פוקין</t>
  </si>
  <si>
    <t/>
  </si>
  <si>
    <t>Kissufim sector</t>
  </si>
  <si>
    <t>נרצח חקלאי מבוגר בפרברי רעננה.</t>
  </si>
  <si>
    <t>31.374545</t>
  </si>
  <si>
    <t>Old farmer was killed in the suburbs of Ra'anana.</t>
  </si>
  <si>
    <t>34.398992</t>
  </si>
  <si>
    <t>רעננה</t>
  </si>
  <si>
    <t>26/06/1954</t>
  </si>
  <si>
    <t>Household Dan was attacked by Syrian units, there is no information on casualties</t>
  </si>
  <si>
    <t>Eastern Sha'alvim</t>
  </si>
  <si>
    <t>חיילים ירדנים המוצבים על חומות העיר העתיקה החלו לצלוף לעבר תושבי העיר. צעירה בת 24 נהרגה ליד בית טאנוס מול שער יפו.</t>
  </si>
  <si>
    <t>Eye Justice</t>
  </si>
  <si>
    <t>galilee</t>
  </si>
  <si>
    <t>Jordanian soldiers stationed at the old city walls began to snipe at the city's residents. 24-year-old woman was killed near Beit Tannous in front of Jaffa Gate.</t>
  </si>
  <si>
    <t>44.8459276</t>
  </si>
  <si>
    <t>-93.11739209999999</t>
  </si>
  <si>
    <t xml:space="preserve">Kibbutz Dan </t>
  </si>
  <si>
    <t>34.80207499999999</t>
  </si>
  <si>
    <t>38.996815</t>
  </si>
  <si>
    <t>Between a crane and a path Halamed</t>
  </si>
  <si>
    <t>הפדאינים המצרים יורים על סיורים שיגרתיים של צה"ל לאורך קו גבול ברצועת עזה, וממקשים את הדרכים.</t>
  </si>
  <si>
    <t>Hfdainim Egyptians firing on IDF's routine patrols along the Gaza Strip border, and mining the roads.</t>
  </si>
  <si>
    <t>גזרת כיסופים</t>
  </si>
  <si>
    <t>Streets</t>
  </si>
  <si>
    <t>19.0498398</t>
  </si>
  <si>
    <t>00/07/1954</t>
  </si>
  <si>
    <t>76.55313939999999</t>
  </si>
  <si>
    <t>07/00/1954</t>
  </si>
  <si>
    <t>חוליה ירדנית הסתננה ורצחה שני חיילים ליד ביר מעין. בועדת שביתת הנשק הודה ליגיונר ירדני ברצח.</t>
  </si>
  <si>
    <t>Jordanian squad infiltrated and killed two soldiers at Bir kind. Armistice Committee admitted murdering a Jordanian Legionnaire.</t>
  </si>
  <si>
    <t>מזרחית לשעלבים</t>
  </si>
  <si>
    <t>Rishon Lezion</t>
  </si>
  <si>
    <t>East to Sha'alvim</t>
  </si>
  <si>
    <t>31.9730015</t>
  </si>
  <si>
    <t>34.7925013</t>
  </si>
  <si>
    <t>Yavne village Gevirol</t>
  </si>
  <si>
    <t>31.806493</t>
  </si>
  <si>
    <t>מסתננים ירדנים מהכפר פקועה שדדו את עדר הבקר של קיבוץ עין השופט.</t>
  </si>
  <si>
    <t>34.655611</t>
  </si>
  <si>
    <t>Jordanian infiltrators village Faqqu'a robbed the cattle herd of Kibbutz Ein judge.</t>
  </si>
  <si>
    <t>עין השופט</t>
  </si>
  <si>
    <t>Session chain</t>
  </si>
  <si>
    <t>Ein HaShofet</t>
  </si>
  <si>
    <t>Hammer Session</t>
  </si>
  <si>
    <t>Kibbutz Nirim</t>
  </si>
  <si>
    <t>31.33572999999999</t>
  </si>
  <si>
    <t>34.394087</t>
  </si>
  <si>
    <t>Gazan border</t>
  </si>
  <si>
    <t>Kibbutz Kissufim</t>
  </si>
  <si>
    <t>Kibbutz Nahal Oz</t>
  </si>
  <si>
    <t>31.47267999999999</t>
  </si>
  <si>
    <t>34.497675</t>
  </si>
  <si>
    <t>26/09/1954</t>
  </si>
  <si>
    <t>Grouping levels</t>
  </si>
  <si>
    <t>מסתננים ערבים מירדן רצחו באכזריות ובסכינים את אליעזר כץ וצבי אידמן ממושב מבוא ביתר</t>
  </si>
  <si>
    <t>Kibbutz Erez</t>
  </si>
  <si>
    <t>31.55984</t>
  </si>
  <si>
    <t>Arab infiltrators from Jordan brutally murdered and knives Eliezer Katz and Zvi Aidmn Moshav Mevo Beitar</t>
  </si>
  <si>
    <t>34.564889</t>
  </si>
  <si>
    <t>נתיב הל"ה</t>
  </si>
  <si>
    <t>Ashkelon</t>
  </si>
  <si>
    <t>Netiv HaLamed-Heh</t>
  </si>
  <si>
    <t>31.6687885</t>
  </si>
  <si>
    <t>34.5742523</t>
  </si>
  <si>
    <t>18/01/1955</t>
  </si>
  <si>
    <t>Kibbutz Beeri</t>
  </si>
  <si>
    <t>31.424513</t>
  </si>
  <si>
    <t>34.492567</t>
  </si>
  <si>
    <t>פדאינים מצריים הרגו חבר קיבוץ עין השלושה.</t>
  </si>
  <si>
    <t>The Works</t>
  </si>
  <si>
    <t>52.3232173</t>
  </si>
  <si>
    <t>-1.8666602</t>
  </si>
  <si>
    <t>Egyptian Fdainim member of Kibbutz Ein killed three.</t>
  </si>
  <si>
    <t>רחובות</t>
  </si>
  <si>
    <t>Rehovot</t>
  </si>
  <si>
    <t>25/01/1955</t>
  </si>
  <si>
    <t>Kfar Bilu</t>
  </si>
  <si>
    <t>31.870475</t>
  </si>
  <si>
    <t>34.826734</t>
  </si>
  <si>
    <t>חייל ישראלי נורה בעמדה ליד שכונת סנהדריה. הצלף הירדני ירה עליו מתוך ביה"ס לשוטרים</t>
  </si>
  <si>
    <t>Seat Farm</t>
  </si>
  <si>
    <t>An Israeli soldier was shot position near Sanhedriya. Jordanian sniper shot him from a police school</t>
  </si>
  <si>
    <t>38.5001775</t>
  </si>
  <si>
    <t>-76.79556199999999</t>
  </si>
  <si>
    <t>Syrian border</t>
  </si>
  <si>
    <t>36.8081084</t>
  </si>
  <si>
    <t>42.0751833</t>
  </si>
  <si>
    <t>שיירה של מכוניות יהודיות הותקפה בכביש המחבר בין תלפיות לירושלים, ע"י ערבים שפתחו באש ממכונות ירייה, לא נודע על נפגעים</t>
  </si>
  <si>
    <t>חולית מסתננים מצריים חודרת למטרות מודיעין ולוקחת מסמכים ממשרד ממשלתי</t>
  </si>
  <si>
    <t>Egyptian infiltrators sandy penetrating intelligence purposes and taking documents from the government</t>
  </si>
  <si>
    <t>ראשון לציון</t>
  </si>
  <si>
    <t>23/02/1955</t>
  </si>
  <si>
    <t>חולית מודיעין מצרית חדרה לקוביבה (כפר גבירול) ורצחה את הנרי לוי כאשר רכב על אופניו</t>
  </si>
  <si>
    <t>Egyptian intelligence squad room Lkobibh (Kfar Gabirol) and murdered Henry Levy when cycled</t>
  </si>
  <si>
    <t>יבנה כפר גבירול</t>
  </si>
  <si>
    <t>Lake Kinneret</t>
  </si>
  <si>
    <t>32.8244321</t>
  </si>
  <si>
    <t>35.5879975</t>
  </si>
  <si>
    <t>25/02/1955</t>
  </si>
  <si>
    <t>33.239637</t>
  </si>
  <si>
    <t>35.653953</t>
  </si>
  <si>
    <t>מסתננים חדרו מרצועת עזה למושב, השליכו רימונים לתוך בית וירו בנשק טוטומטי</t>
  </si>
  <si>
    <t>Infiltrators from Gaza seat, threw grenades and shot into the arms Totomti</t>
  </si>
  <si>
    <t>מושב שרשרת</t>
  </si>
  <si>
    <t>Sharsheret</t>
  </si>
  <si>
    <t>Road Ahuzam Kiryat Gat</t>
  </si>
  <si>
    <t>31.611148</t>
  </si>
  <si>
    <t>בוקר</t>
  </si>
  <si>
    <t>34.768459</t>
  </si>
  <si>
    <t>16/03/1955</t>
  </si>
  <si>
    <t>מצרים מזוינים חדרו למושב וזרקו רימונים לתוך בית שבו נערכה חתונה. אשה אחת נהרגה.</t>
  </si>
  <si>
    <t>Junction squads</t>
  </si>
  <si>
    <t>Egyptian armed seat room and threw grenades into a house where a wedding took place. One woman was killed.</t>
  </si>
  <si>
    <t>מושב פטיש</t>
  </si>
  <si>
    <t>Patish</t>
  </si>
  <si>
    <t>Session Shafrir</t>
  </si>
  <si>
    <t>Session Achiezer</t>
  </si>
  <si>
    <t>Kibbutz Maale Hachamisha</t>
  </si>
  <si>
    <t>31.817429</t>
  </si>
  <si>
    <t>35.109406</t>
  </si>
  <si>
    <t>Jewish motorcade was attacked on the road linking the Talpiot Jerusalem by Arabs opened fire with machine guns, there were no casualties</t>
  </si>
  <si>
    <t>Well off</t>
  </si>
  <si>
    <t>-23.0187098</t>
  </si>
  <si>
    <t>-43.4591832</t>
  </si>
  <si>
    <t>Outposts Ketziot</t>
  </si>
  <si>
    <t xml:space="preserve">Jerusalem </t>
  </si>
  <si>
    <t>Kibbutz Beit Guvrin</t>
  </si>
  <si>
    <t>31.61288</t>
  </si>
  <si>
    <t>34.895568</t>
  </si>
  <si>
    <t>Arava region</t>
  </si>
  <si>
    <t>47.390434</t>
  </si>
  <si>
    <t>8.0457015</t>
  </si>
  <si>
    <t>Kibbutz Ramat Rachel</t>
  </si>
  <si>
    <t>31.7403163</t>
  </si>
  <si>
    <t>35.2178825</t>
  </si>
  <si>
    <t>25/03/1955</t>
  </si>
  <si>
    <t>Aminadav</t>
  </si>
  <si>
    <t>31.75170499999999</t>
  </si>
  <si>
    <t>35.142428</t>
  </si>
  <si>
    <t>בין קיבוץ נירים לחירבת מעין עלה רכב צה"ל על מוקש וסמל דוד קוסטיצקי נהרג.</t>
  </si>
  <si>
    <t>Between Khirbet a Kibbutz Nirim IDF vehicle went over a mine and was killed Sergeant David Kostitzki.</t>
  </si>
  <si>
    <t>Kibbutz Maoz Haim</t>
  </si>
  <si>
    <t>קיבוץ נירים</t>
  </si>
  <si>
    <t>32.49407</t>
  </si>
  <si>
    <t>35.550767</t>
  </si>
  <si>
    <t>Sodom Road Beersheba</t>
  </si>
  <si>
    <t>31.252973</t>
  </si>
  <si>
    <t>34.791462</t>
  </si>
  <si>
    <t>בחודש אפריל אירעו 31 פיגועים ע"י המצרים. נהרגו חייל ואזרח, רבים נפצעו. צה"ל לא הגיב.</t>
  </si>
  <si>
    <t>Moshav Even Yehuda</t>
  </si>
  <si>
    <t>In April, there were 31 attacks by Egypt. A soldier and a civilian were killed, many were wounded. The IDF did not respond.</t>
  </si>
  <si>
    <t>31.612869</t>
  </si>
  <si>
    <t>גבול הרצועה</t>
  </si>
  <si>
    <t>34.7724867</t>
  </si>
  <si>
    <t>00/04/1955</t>
  </si>
  <si>
    <t>04/00/1955</t>
  </si>
  <si>
    <t>רכב צהלי עלה על מוקש כפול תוצרת מצריים. 3 קציני צה"ל נהרגו</t>
  </si>
  <si>
    <t>Tzhli vehicle drove over a mine dual Egyptian-made. 3 IDF officers were killed</t>
  </si>
  <si>
    <t>קיבוץ כיסופים</t>
  </si>
  <si>
    <t>18/05/1955</t>
  </si>
  <si>
    <t>כפר אוריה הותקף ביריות</t>
  </si>
  <si>
    <t>Uriyah Village</t>
  </si>
  <si>
    <t>המצרים פותחים באש על חקלאים בשדות הקיבוץ הקרובים לגבול.</t>
  </si>
  <si>
    <t>Egyptians opened fire at farmers in the kibbutz fields close to the border.</t>
  </si>
  <si>
    <t>קיבוץ נחל עוז</t>
  </si>
  <si>
    <t>17/08/1955</t>
  </si>
  <si>
    <t>סיור של צה"ל לאורך הגבול מותקף באש ממוצב מצרי</t>
  </si>
  <si>
    <t>An IDF patrol along the border attacked an Egyptian outpost on fire</t>
  </si>
  <si>
    <t>קיבוץ מפלסים</t>
  </si>
  <si>
    <t>Mefalsim</t>
  </si>
  <si>
    <t>22/08/1955</t>
  </si>
  <si>
    <t>מארב של חיילים מצריים פותח באש על רכב ישראלי בכניסה לקיבוץ ארז. מפקד האזור שלום וכטל נהרג.</t>
  </si>
  <si>
    <t>Ambush of Egyptian soldiers opened fire on an Israeli car at the entrance to Kibbutz Erez. Hello regional commander Wachtel killed.</t>
  </si>
  <si>
    <t>קיבוץ ארז</t>
  </si>
  <si>
    <t>25/08/1955</t>
  </si>
  <si>
    <t>חוליה צבאית מצרית חדרה עד לאשקלון, פתחה באש על רכב צבאי, פצעה שני חיילים, ובנסיגתם פוצצו באר מים.</t>
  </si>
  <si>
    <t>Egyptian military cell to Ashkelon, Hadera, opened fire on a military vehicle, wounding two soldiers, and their retreat blew up a well.</t>
  </si>
  <si>
    <t>אשקלון</t>
  </si>
  <si>
    <t>27/08/1955</t>
  </si>
  <si>
    <t>שני חיילי צהל נהרגו בעלות רכבם על מוקש בדרך הפטרולים ליד קיבוץ בארי.</t>
  </si>
  <si>
    <t>Two IDF soldiers were killed by a land mine vehicle ownership patrol road near Kibbutz Be'eri.</t>
  </si>
  <si>
    <t>קיבוץ בארי</t>
  </si>
  <si>
    <t>28/08/1955</t>
  </si>
  <si>
    <t>Oriya village was attacked by gunfire</t>
  </si>
  <si>
    <t>חולית פדאינים מצריים חודרת לפרדסי קומרוב בבית עובד ליד נס ציונה ורצחת 4 פועלים.</t>
  </si>
  <si>
    <t>Dune Fdainim Komarov groves enters Egypt at working at Ness Ziona and murdered four workers.</t>
  </si>
  <si>
    <t>בית עובד</t>
  </si>
  <si>
    <t>Beit Oved</t>
  </si>
  <si>
    <t>Road Talpiot Jerusalem</t>
  </si>
  <si>
    <t xml:space="preserve">Road Talpiot Jerusalem </t>
  </si>
  <si>
    <t>29/08/1955</t>
  </si>
  <si>
    <t>תושב קוביבה (כפר גבירול) נרצח בדרכו למעברת זרנוגה ע"י חולית פדאינים מצריים.</t>
  </si>
  <si>
    <t>Resident Kobibh (Kfar Gabirol), was murdered on his way to the Ford Zarnug by sandy Fdainim Egypt.</t>
  </si>
  <si>
    <t>מכונית צבאית הותקפה עם נשק אוטומטי ליד צומת בילו. חולית הפדאינים השתייכה ליחידת מתאבדים מוסלמית.</t>
  </si>
  <si>
    <t>Military vehicle was attacked with automatic weapons near the intersection spent. Dune Hfdainim Muslim suicide bombers belonged to unit.</t>
  </si>
  <si>
    <t>כפר בילו</t>
  </si>
  <si>
    <t>רימוני יד הוטלו לשני בתים במושב. שני תושבי רמלה נרצחו ברכבם ליד כפר מנחם.</t>
  </si>
  <si>
    <t>Thrown hand grenades into two houses in session. Two residents of Ramle were killed in their car near Kfar Menachem.</t>
  </si>
  <si>
    <t>מושב נחלה</t>
  </si>
  <si>
    <t>Nahala</t>
  </si>
  <si>
    <t>30/08/1955</t>
  </si>
  <si>
    <t>במארב מתוכנן, נחטף חייל ישראלי, יעקב מינקובסקי, בידי חיילים סוריים</t>
  </si>
  <si>
    <t>Planned ambush and kidnapped an Israeli soldier, Jacob Minkowski, the Syrian soldiers</t>
  </si>
  <si>
    <t>גבול סוריה</t>
  </si>
  <si>
    <t>18/10/1955</t>
  </si>
  <si>
    <t>כוחות צבא מצרי חדרו לאיזור ניצנה, השתלטו על בנין המשטרה בבארותיים הרגו חייל וחטפו 2 שוטרים.</t>
  </si>
  <si>
    <t>Egyptian military forces entered the area of ​​Nitzana, the police took over the building Bbarotiim soldier killed and kidnapped two policemen.</t>
  </si>
  <si>
    <t>26/10/1955</t>
  </si>
  <si>
    <t>אש תותחים ומרגמות של האוייב נורתה לעבר ישובי הנגב, נפגעו: ניר-עם, מקורות ויד-מרדכי</t>
  </si>
  <si>
    <t>Nir-Am</t>
  </si>
  <si>
    <t>Mekorot</t>
  </si>
  <si>
    <t>כח מצרי הפגיז וניסה לכבוש עמדת גבול בגיזרת נירים, אך נהדף ללא אבידות.</t>
  </si>
  <si>
    <t>Yad-Mordechai</t>
  </si>
  <si>
    <t>Egyptian force shelled and tried to occupy the position of Nirim limited area, but repelled without casualties.</t>
  </si>
  <si>
    <t>29/10/1955</t>
  </si>
  <si>
    <t>שתי פלוגות של הצבא המצרי פלשו והתחפרו כ- 1.5 ק"מ בתוך השטח המפורז של ניצנה.</t>
  </si>
  <si>
    <t>Two companies of the Egyptian army invaded and entrenched approximately 1.5 km in the demilitarized area of ​​Nitzana.</t>
  </si>
  <si>
    <t>בעשרת החודשים הראשונים של שנת 1955 אירעו 25 תקריות של ירי על דייגים בכנרת.</t>
  </si>
  <si>
    <t>The first ten months of 1955 there were 25 incidents of firing on fishing in the Kinneret.</t>
  </si>
  <si>
    <t>אגם הכינרת</t>
  </si>
  <si>
    <t>00/11/1955</t>
  </si>
  <si>
    <t>11/00/1955</t>
  </si>
  <si>
    <t>טרקטור של הקיבוץ עלה על מוקש בשדה פלחה מול מוצב תל-עזזיאת</t>
  </si>
  <si>
    <t>Artillery and mortar fire of the enemy fired at the western Negev settlements were injured Nir-Am, sources and Yad Mordechai</t>
  </si>
  <si>
    <t>The kibbutz tractor ran over a mine field crops is placed in front of Tel Azaziat</t>
  </si>
  <si>
    <t>קיבוץ דן</t>
  </si>
  <si>
    <t>Negev</t>
  </si>
  <si>
    <t xml:space="preserve"> Nir-Am</t>
  </si>
  <si>
    <t>28/11/1955</t>
  </si>
  <si>
    <t>כוחות צבאיים סורים תקפו באש תותחים סירות דייג וספינת משטרה. נגרם נזק ניכר אך לא היו אבידות בנפש.</t>
  </si>
  <si>
    <t>Syrian military forces attacked fishing boats cannon fire and a police boat. Caused considerable damage but no casualties.</t>
  </si>
  <si>
    <t>חולית פדאינים חדרה לישראל עד לכביש באר שבע תל אביב ורצחו את גד סמואל ומיכאל כפרי מגבעת חיים</t>
  </si>
  <si>
    <t>Fdainim sandy road Hadera Israel to Beersheba, Tel Aviv and killed Samuel and Michael Gad bowler rural life</t>
  </si>
  <si>
    <t>כביש אחוזם קרית גת</t>
  </si>
  <si>
    <t>חולית פדאינים חדרה למרכז העיר אשקלון, הטילה רימונים לבית משפחת ידעי. אם המשפחה נרצחה.</t>
  </si>
  <si>
    <t>Dune Fdainim penetrated to the center of the city of Ashkelon, threw grenades Inform family home. If the family was murdered.</t>
  </si>
  <si>
    <t>חבר קיבוץ להב נרצח ביריות ממארב ליד צומת פלוגות בדרכו לתל אביב.</t>
  </si>
  <si>
    <t>Member of Kibbutz Lahav was killed by gunfire in an ambush near the intersection of troops on his way to Tel Aviv.</t>
  </si>
  <si>
    <t>צומת פלוגות</t>
  </si>
  <si>
    <t>Al-Faluja</t>
  </si>
  <si>
    <t>חולית פדאינים הסתננה ממצרים עד לאיזור בית דגון ורצחו 4 ילדים במדרשיית שפריר</t>
  </si>
  <si>
    <t>Fdainim Dune area infiltrated from Egypt to the house of Dagon and killed four children Midrashiya Shafrir</t>
  </si>
  <si>
    <t>מושב שפריר</t>
  </si>
  <si>
    <t>Shafir</t>
  </si>
  <si>
    <t>מסתננים חדרו למושב אחיעזר, צפונית מערבית ללוד, פתחו באש אוטומטית ופצעו קשה משפחה שלימה</t>
  </si>
  <si>
    <t>Achiezer seat infiltrators, northwest of Lydda, they opened automatic fire, seriously injuring the entire family</t>
  </si>
  <si>
    <t>מושב אחיעזר</t>
  </si>
  <si>
    <t>Ahi'ezer</t>
  </si>
  <si>
    <t>מארב של מסתננים מירדן, פגעו בטנדר של מחצבי ישראל ורצחו את יוחנן גוטמן וחיים דובינסקי.</t>
  </si>
  <si>
    <t>Ambush of infiltrators from Jordan's truck struck and killed fossil Israel Gutman and John Dubinsky life.</t>
  </si>
  <si>
    <t>תריסר ילדים ניצלו בנס כאשר מסתננים מירדן הטילו רימון לבית הילדים בקיבוץ והרימון התפוצץ בפרוזדור.</t>
  </si>
  <si>
    <t>A dozen children were not hurt when the infiltrators from Jordan threw a grenade kibbutz children's house and exploded in the corridor.</t>
  </si>
  <si>
    <t>קיבוץ מעלה החמישה</t>
  </si>
  <si>
    <t>23/07/1956</t>
  </si>
  <si>
    <t>מארב ירדני מתוכנן פתח באש על אוטובוס אזרחי ורכב ליווי צבאי. אישה אחת ושלושה חיילים נהרגו.</t>
  </si>
  <si>
    <t>Jordanian planned ambush opened fire on a civilian bus and a military escort vehicles. One woman and three men were killed.</t>
  </si>
  <si>
    <t>באר מנוחה</t>
  </si>
  <si>
    <t>Menuha</t>
  </si>
  <si>
    <t>15/08/1956</t>
  </si>
  <si>
    <t>שני חיילי צה"ל נהרגו ממוקש שהוטמן צפונית למשק קציעות באיזור המפורז של ניצנה.</t>
  </si>
  <si>
    <t>Two IDF soldiers were killed in a mine planted in the north of the demilitarized zone economy Ketziot Nitzana.</t>
  </si>
  <si>
    <t>היאחזות קציעות</t>
  </si>
  <si>
    <t>31/08/1956</t>
  </si>
  <si>
    <t>בהתקפה מתוכננת של חיילי הלגיון על חיילי צה"ל שהיו באימונים באיזור בית גוברין נרצחו 6 עתודאים סטודנטים לרפואה.</t>
  </si>
  <si>
    <t>Planned an attack on Legion soldiers who were in training in Beit Guvrin ASTPRers killed six medical students.</t>
  </si>
  <si>
    <t>קיבוץ בית גוברין</t>
  </si>
  <si>
    <t>נרצחו שלושה שומרים דרוזים במחנה הקידוח בעין עופרים שליד חצבה. הרוצחים השתייכו ל"קומנדו המדברי" ממצודת ע'רנדל</t>
  </si>
  <si>
    <t>Killed three Druze guards at Ein Ofarim drilling camp near a quarry. Desert Commando killers belonged to the "Fortress Arandal</t>
  </si>
  <si>
    <t>חצבה בערבה</t>
  </si>
  <si>
    <t>Hatzeva</t>
  </si>
  <si>
    <t>חיילים ירדנים בעמדת מר-אליאס פתחו באש על משתתפי הכינוס הארכיאולוגי שנערך ברמת רחל. 3 מדענים נהרגו ו- 8 נפצעו, חלקם קשה.</t>
  </si>
  <si>
    <t>Jordanian soldiers Mar Elias opened fire on participants of archaeological conference held at Ramat Rachel. Three scientists were killed and eight wounded, some badly.</t>
  </si>
  <si>
    <t>קיבוץ רמת רחל</t>
  </si>
  <si>
    <t>23/09/1956</t>
  </si>
  <si>
    <t>חיילי הליגיון הירדני תקפו אם וביתה ליד מושב עמינדב. הבת נרצחה בסכינים וכף ידה נכרת.</t>
  </si>
  <si>
    <t>Jordanian Legion soldiers attacked a mother and her home near Aminadav. Daughter was murdered with knives and that palm was cut down.</t>
  </si>
  <si>
    <t>מושב עמינדב</t>
  </si>
  <si>
    <t>24/09/1956</t>
  </si>
  <si>
    <t>מסתננים חדרו מירדן ורצחו טרקטוריסט בשדות הקיבוץ</t>
  </si>
  <si>
    <t>הרעשה כבדה של 24 שעות על ירושלים משכונת שיח'-ג'ראם, נפגעו שכונות צפון ירושלים</t>
  </si>
  <si>
    <t>Infiltrators from Jordan and the tractor driver were murdered in the kibbutz fields</t>
  </si>
  <si>
    <t>Jrusalem</t>
  </si>
  <si>
    <t>קיבוץ מעוז חיים</t>
  </si>
  <si>
    <t>רצח מזעזע של 5 עובדי "סולל בונה" בוצע לאור היום ע"י חוליה של 10 רוצחים שבאו מירדן וארבו לעובדים בצידי הכביש.</t>
  </si>
  <si>
    <t>Shocking murder of five employees of "Solel Boneh" was carried out in broad daylight by a squad of 10 killers came from Jordan and ambushed by roadside workers.</t>
  </si>
  <si>
    <t>כביש סדום באר שבע</t>
  </si>
  <si>
    <t>במשך יממה</t>
  </si>
  <si>
    <t>מסתננים מירדן רצחו שני פועלים , יחיאל פינרו וזכריה רצבי בפרדס ליד אבן יהודה וכרתו את אוזניהם.</t>
  </si>
  <si>
    <t>Heavy bombardment of 24 hours on the Jerusalem neighborhood of Sheikh G'ram, were hit northern Jerusalem neighborhoods</t>
  </si>
  <si>
    <t>Jordanian infiltrators killed two workers, Yehiel Simion Fainaru and Zechariah Ratzabi orchard next to Even Yehuda and cut off their ears.</t>
  </si>
  <si>
    <t>מושב אבן יהודה</t>
  </si>
  <si>
    <t>Beit Shean</t>
  </si>
  <si>
    <t xml:space="preserve">Beit Shean </t>
  </si>
  <si>
    <t>שלושה חיילי צה"ל נהרגו בעלות רכבם על מוקש באיזור המפורז של ניצנה.</t>
  </si>
  <si>
    <t>Three IDF soldiers were killed by a land mine vehicle ownership in the demilitarized zone of Nitzana.</t>
  </si>
  <si>
    <t>20/10/1956</t>
  </si>
  <si>
    <t>ארבעה יהודים נפצעו מיריות צלפים ערבים שהפרו את שביתת הנשק באיזור ירושלים</t>
  </si>
  <si>
    <t>Four Jews were wounded by gunfire Arab snipers broke the cease-fire in Jerusalem</t>
  </si>
  <si>
    <t>Rehaniya, near Safed</t>
  </si>
  <si>
    <t xml:space="preserve">Rehaniya, near Safed </t>
  </si>
  <si>
    <t>Place - Google Translate</t>
  </si>
  <si>
    <t>אנשי כנופיות קאויקג'י הציתו את יער בלפור, פתחו במהומות אש על גניגר ומגהגבעות שכבשו מצפון לכביש מזרע-גניגר ירו לעבר כלי הרכב שעברו.</t>
  </si>
  <si>
    <t>Ganigar</t>
  </si>
  <si>
    <t>1000</t>
  </si>
  <si>
    <t>Kaoikg'i gang members set fire to the Balfour Forest, opened fire on rioting Ginegar and Mghgbaot occupied north of the road from seed-Ginegar shot at passing vehicles.</t>
  </si>
  <si>
    <t>Sources, Yad Mordechai and Nir-Am</t>
  </si>
  <si>
    <t xml:space="preserve">Sources, Yad Mordechai and Nir-Am </t>
  </si>
  <si>
    <t>ניסיון התקפה בנוטר-דאם בירושלים, הוטלו רימוני יד ונפתחה אש מרובים ומקלעים. נפל גם פגז מרגמה ליד בניין הדואר הישן.</t>
  </si>
  <si>
    <t>Attempt to attack Jerusalem Notre Dame, thrown hand grenades and opened fire multiple guns. Even a mortar shell fell near the old post office building.</t>
  </si>
  <si>
    <t>Negev Desert</t>
  </si>
  <si>
    <t>Beer Sheva</t>
  </si>
  <si>
    <t xml:space="preserve">Beer Sheva </t>
  </si>
  <si>
    <t>מכונית משוריינת ובה חברי הציזבטרון עלתה על מוקש ומיד לאחר הפיצוץ חברי הלהקה נורו מכל עבר. 5 נפצעו</t>
  </si>
  <si>
    <t>1730</t>
  </si>
  <si>
    <t>Armored car containing members of Htzizbtron hit a mine and immediately after the explosion of the band were everywhere. 5 injured</t>
  </si>
  <si>
    <t>Gush Katif</t>
  </si>
  <si>
    <t xml:space="preserve">Gush Katif </t>
  </si>
  <si>
    <t>Three enemy planes bombed the Tel Aviv from the air and another plane carried the bomb again later</t>
  </si>
  <si>
    <t>Tel Aviv</t>
  </si>
  <si>
    <t>אהלה</t>
  </si>
  <si>
    <t>האוייב פתח בהתקפת אש על רמת-רחל מכיוון בתי מוסה אל-עלאמי בכביש בית-לחם ומצור-באחר, אין מידע על נפגעים</t>
  </si>
  <si>
    <t>Ramat Rachel</t>
  </si>
  <si>
    <t>0715</t>
  </si>
  <si>
    <t>The enemy opened fire attack on Ramat Rachel because my daughter Musa al-Alami Bethlehem Road and another blockade, no information on casualties</t>
  </si>
  <si>
    <t xml:space="preserve">Tel Aviv </t>
  </si>
  <si>
    <t>Two members of Kibbutz embers in the Sharon murdered, apparently by Arabs</t>
  </si>
  <si>
    <t>Yashuv</t>
  </si>
  <si>
    <t>Qalqilya sniper shot and killed the economy towards household member level Hnobs</t>
  </si>
  <si>
    <t>A group of soldiers was shot in an ambush, nine soldiers were killed</t>
  </si>
  <si>
    <t>שניים מחברי קיבוץ אודים שבשרון נרצחו, ככל הנראה ע"י ערבים</t>
  </si>
  <si>
    <t>Udim</t>
  </si>
  <si>
    <t>Sharon</t>
  </si>
  <si>
    <t xml:space="preserve">Yashuv </t>
  </si>
  <si>
    <t>Travelers were caught in their cars from an ambush while they were on their way to Mount Sodom, shooters fled</t>
  </si>
  <si>
    <t>צלף ירה מקלקיליה לכיוון המשק והרג חברת משק רמת הנובש</t>
  </si>
  <si>
    <t>Gofotim of three Arabs were found near the village of Baram in the Upper Galilee, there is no information about the perpetrators</t>
  </si>
  <si>
    <t>Israeli armed infiltrator killed in attack Stan and grenade near Yavne</t>
  </si>
  <si>
    <t>Lachish</t>
  </si>
  <si>
    <t>Ramat Hakovesh</t>
  </si>
  <si>
    <t>An Israeli was shot and killed an Arab who was with him was wounded in the head by Arab infiltrators, when they returned from their orchard</t>
  </si>
  <si>
    <t>Two Jews were killed and one wounded in attack by infiltrators axes, knives, stones and shooting, in the Judean Hills</t>
  </si>
  <si>
    <t>0830</t>
  </si>
  <si>
    <t>Kfar Darom</t>
  </si>
  <si>
    <t>Car hit a mine anti-tank and stopped, shot ambushed three soldiers and two civilians were killed, the attackers fled into Egypt</t>
  </si>
  <si>
    <t>Two more household members were attacked by Arabs, one was killed and two disappeared, apparently abducted</t>
  </si>
  <si>
    <t>Sderot and its environs</t>
  </si>
  <si>
    <t>Israeli murdered in broad daylight Solel Boneh quarry by infiltrators from Syria.</t>
  </si>
  <si>
    <t>זהרה לימונצ'ין</t>
  </si>
  <si>
    <t>City Beach</t>
  </si>
  <si>
    <t>20</t>
  </si>
  <si>
    <t>Arab infiltrators tried to enter the village facilitator (Malcha), the guards saw them and fight two infiltrators fled. One guard was wounded</t>
  </si>
  <si>
    <t>Road Jerusalem-Bethlehem</t>
  </si>
  <si>
    <t>Infiltrators opened fire on the young man and woman in Petah Tikva. Young was killed instantly and seriously injured young</t>
  </si>
  <si>
    <t>מטיילים נקלעו ברכבם למארב ירי בעת שהיו בדרכם להר סדום, היורים נמלטו</t>
  </si>
  <si>
    <t>Arad</t>
  </si>
  <si>
    <t>Sodom</t>
  </si>
  <si>
    <t>Sharon Moshav guard was lightly wounded by gunfire infiltrators. The infiltrators managed to get away</t>
  </si>
  <si>
    <t>Test, Sharon</t>
  </si>
  <si>
    <t>Two Arab infiltrators penetrated the camp, the head of the eye in order to carry out thefts guest soldier killed in</t>
  </si>
  <si>
    <t>Kissufim checkpoint</t>
  </si>
  <si>
    <t>0630</t>
  </si>
  <si>
    <t xml:space="preserve"> </t>
  </si>
  <si>
    <t>Infiltrators managed to enter Sha'ul B (Deir Yassin) resident shot them to death near his home</t>
  </si>
  <si>
    <t>ישראלי נהרג מהתקפת מסתנן חמוש בסטאן ורימון ליד יבנה</t>
  </si>
  <si>
    <t>A group infiltrators shot and injured guard near the toolshed, more guards arrived and there was a shootout. The attackers fled</t>
  </si>
  <si>
    <t>Yavne</t>
  </si>
  <si>
    <t>Newcomer ferry Karkur was killed by infiltrators in the way of Karkur transit camp</t>
  </si>
  <si>
    <t>Shamir</t>
  </si>
  <si>
    <t>Infiltrators burst Ein Kerem, knocked on a door and when he opened it at home pistols shot him, wounding him badly</t>
  </si>
  <si>
    <t>Jewish worker was killed by Arabs near the Israeli-Jordanian border, not far from Jerusalem. The attackers fled</t>
  </si>
  <si>
    <t>Dura, near Hebron</t>
  </si>
  <si>
    <t>Arab shepherds were with goats lines at Sanhedriya and young Jews gathered splendor. Legionnaires who lived beyond the lines opened fire and shelling</t>
  </si>
  <si>
    <t>Bethlehem</t>
  </si>
  <si>
    <t>Arabs opened fire at the Public Works Department at the village Nokiib while riding his bike on the way north to Ein Gev</t>
  </si>
  <si>
    <t>Nokiib Village</t>
  </si>
  <si>
    <t>A fishing boat at Kibbutz Hulata attacked by Syrian forces entrenched on the eastern bank of the patient, no injuries</t>
  </si>
  <si>
    <t>Palestinians opened fire on a fishing boat Hulata economy of the demilitarized area for about three-quarters of an hour by motorboat from fishermen released</t>
  </si>
  <si>
    <t>Ginegar</t>
  </si>
  <si>
    <t>Three Jews were injured, one seriously, by Legionaires on Musrara in Jerusalem</t>
  </si>
  <si>
    <t>Machine-gun fire of the Syrian army fired at three members of Kibbutz Kinneret at the foot of the Golan Heights to the east when they went riding on mules grazing group</t>
  </si>
  <si>
    <t>Two Jews were killed and two were wounded by gunfire, bodies slashed with knives. The attackers fled across the Jordan River</t>
  </si>
  <si>
    <t>A husband and wife who were driving near Eilat squad were attacked by infiltrators and robbed by them, the husband was killed and a woman was seriously injured</t>
  </si>
  <si>
    <t xml:space="preserve">Lachish </t>
  </si>
  <si>
    <t>Arab Legion Ash Sheikh Jarrah in Jerusalem were fired at the Prophet Samuel Street, one woman was seriously wounded by a bullet to home</t>
  </si>
  <si>
    <t>Matola, Daphne</t>
  </si>
  <si>
    <t>StringFilter</t>
  </si>
  <si>
    <t>אברהם יוסף עזרא</t>
  </si>
  <si>
    <t>57</t>
  </si>
  <si>
    <t>MapsTooltip - Hidden - StringFilter</t>
  </si>
  <si>
    <t>MapsLat - Hidden - NoFilter</t>
  </si>
  <si>
    <t>MapsLong - Hidden - NoFilter</t>
  </si>
  <si>
    <t>ישראלי נורה ונהרג וערבי שהיה עימו נפצע בראשו ע"י מסתננים ערבים, בעת שחזרו מעבודתם בפרדס</t>
  </si>
  <si>
    <t>Jewish guard and his brother were murdered by a group of infiltrators who stole 15 mules from the stables camp, the infiltrators managed to escape.</t>
  </si>
  <si>
    <t>אחה"צ</t>
  </si>
  <si>
    <t>An Israeli soldier is dead after an exchange of fire between the Arab National Guard and Israeli soldiers in Ramla, Israel delivered body</t>
  </si>
  <si>
    <t>Ramla</t>
  </si>
  <si>
    <t>N/A</t>
  </si>
  <si>
    <t xml:space="preserve">Negev </t>
  </si>
  <si>
    <t>Legion passed a Jewish corpse they claim he crossed the border and not stopped despite the warnings, he was shot in the head and chest</t>
  </si>
  <si>
    <t>סגן זאב רודניצקי</t>
  </si>
  <si>
    <t>שני יהודים נהרגו ואחד נפצע מהתקפת מסתננים ע"י גרזנים, סכינים, אבנים וירי, בהרי יהודה</t>
  </si>
  <si>
    <t>Judea Mountains</t>
  </si>
  <si>
    <t>Infiltrators yard of a resident of one of the cities of Judah tried to steal chickens, they shot and wounded him proprietor hard, he died, the house was damaged,.</t>
  </si>
  <si>
    <t>Agama outpost south, the Philadelphi Route, Rafah area</t>
  </si>
  <si>
    <t xml:space="preserve">Kfar Darom </t>
  </si>
  <si>
    <t>Jews killed in an exchange of gunfire lasted for about two hours in Kfar Saba, was halted rail traffic in the region</t>
  </si>
  <si>
    <t>Mei-Ami, Wadi Ara</t>
  </si>
  <si>
    <t>Fire from Syrian outpost north of Ein Gev struck and killed two Israeli fishermen</t>
  </si>
  <si>
    <t>Armed squad of household members Dan met Syrian troops fire during the coming protect the barn</t>
  </si>
  <si>
    <t>Neve Dekalim settlement, Netzarim and Nissan</t>
  </si>
  <si>
    <t>מכונית עלתה על מוקש נגד טנקים ונעצרה, נורתה עליה אש ממארב 3 חיילים ושני אזרחים נהרגו, התוקפים נמלטו לעבר מצרים</t>
  </si>
  <si>
    <t>An Israeli was seriously wounded during a meeting with Bedouin traffickers stabbed with a knife</t>
  </si>
  <si>
    <t>1830</t>
  </si>
  <si>
    <t>2/8/1952</t>
  </si>
  <si>
    <t>8 year old boy accidentally entered into no man's land at Mount Zion, shots were fired at him four Arab Legion, he was shot and he was hiding and finally got away</t>
  </si>
  <si>
    <t>שלום מנחם</t>
  </si>
  <si>
    <t>28</t>
  </si>
  <si>
    <t>Jews shot and killed by Arab Legion in Jerusalem</t>
  </si>
  <si>
    <t>A fight between a group of Arabs was apparently an organized force and a military training and the five guards of the southern Negev Copper Mine, the guards were all killed</t>
  </si>
  <si>
    <t>שני חברי משק ביתר הותקפו ע"י ערבים, אחד נהרג והשני נעלם, כנראה נחטף</t>
  </si>
  <si>
    <t>Beitar</t>
  </si>
  <si>
    <t xml:space="preserve">Sderot and its environs </t>
  </si>
  <si>
    <t>A young Jew killed by infiltrators from Jordan while plowing the field</t>
  </si>
  <si>
    <t>משה פדרי</t>
  </si>
  <si>
    <t>A Jewish boy was critically wounded by Israeli gunfire aimed across the Arab Old City wall</t>
  </si>
  <si>
    <t>Gang caught in an ambush by armed Arab Israeli vigil, gunfight killed one terrorist</t>
  </si>
  <si>
    <t>Near Kfar Saba</t>
  </si>
  <si>
    <t>Infiltrators opened fire on two guards seat in the Judean Hills, one of them seriously injured, four infiltrators fled</t>
  </si>
  <si>
    <t>Netanya</t>
  </si>
  <si>
    <t>ישראלי נרצח לאור יום במחצבת סולל בונה ע"י מסתננים שהגיעו מסוריה.</t>
  </si>
  <si>
    <t>Legionaires fired at Israeli police squad that tried to catch infiltrators crossed the boundaries, the police withdrew from shooting</t>
  </si>
  <si>
    <t>Arab infiltrator was killed while trying to enter the seat in the Judean Hills, the other members of the gang fled</t>
  </si>
  <si>
    <t>A man killed by his car in the Negev</t>
  </si>
  <si>
    <t xml:space="preserve">City Beach </t>
  </si>
  <si>
    <t>3 infiltrators to Jerusalem, wounding the homeowner in 4 shots, stole chickens and fled</t>
  </si>
  <si>
    <t>Ramallah</t>
  </si>
  <si>
    <t>Jordanian military unit of eight people entered Israel and approached a Jewish village near Jerusalem, the village guards opened fire and killed a Jordanian soldier</t>
  </si>
  <si>
    <t>Holon</t>
  </si>
  <si>
    <t>2/26/1953</t>
  </si>
  <si>
    <t>ויקטור נקש</t>
  </si>
  <si>
    <t>21</t>
  </si>
  <si>
    <t>2/28/1953</t>
  </si>
  <si>
    <t>Malha</t>
  </si>
  <si>
    <t xml:space="preserve">Road Jerusalem-Bethlehem </t>
  </si>
  <si>
    <t>5/25/1953</t>
  </si>
  <si>
    <t>Petah Tikva</t>
  </si>
  <si>
    <t>5/30/1953</t>
  </si>
  <si>
    <t>מסתננים ערבים ניסו לחדור לכפר מנחת (מלחה), השומרים ראו אותם ולאחר מאבק 2 המסתננים ברחו מהמקום. שומר אחד נפצע</t>
  </si>
  <si>
    <t>Kefar Menachem</t>
  </si>
  <si>
    <t>6/6/1953</t>
  </si>
  <si>
    <t>6/10/1953</t>
  </si>
  <si>
    <t>6/11/1953</t>
  </si>
  <si>
    <t>6/19/1953</t>
  </si>
  <si>
    <t>Kissufim</t>
  </si>
  <si>
    <t xml:space="preserve">Kissufim checkpoint </t>
  </si>
  <si>
    <t>7/9/1953</t>
  </si>
  <si>
    <t>8/11/1953</t>
  </si>
  <si>
    <t>Deir Yassin</t>
  </si>
  <si>
    <t>יהודה ליאון מר יוסף</t>
  </si>
  <si>
    <t>Karkur</t>
  </si>
  <si>
    <t>8/27/1953</t>
  </si>
  <si>
    <t>Ein Kerem</t>
  </si>
  <si>
    <t>מסתננים פתחו באש על צעיר וצעירה באזור פ"ת. הצעירה נהרגה במקום והצעיר נפצע קשה</t>
  </si>
  <si>
    <t>Petach Tikwa</t>
  </si>
  <si>
    <t>0200</t>
  </si>
  <si>
    <t xml:space="preserve">Arad </t>
  </si>
  <si>
    <t>תמר אורן</t>
  </si>
  <si>
    <t>19</t>
  </si>
  <si>
    <t>שומר במושב בשרון נפצע קל מיריות מסתננים. המסתננים הצליחו להמלט</t>
  </si>
  <si>
    <t>2400</t>
  </si>
  <si>
    <t xml:space="preserve">Bethlehem </t>
  </si>
  <si>
    <t xml:space="preserve">Test, Sharon </t>
  </si>
  <si>
    <t>9/9/1953</t>
  </si>
  <si>
    <t xml:space="preserve">Nokiib Village </t>
  </si>
  <si>
    <t>10/12/1953</t>
  </si>
  <si>
    <t>שלום גרפי</t>
  </si>
  <si>
    <t>12/16/1953</t>
  </si>
  <si>
    <t>1/3/1954</t>
  </si>
  <si>
    <t>שני מסתננים ערבים שחדרו למחנה ראש העין במטרה לבצע גניבות הרגו חייל אורח במחנה</t>
  </si>
  <si>
    <t>Rosh Hayin</t>
  </si>
  <si>
    <t>Armed infiltrators penetrated Degania in the clothes store, one of the guards felt them and alerted other guards, one man was injured by automatic weapons, infiltrators fled</t>
  </si>
  <si>
    <t xml:space="preserve">Ginegar </t>
  </si>
  <si>
    <t>Road-wells Barry Isaac</t>
  </si>
  <si>
    <t>2430</t>
  </si>
  <si>
    <t>North of the Kissufim checkpoint</t>
  </si>
  <si>
    <t xml:space="preserve">North of the Kissufim checkpoint </t>
  </si>
  <si>
    <t>Near Beersheba</t>
  </si>
  <si>
    <t>A Jordanian policeman opened fire at an Israeli policeman and killed him</t>
  </si>
  <si>
    <t>Jaffa</t>
  </si>
  <si>
    <t>2/4/1954</t>
  </si>
  <si>
    <t>Eilat</t>
  </si>
  <si>
    <t xml:space="preserve">Eilat </t>
  </si>
  <si>
    <t>A herd of cattle per room Deirdre Syrian territory and when the members tried to deport him open economy under fire from the post Sur, one seriously injured</t>
  </si>
  <si>
    <t xml:space="preserve">Matola, Daphne </t>
  </si>
  <si>
    <t>A shepherd was kidnapped by Jordanian soldiers and captured his spade was robbed around Baqa al-Gharbiya, soldiers and shepherd traces were found by police who opened an investigation</t>
  </si>
  <si>
    <t>Ashmore</t>
  </si>
  <si>
    <t>Mahseya infiltrators entered the village and killed a guard patrolling for shooting, gun and belt with ammunition were taken, the other guard was not injured</t>
  </si>
  <si>
    <t>יהודה בן יצחק ביגנשטוק</t>
  </si>
  <si>
    <t>43</t>
  </si>
  <si>
    <t>Preserved village was attacked with automatic fire and grenade. Village guards returned fire and the attackers retreated with footprints leading armistice line Israel-Lebanon</t>
  </si>
  <si>
    <t>Kibbutz embers, Sharon</t>
  </si>
  <si>
    <t>Jordan gang Cascade bus engines assassinated on his way to Eilat to Tel Aviv, 11 passengers were killed</t>
  </si>
  <si>
    <t>מסתננים שהצליחו לחדור לגבעת שאול ב' (דיר יאסין) רצחו ביריות תושב ליד ביתו</t>
  </si>
  <si>
    <t>Givat Shaul B</t>
  </si>
  <si>
    <t xml:space="preserve">Ramla </t>
  </si>
  <si>
    <t>Sderot</t>
  </si>
  <si>
    <t xml:space="preserve">Sderot </t>
  </si>
  <si>
    <t xml:space="preserve">Agama outpost south, the Philadelphi Route, Rafah area </t>
  </si>
  <si>
    <t>ישעיהו קפלן</t>
  </si>
  <si>
    <t>30</t>
  </si>
  <si>
    <t xml:space="preserve">Mei-Ami, Wadi Ara </t>
  </si>
  <si>
    <t>קבוצת מסתננים ירתה ופצעה שומר ליד מחסן כלי עבודה, שומרים נוספים הגיעו והתנהל קרב יריות. התוקפים נמלטו</t>
  </si>
  <si>
    <t>3/17/1954</t>
  </si>
  <si>
    <t>0300</t>
  </si>
  <si>
    <t xml:space="preserve">Neve Dekalim settlement, Netzarim and Nissan </t>
  </si>
  <si>
    <t>הוגו בולדוס</t>
  </si>
  <si>
    <t>45</t>
  </si>
  <si>
    <t>Bedouin who was in his tent on al-Argob were shot by three infiltrators across the border</t>
  </si>
  <si>
    <t>עולה חדש ממעבורת כרכור נרצח ע"י מסתננים בדרך מכרכור למעברה</t>
  </si>
  <si>
    <t>Police opened machine gun fire on the two tractor drivers Latrun Israel on their way to Kibbutz Mishmar Ayalon Nachshon. There were no casualties</t>
  </si>
  <si>
    <t>2110</t>
  </si>
  <si>
    <t>3/25/1954</t>
  </si>
  <si>
    <t xml:space="preserve">Shamir </t>
  </si>
  <si>
    <t xml:space="preserve">Near Kfar Saba </t>
  </si>
  <si>
    <t xml:space="preserve">Netanya </t>
  </si>
  <si>
    <t>Maintains that he heard a noise coming from the living room seat stables approached the scene and fired two volleys at him, he was killed instantly, infiltrating stole his weapon and fled</t>
  </si>
  <si>
    <t>Zarit, Upper Galilee</t>
  </si>
  <si>
    <t>3/27/1954</t>
  </si>
  <si>
    <t>סולימאן ימיני</t>
  </si>
  <si>
    <t>23</t>
  </si>
  <si>
    <t xml:space="preserve">Ramallah </t>
  </si>
  <si>
    <t>מסתננים פרצו לעין כרם, דפקו על אחת הדלתות ומשפתח אותה בן הבית ירו עליו מאקדחים ופצעו אותו קשה</t>
  </si>
  <si>
    <t>Ein kerem</t>
  </si>
  <si>
    <t xml:space="preserve">Holon </t>
  </si>
  <si>
    <t>0215</t>
  </si>
  <si>
    <t xml:space="preserve">Beit Guvrin </t>
  </si>
  <si>
    <t>Shots were fired at a member of Kibbutz Yad Hannah when he plowed the land, he was seriously injured</t>
  </si>
  <si>
    <t xml:space="preserve">Kfar Hess </t>
  </si>
  <si>
    <t>Automatic fire was opened towards a military vehicle driving in Tel Aviv-Jerusalem road, the soldiers returned fire, no injuries</t>
  </si>
  <si>
    <t>Shtula</t>
  </si>
  <si>
    <t xml:space="preserve">Beit Nehemia </t>
  </si>
  <si>
    <t>Keeps walking toward the recovery Castel transit camp shot and killed by infiltrators who ambushed him and killed his gun robbed</t>
  </si>
  <si>
    <t xml:space="preserve">Rosh HaAyin </t>
  </si>
  <si>
    <t>5/9/1954</t>
  </si>
  <si>
    <t>Israeli forces opened fire at farmers Jordanians, three women were killed</t>
  </si>
  <si>
    <t>Givati ​​Brigade stationed in the Morag settlement in southern Gaza Strip</t>
  </si>
  <si>
    <t xml:space="preserve">Mishmar Ayalon </t>
  </si>
  <si>
    <t>Gunfire opened a Syrian military outpost to the three members of Kibbutz Kfar Szold, no injuries</t>
  </si>
  <si>
    <t xml:space="preserve">The Nekofa </t>
  </si>
  <si>
    <t>שמואל ישראל</t>
  </si>
  <si>
    <t>41</t>
  </si>
  <si>
    <t xml:space="preserve">Even Sapir </t>
  </si>
  <si>
    <t>Around midnight the ancient city wall were four shots into a house in Motzrrh Jerusalem, the room had eight children, no one was hurt</t>
  </si>
  <si>
    <t xml:space="preserve">Kirjathjearim </t>
  </si>
  <si>
    <t>פועל יהודי נרצח ע"י ערבים ליד הגבול הישראלי-ירדני, לא רחוק מירושלים. התוקפים נמלטו</t>
  </si>
  <si>
    <t>A group of Arab Legion attacked members of the household economy introductions greater grove, the battle lasted several hours and after arriving reinforcements from the farm three members have not been able to withdraw and killed</t>
  </si>
  <si>
    <t xml:space="preserve">Petra </t>
  </si>
  <si>
    <t>0930</t>
  </si>
  <si>
    <t>Rifles opened fire on members of Kibbutz Shamir at the Syrian side of the border kibbutz members were trying to put out a fire. There were no casualties</t>
  </si>
  <si>
    <t xml:space="preserve">Lod </t>
  </si>
  <si>
    <t xml:space="preserve">Dura, near Hebron </t>
  </si>
  <si>
    <t xml:space="preserve">Yehud </t>
  </si>
  <si>
    <t>6/26/1954</t>
  </si>
  <si>
    <t>Three infiltrators to Raanana and when the landlord left his house shot him and killed him. One of the infiltrators was shot by the police ambush and others fled</t>
  </si>
  <si>
    <t xml:space="preserve">Area Ashkelon </t>
  </si>
  <si>
    <t xml:space="preserve">Road-wells Barry Isaac </t>
  </si>
  <si>
    <t>Two artillery shells fired from positions Syrian police Labrsirt northeastern coast of the Sea of ​​Galilee</t>
  </si>
  <si>
    <t>Kibbutz Ramat Hnobs</t>
  </si>
  <si>
    <t>שמעון בן שושן</t>
  </si>
  <si>
    <t>22</t>
  </si>
  <si>
    <t xml:space="preserve">Jaffa </t>
  </si>
  <si>
    <t>Legionnaires opened fire over walls and mortars, automatic weapons, at first only in the direction of Motzrrh and then all along the line</t>
  </si>
  <si>
    <t>Kfar Giladi</t>
  </si>
  <si>
    <t xml:space="preserve">Nitzana area </t>
  </si>
  <si>
    <t>Police fire on boats Kinneret</t>
  </si>
  <si>
    <t>Beit Guvrin road</t>
  </si>
  <si>
    <t>רועים ערבים עברו עם עדר עיזים את הקווים ליד שכונת סנהדריה וצעירים יהודים אספו את הדר. ליגיונרים שישבו מעבר לקווים פתחו באש וירי פגזים</t>
  </si>
  <si>
    <t xml:space="preserve">Ramat Rachel </t>
  </si>
  <si>
    <t>Legionnaires attacked over the walls along the line by shooting at the Jewish school neighborhoods</t>
  </si>
  <si>
    <t>Hanita</t>
  </si>
  <si>
    <t>7/1/1954</t>
  </si>
  <si>
    <t>1900</t>
  </si>
  <si>
    <t xml:space="preserve">Ashmore </t>
  </si>
  <si>
    <t>Shots were fired at a bus from Tel Aviv to Jerusalem from the armistice line of the Israeli-Jordanian Jerusalem Kilometer 5</t>
  </si>
  <si>
    <t>Legion soldiers who were standing near the border in one shot at civilians, no one was injured. More soldiers threw stones at the old city walls at passers-by</t>
  </si>
  <si>
    <t xml:space="preserve">Kibbutz embers, Sharon </t>
  </si>
  <si>
    <t>Fire opened on a tractor seat Hanita, no injuries</t>
  </si>
  <si>
    <t>Mount Sodom shown Hosob</t>
  </si>
  <si>
    <t>אפרים טישלר</t>
  </si>
  <si>
    <t>Scorpions Pass</t>
  </si>
  <si>
    <t xml:space="preserve">Scorpions Pass </t>
  </si>
  <si>
    <t>Yavne'el hearing Rsror resident at the stables went toward the sound check its source and it opened automatic fire, he was hit in the chest and died, infiltrators fled</t>
  </si>
  <si>
    <t>ערבים פתחו באש לעבר עובד במחלקת עבודות ציבוריות ליד הכפר נוקייב בעת שרכב על אופניו בדרך צפונה לעין-גב</t>
  </si>
  <si>
    <t>Ein Gev</t>
  </si>
  <si>
    <t>Gaza Strip</t>
  </si>
  <si>
    <t xml:space="preserve">Gaza Strip </t>
  </si>
  <si>
    <t xml:space="preserve">Zarit, Upper Galilee </t>
  </si>
  <si>
    <t>Members path Halamed dealt with the harvest were attacked by gunfire, the group of Jordanians shot them armistice line, the battle lasted several hours, 5 injured</t>
  </si>
  <si>
    <t>The Golan Heights</t>
  </si>
  <si>
    <t xml:space="preserve">Ksalon </t>
  </si>
  <si>
    <t>Palestinians opened fire at a civilian car driving Manara Yiftach in the Upper Galilee, fire was opened across the armistice line, no injuries</t>
  </si>
  <si>
    <t>Baram, Upper Galilee</t>
  </si>
  <si>
    <t>Exchange of fire took place between settlers from Petah path Halamed and the Jordanian armed group after they began sniping across the border when the residents were busy with the harvest</t>
  </si>
  <si>
    <t xml:space="preserve">Shtula </t>
  </si>
  <si>
    <t>A main water pipe of the "sources" near Nir Am near the Gaza Strip blew over three meters by a large bomb</t>
  </si>
  <si>
    <t>סירת דייגים של קיבוץ חולתה הותקפה ע"י כוחות סוריים שהתבצרו בגדה המזרחית של החולה, אין נפגעים</t>
  </si>
  <si>
    <t>Chulata</t>
  </si>
  <si>
    <t>Jordanian mesons fired on a group of workers from Moshav Yardena Jordan Valley (the distance of 400 m from the armistice) workers returned fire, the attackers fled</t>
  </si>
  <si>
    <t xml:space="preserve">Wadi Fukin </t>
  </si>
  <si>
    <t>צהריים</t>
  </si>
  <si>
    <t xml:space="preserve">Givati ​​Brigade stationed in the Morag settlement in southern Gaza Strip </t>
  </si>
  <si>
    <t>Two guards were attacked by Raziel session, the infiltrators. One guard was killed and two wounded. The infiltrators stole their weapons and fled towards the armistice line</t>
  </si>
  <si>
    <t>משה גולדשטיין</t>
  </si>
  <si>
    <t>9/2/1954</t>
  </si>
  <si>
    <t>שלושה יהודים נפצעו , אחד מהם קשה, מירי חיילי הלגיון הערבי  על שכונת מוסררה בירושלים</t>
  </si>
  <si>
    <t>Jerusalm</t>
  </si>
  <si>
    <t>Kfar Shmaryahu tractor worker was shot and killed while working in Ruhama</t>
  </si>
  <si>
    <t>Galilee</t>
  </si>
  <si>
    <t xml:space="preserve">Galilee </t>
  </si>
  <si>
    <t>Concentration of Bedouin southeast of Shivta (Zbiith) 15 meters from the Egyptian border was attacked by infiltrators from Egypt. Dewey was killed, two were wounded and robbed herd</t>
  </si>
  <si>
    <t>Geha Junction</t>
  </si>
  <si>
    <t>Garden tractor driver's seat Givati ​​Egypt was attacked by four armed by shooting at close range and wounded in both arms</t>
  </si>
  <si>
    <t xml:space="preserve">Syria </t>
  </si>
  <si>
    <t>ניסן בן נוריאל יצחק</t>
  </si>
  <si>
    <t xml:space="preserve">Ra'anana </t>
  </si>
  <si>
    <t>4 explosives placed infiltrators over 10 kg under the western wall of the seat quarried near Gedera, the house was completely destroyed, no one was injured.</t>
  </si>
  <si>
    <t>A tunnel in the Gaza Strip</t>
  </si>
  <si>
    <t>Tel-Aviv</t>
  </si>
  <si>
    <t>אש מקלעים של הצבא הסורי נורתה לעבר שלושה חברי קיבוץ ממזרח לכינרת לרגלי הגולן כשיצאו רכובים על פרדות לקבץ מרעה</t>
  </si>
  <si>
    <t xml:space="preserve">Tel-Aviv </t>
  </si>
  <si>
    <t>Sea of Galilee</t>
  </si>
  <si>
    <t>Resident who Yemin Moshe neighborhood in Jerusalem was shot in the leg by a Legionnaire since the old walled city, state Easy</t>
  </si>
  <si>
    <t xml:space="preserve">Kibbutz Ramat Hnobs </t>
  </si>
  <si>
    <t>Egypt arrested eight armed horse-drawn carriage and her four residents of the house arose way back from Ashkelon, are ordered for fall, and killed and others injured.</t>
  </si>
  <si>
    <t xml:space="preserve">Kfar Giladi </t>
  </si>
  <si>
    <t>Armed infiltrators attacked Egypt Bedouin, about 8 km south of sprouts, and robbed them 10 camels</t>
  </si>
  <si>
    <t xml:space="preserve">Beit Guvrin road </t>
  </si>
  <si>
    <t>9/26/1954</t>
  </si>
  <si>
    <t xml:space="preserve">Hanita </t>
  </si>
  <si>
    <t>שני יהודים נהרגו ושנים נפצעו מירי, גופות ההרוגים נחתכו בסכינים. התוקפים נמלטו לעבר הירדן</t>
  </si>
  <si>
    <t>1500</t>
  </si>
  <si>
    <t xml:space="preserve">Mount Sodom shown Hosob </t>
  </si>
  <si>
    <t>3 Bar-Giora residents were on routine patrol when suddenly assaulted by Jordanian squad at more introductions. After an exchange of fire, one resident was killed and one was lightly wounded, the attackers N.</t>
  </si>
  <si>
    <t xml:space="preserve">The Golan Heights </t>
  </si>
  <si>
    <t>אריה שטיינלוף</t>
  </si>
  <si>
    <t>Givat Yearim resident was shot by the Jordanians. The attacker tried to rob him of his gun and when he could not flee the scene</t>
  </si>
  <si>
    <t xml:space="preserve">Baram, Upper Galilee </t>
  </si>
  <si>
    <t>Guard was seriously injured and later died of his wounds after being shot in the Legion's position on the wall at Mount Zion</t>
  </si>
  <si>
    <t>בעל ואישה שנסעו ברכב בקרבת אילת הותקפו ע"י חוליית מסתננים ונשדדו על-ידם, הבעל נהרג והאישה נפצעה קשה</t>
  </si>
  <si>
    <t>A group of 30 armed attacked Egypt Bedouin encampment around Musharraf. An Israeli patrol instead killed three attackers and wounded one more. 3 Bedouin were injured,</t>
  </si>
  <si>
    <t>Explosive was placed by three infiltrators at two houses in session hammer. No one was injured. 2 houses were damaged. The infiltrators fled to the Gaza Strip</t>
  </si>
  <si>
    <t>Jordanian village opened fire at a farm Ziha Israeli triangle wave. Economy personnel returned fire. A car that was shot on his way to the economy and one of the passengers was slightly injured.</t>
  </si>
  <si>
    <t>North of the village snub</t>
  </si>
  <si>
    <t>4 infiltrators attacked a military jeep on his way to Yotvata Beer rest, the passengers returned fire, and a young soldier in the jeep were injured, one seriously injured infiltrators and captured.</t>
  </si>
  <si>
    <t>צבי ירושלמי</t>
  </si>
  <si>
    <t>אש הליגיון הערבי בשיח' ג'ארח בירושלים נורתה לעבר רחוב שמואל הנביא, אישה אחת נפצע קשה מכדור שחדר לביתה</t>
  </si>
  <si>
    <t>Jordan area opened fire at dusk at a group of travelers Gate Heights. There were no casualties</t>
  </si>
  <si>
    <t>Thu al-Hamama, north of Migdal-Gad</t>
  </si>
  <si>
    <t xml:space="preserve">East to Sha'alvim </t>
  </si>
  <si>
    <t>Bands of infiltrators from Jordan previously committed robbery and murder caused heavy damage in most of the colonies. One intruder was caught hacking attempt heeling wounded in a fire.</t>
  </si>
  <si>
    <t>Beit Hillel</t>
  </si>
  <si>
    <t>Jews shot on the Jordanian farmers were Geva field near a village in Hebron. The attackers killed one man and injured another man.</t>
  </si>
  <si>
    <t>An Egyptian outpost opened fire with machine gun fire at members of the Nahal Oz economy worked in their fields. Economy personnel returned fire. There were no casualties</t>
  </si>
  <si>
    <t>Netzarim settlement</t>
  </si>
  <si>
    <t xml:space="preserve">Geha Junction </t>
  </si>
  <si>
    <t>חנה אוקטוקולסקי</t>
  </si>
  <si>
    <t>49</t>
  </si>
  <si>
    <t>Sappers unit Jordanian economy entered a flare and set explosives and blew up a carpentry shop. A car was shot in Wadi Ara, the driver was injured. Egyptians fired on a fishing boat</t>
  </si>
  <si>
    <t>Blvd.</t>
  </si>
  <si>
    <t>Rifles opened fire at the workers in patient since the armistice line with Syria. There were no casualties</t>
  </si>
  <si>
    <t>Near Yavne</t>
  </si>
  <si>
    <t>Gunfire was fired at one of the village guards Zachariah, hearing the shots the rest of the guards opened fire on the attackers. The attackers fled, no one was injured</t>
  </si>
  <si>
    <t>שומר יהודי ואחיו נרצחו ע"י קבוצת מסתננים שגנבו 15 פרדות מתוך אורוות המעברה, המסתננים הצליחו לברוח.</t>
  </si>
  <si>
    <t>Member kidnapping attempt Kfar Szold was thwarted by the Syrians, four shooting incidents across the armistice line in Syria, no injuries</t>
  </si>
  <si>
    <t>Village Colonia</t>
  </si>
  <si>
    <t>Six Arabs have been arrested for arson Group Water Institute HaSolelim</t>
  </si>
  <si>
    <t>By way of Nirim</t>
  </si>
  <si>
    <t>Jordanian armed infiltrators tried to steal the sheep farm of Kibbutz Neve Or, the guards noticed a suspicious movement near Citrus and opened fire, infiltrators returned</t>
  </si>
  <si>
    <t xml:space="preserve">Ein HaShofet </t>
  </si>
  <si>
    <t>Potency</t>
  </si>
  <si>
    <t>אברהם סעיד חזי</t>
  </si>
  <si>
    <t>A group of Jordanian infiltrators penetrated the crane performed various robberies, killed two tractor drivers and robbed their weapons. The attackers managed to flee</t>
  </si>
  <si>
    <t xml:space="preserve">North of the village snub </t>
  </si>
  <si>
    <t>1/18/1955</t>
  </si>
  <si>
    <t>מסתננים שחדרו לחצר ביתו של תושב באחת מערי יהודה ניסו לגנוב תרנגולות, הם ירו בבעל הבית ופצעוהו קשה, הוא מת מפצעיו, ביתו נפגעה, .</t>
  </si>
  <si>
    <t>Judea</t>
  </si>
  <si>
    <t>Household member Eye-three killed and two wounded in an attack by infiltrators during the plowed field. The two infiltrators were killed by a grenade</t>
  </si>
  <si>
    <t xml:space="preserve">Thu al-Hamama, north of Migdal-Gad </t>
  </si>
  <si>
    <t>1/25/1955</t>
  </si>
  <si>
    <t>Attempted hijack Jordanian Israeli Arab from Kfar Kassem. The attackers fled after being attacked by the resistance discovered</t>
  </si>
  <si>
    <t xml:space="preserve">Beit Hillel </t>
  </si>
  <si>
    <t xml:space="preserve">Netzarim settlement </t>
  </si>
  <si>
    <t xml:space="preserve">Blvd. </t>
  </si>
  <si>
    <t xml:space="preserve">Near Yavne </t>
  </si>
  <si>
    <t>Syria opened fire at an Israeli tractor driver north of the economy growing and a day later at a kibbutz member who was near the fishing ponds of the economy. There were no casualties.</t>
  </si>
  <si>
    <t>Near Kibbutz Nes</t>
  </si>
  <si>
    <t xml:space="preserve">Village Colonia </t>
  </si>
  <si>
    <t>Four fishing boats were attacked with automatic fire Kinneret Syrian positioned opposite the valley promised no injuries.</t>
  </si>
  <si>
    <t>Solel Boneh quarry near Kiryat Shmona</t>
  </si>
  <si>
    <t>Automatic fire on an Egyptian outpost opened two tractor drivers working in the fields of Nahal Oz. There were no casualties</t>
  </si>
  <si>
    <t>25</t>
  </si>
  <si>
    <t xml:space="preserve">By way of Nirim </t>
  </si>
  <si>
    <t>Netiv HaLamed-Heh (Jerusalem)</t>
  </si>
  <si>
    <t xml:space="preserve">Netiv HaLamed-Heh (Jerusalem) </t>
  </si>
  <si>
    <t>Automatic fire was opened Yashuv members working in the fields of the economy. There were no casualties</t>
  </si>
  <si>
    <t>Village damper (Malcha)</t>
  </si>
  <si>
    <t>Jordan filed a complaint against Israel in which it claims that Jews shot by beating Algeria to Al-Turi district in Jerusalem, no injuries</t>
  </si>
  <si>
    <t>Kfar Saba</t>
  </si>
  <si>
    <t>2/9/1955</t>
  </si>
  <si>
    <t xml:space="preserve">Potency </t>
  </si>
  <si>
    <t>Syrian outpost opened fire at a civilian car that moves in the demilitarized zone south of the patient, the car was damaged but no one was injured</t>
  </si>
  <si>
    <t>Vegetables, Petah Tikva area</t>
  </si>
  <si>
    <t>יהודי נהרג מחילופי אש שנמשכו כשעתיים באזור כפר-סבא, הופסקה תנועת הרכבות באזור</t>
  </si>
  <si>
    <t>Kefar Saba</t>
  </si>
  <si>
    <t>Shots fired across the Syrian border into a jeep in Kibbutz Dan, on the road between Kfar Szold Shamir</t>
  </si>
  <si>
    <t>Moshav in Sharon</t>
  </si>
  <si>
    <t>Several shots were fired from the Syrian border at the farm Hulata fishermen who were on the east coast of the patient. The boat and the fishermen were not injured</t>
  </si>
  <si>
    <t>Givat Shaul, Deir Yassin</t>
  </si>
  <si>
    <t>יצחק סגל</t>
  </si>
  <si>
    <t>Syrian outpost opened fire at a farm Yashuv. Exchange of fire from both sides lasted until around 4 pm. Shooting was a farm tractor at Shamir.</t>
  </si>
  <si>
    <t xml:space="preserve">Near Kibbutz Nes </t>
  </si>
  <si>
    <t>Syrian force rooms Israeli territory and opened fire with machine guns at the farm Gonen. Economy officials returned fire and the Syrians withdrew</t>
  </si>
  <si>
    <t>אש שנורתה ממוצב סורי צפונית לעין-גב פגעה והרגה שני דייגים ישראלים</t>
  </si>
  <si>
    <t>Karkur camp</t>
  </si>
  <si>
    <t>Ein-Gev</t>
  </si>
  <si>
    <t>Jews firing machine guns and mortars on the Syrian farmers in the demilitarized zone at the border between Israel and Syria</t>
  </si>
  <si>
    <t xml:space="preserve">Solel Boneh quarry near Kiryat Shmona </t>
  </si>
  <si>
    <t>Syrian outpost opened fire at a fishing boat that was in the Hula swamp. Two other incidents of firing at members of the household Gonen. No injuries</t>
  </si>
  <si>
    <t>Nahal Oz</t>
  </si>
  <si>
    <t>Camp Rosh</t>
  </si>
  <si>
    <t xml:space="preserve">Nahal Oz </t>
  </si>
  <si>
    <t>Exchanges of gunfire between the Syrian army and members of the household Gonen. There were no casualties</t>
  </si>
  <si>
    <t>Wadi eye-Tolmh, through the Jerusalem-Tel Aviv</t>
  </si>
  <si>
    <t xml:space="preserve">Village damper (Malcha) </t>
  </si>
  <si>
    <t>2/23/1955</t>
  </si>
  <si>
    <t>Syrian outpost opened fire on a farm Reservoir east coast of the Sea patient. Fire officials Hugh economy. There were no casualties</t>
  </si>
  <si>
    <t>יצחק אברהמי</t>
  </si>
  <si>
    <t>Sanhedriya, Jerusalem</t>
  </si>
  <si>
    <t>2/25/1955</t>
  </si>
  <si>
    <t xml:space="preserve">Kfar Saba </t>
  </si>
  <si>
    <t>Rifles opened fire on a farm protects Galilee, the shots came from the direction Zeita. Economy personnel returned fire. There were no casualties</t>
  </si>
  <si>
    <t>Nokiib village, Ein Gev way</t>
  </si>
  <si>
    <t>חולייה מזויינת של חברי משק דן נתקלה באש חיילים סורים בעת שבאה להגן על הרפת</t>
  </si>
  <si>
    <t xml:space="preserve">Vegetables, Petah Tikva area </t>
  </si>
  <si>
    <t>לילה</t>
  </si>
  <si>
    <t>Cell infiltrate from the Gaza Strip carried out a robbery and killed a cyclist on the road Qubeibe-blocks. One infiltrator was killed and another fled under fire Israeli guard</t>
  </si>
  <si>
    <t xml:space="preserve">Moshav in Sharon </t>
  </si>
  <si>
    <t xml:space="preserve">Givat Shaul, Deir Yassin </t>
  </si>
  <si>
    <t>Two Arab men and Jewish girl had been kidnapped by members of Hhgion on the way to Beit Safafa to the transit Talpiot. They were released after a few days</t>
  </si>
  <si>
    <t>Fire rifles and machine guns opened Syrian positions on Israeli fishing boat in the northern part of the Sea of ​​Galilee. The fishermen returned safely and not returned fire</t>
  </si>
  <si>
    <t>Hula Lake</t>
  </si>
  <si>
    <t>Four Israelis infiltrated into Jordan and kidnapped six Bedouins. They dragged them into Israel near Hebron and killed five of them. The sixth was released.</t>
  </si>
  <si>
    <t xml:space="preserve">Karkur camp </t>
  </si>
  <si>
    <t>שראלי נפצע קשה במהלך פגישה עם סוחרים בדואים שדקרוהו בסכין</t>
  </si>
  <si>
    <t xml:space="preserve">Camp Rosh </t>
  </si>
  <si>
    <t>Infiltrators from the Gaza Strip infiltrated into Israel and attacked with grenades a chain seat. Damage was caused to the injured person and easy</t>
  </si>
  <si>
    <t xml:space="preserve">Wadi eye-Tolmh, through the Jerusalem-Tel Aviv </t>
  </si>
  <si>
    <t xml:space="preserve">Rishon Lezion </t>
  </si>
  <si>
    <t>3/16/1955</t>
  </si>
  <si>
    <t xml:space="preserve">Sanhedriya, Jerusalem </t>
  </si>
  <si>
    <t>South of Afula</t>
  </si>
  <si>
    <t xml:space="preserve">Yavne village Gevirol </t>
  </si>
  <si>
    <t>No shots were fired from Jordanian territory on the working group Gilboa, south of Hephzibah. No one was injured.</t>
  </si>
  <si>
    <t xml:space="preserve">Nokiib village, Ein Gev way </t>
  </si>
  <si>
    <t>Opened automatic fire on a civilian car traveling on a highway oasis of light Kibbutz Gesher in the Jordan Valley. The car was damaged but the passengers were undamaged</t>
  </si>
  <si>
    <t>8</t>
  </si>
  <si>
    <t>Heavy fire was fired from the post for two cars Straits of Rachel Hill Farm passed in the demilitarized zone of Nitzana. There were no casualties</t>
  </si>
  <si>
    <t>Syrian outpost opened fire on a fishing boat north of the Sea of ​​Galilee Department. There were no casualties</t>
  </si>
  <si>
    <t>The two infiltrators from the Gaza Strip infiltrated the moshav and threw two hand grenades, accompanied by Mastan shots at a crowd of people. One woman was killed and 23 wounded, including two hard</t>
  </si>
  <si>
    <t>יהודי נהרג ביריות הלגיון הערבי בירושלים</t>
  </si>
  <si>
    <t>3/25/1955</t>
  </si>
  <si>
    <t xml:space="preserve">Hula Lake </t>
  </si>
  <si>
    <t>1700</t>
  </si>
  <si>
    <t>99</t>
  </si>
  <si>
    <t>יהודה אזולאי</t>
  </si>
  <si>
    <t>18</t>
  </si>
  <si>
    <t>Egyptians bombed the Nahal Oz. There were no casualties</t>
  </si>
  <si>
    <t>קרב בין קבוצת ערבים שהיתה כנראה כוח מאורגן ובעל אימון צבאי לבין חמישה שומרים של מיכרה נחושת בנגב הדרומי, השומרים נהרגו כולם</t>
  </si>
  <si>
    <t>Plow guess Heights engaged in plowing their land in the demilitarized zone south of the Sea of ​​Galilee rose on Syrian land mine. Major damage was inflicted plowing equipment but not injured</t>
  </si>
  <si>
    <t>Southern Negev</t>
  </si>
  <si>
    <t>Near the Sea of ​​Galilee</t>
  </si>
  <si>
    <t>Dofiilh dam water pipe per Shamir was blocked by infiltrators</t>
  </si>
  <si>
    <t>Eye-Tntzib way to Sodom</t>
  </si>
  <si>
    <t>4/9/1955</t>
  </si>
  <si>
    <t>Three Israeli tourists were kidnapped by Lebanese soldiers at the border</t>
  </si>
  <si>
    <t xml:space="preserve">Near the Sea of ​​Galilee </t>
  </si>
  <si>
    <t>A woman resident of the village was wounded in the chest by gunfire Eshta'ol distillers. The infiltrators managed to flee to the Jordanian border, and took with them a mule and a donkey</t>
  </si>
  <si>
    <t>Jordanian armed infiltrators blew up a house in Moshav Zecharia by placing 20 pounds of explosives beneath it. Five people were injured. The attackers fled</t>
  </si>
  <si>
    <t>Members of communities in the Beit Shean Valley foiled attacks south of infiltrators into Israel. The infiltrators managed to flee across the Jordan</t>
  </si>
  <si>
    <t xml:space="preserve">Eye-Tntzib way to Sodom </t>
  </si>
  <si>
    <t>Distillers stole livestock and irrigation pipes from settlements in the Jerusalem Corridor, while shooting abiding communities</t>
  </si>
  <si>
    <t>dead Sea</t>
  </si>
  <si>
    <t>יורה יחזקל</t>
  </si>
  <si>
    <t>35</t>
  </si>
  <si>
    <t>Opened fire from Jordanian territory at Yale working group of Mount Gilboa. An Israeli patrol in the area returned fire. 2 workers and 2 guards wounded</t>
  </si>
  <si>
    <t>Katra, transferring Yemeni near Ein Kerem</t>
  </si>
  <si>
    <t>Syrian outposts opened fire at fishermen outside northeastern part of the Sea of ​​Galilee and the Israeli patrol boat arrived on the scene</t>
  </si>
  <si>
    <t>A city of Judea</t>
  </si>
  <si>
    <t>Jordanian infiltrators infiltrated Moshav Bar Giora Jerusalem corridor and opened fire on farm keepers came toward them. The guards returned fire and infiltrators fled. One guard was wounded</t>
  </si>
  <si>
    <t>צעיר יהודי נרצח ע"י מסתננים מירדן בעת שחרש את השדה</t>
  </si>
  <si>
    <t xml:space="preserve">Kibbutz Nirim </t>
  </si>
  <si>
    <t>Tel Aviv beaches</t>
  </si>
  <si>
    <t>Egyptian units opened fire machine guns and mortars at Borth members Rachel Hill Farm, which in the demilitarized zone of Nitzana. Egyptian fire lasted for some time. No injuries</t>
  </si>
  <si>
    <t>5/18/1955</t>
  </si>
  <si>
    <t>1600</t>
  </si>
  <si>
    <t>Jordanians opened fire at a youth member of Kibbutz Eyal who traveled north to the economy. There were no casualties</t>
  </si>
  <si>
    <t>Egyptian unit opened fire on a car with the Rachel Hill Farm, which was demilitarized zone area of ​​Nitzana. There were no casualties among the personnel of the economy</t>
  </si>
  <si>
    <t>חיילי הלגיון הערבי</t>
  </si>
  <si>
    <t>The Sapir College in Sderot</t>
  </si>
  <si>
    <t>Mortar fire was opened from both stationed in Egypt at Israeli settlements and army units towards occurs in the vicinity of the Gaza Strip. A soldier and a civilian were killed, four were seriously injured and 4 light</t>
  </si>
  <si>
    <t>ג'מיל מנש</t>
  </si>
  <si>
    <t>Near Sderot</t>
  </si>
  <si>
    <t>14</t>
  </si>
  <si>
    <t>Dead Sea</t>
  </si>
  <si>
    <t xml:space="preserve">Dead Sea </t>
  </si>
  <si>
    <t>One of the guards was slightly injured introductions Betar after the Jordanians opened fire damaged the economy</t>
  </si>
  <si>
    <t>Genin, Netzarim, Kfar Darom and Gush Katif</t>
  </si>
  <si>
    <t>נער יהודי נפצע אנושות מירי חיילים ערבים שכוון אל מעבר לחומת העיר העתיקה</t>
  </si>
  <si>
    <t xml:space="preserve">Katra, transferring Yemeni near Ein Kerem </t>
  </si>
  <si>
    <t xml:space="preserve">A city of Judea </t>
  </si>
  <si>
    <t>Syrians fired at an Israeli fishing vessel was north of Galilee. There were no injuries among the crew</t>
  </si>
  <si>
    <t>Kinneret</t>
  </si>
  <si>
    <t>Armed infiltrators opened fire on the Kfar Menachem preserves and fled. Guard was seriously injured</t>
  </si>
  <si>
    <t>Baka a-Sharqiya, north of Tulkarm</t>
  </si>
  <si>
    <t xml:space="preserve">Tel Aviv beaches </t>
  </si>
  <si>
    <t>מחמוד סולימאן</t>
  </si>
  <si>
    <t>Egyptian infiltrators blew up the farm's water pipe longing and hung up the economy</t>
  </si>
  <si>
    <t xml:space="preserve">Kibbutz Kissufim </t>
  </si>
  <si>
    <t>אין</t>
  </si>
  <si>
    <t>On the north</t>
  </si>
  <si>
    <t>נתפסה כנופיית ערבים מזויינת ע"י מארב משמרת ישראלית, בקרב היריות נהרג מחבל אחד</t>
  </si>
  <si>
    <t xml:space="preserve">The Sapir College in Sderot </t>
  </si>
  <si>
    <t>Heavy machine gun fire was opened from Jordanian territory at the farm Nir Eliyahu. There were no casualties, damaged buildings</t>
  </si>
  <si>
    <t>IDF base near Mevo Dotan</t>
  </si>
  <si>
    <t xml:space="preserve">Near Sderot </t>
  </si>
  <si>
    <t>לפנות בוקר</t>
  </si>
  <si>
    <t>Lebanese infiltrators carts stole a herd of quasi-blessed to create pressure on the Israeli authorities to return a few hundred head of sheep Lebanese</t>
  </si>
  <si>
    <t>Household Dan</t>
  </si>
  <si>
    <t xml:space="preserve">Genin, Netzarim, Kfar Darom and Gush Katif </t>
  </si>
  <si>
    <t>Egyptian saboteurs blew up a water pipe near Kibbutz Tel evil and cut the phone line instead</t>
  </si>
  <si>
    <t>4- מסתננים</t>
  </si>
  <si>
    <t>יקותיאל פרידמן</t>
  </si>
  <si>
    <t>Syrian outpost opened fire with rifles and machine guns at Gonen household members who put out a fire south of the economy. There were no casualties</t>
  </si>
  <si>
    <t xml:space="preserve">Kinneret </t>
  </si>
  <si>
    <t>מסתננים פתחו באש על שני שומרים במושב בהרי יהודה, אחד מהם נפצע קשה, ארבעת המסתננים ברחו</t>
  </si>
  <si>
    <t>Judeah Mountains</t>
  </si>
  <si>
    <t>Egyptian infiltrators attacked a group of Israeli Bedouin encampment around Nahal Boker. The infiltrators have used automatic weapons, hand grenades and knives. 5 injured</t>
  </si>
  <si>
    <t xml:space="preserve">Baka a-Sharqiya, north of Tulkarm </t>
  </si>
  <si>
    <t>7/9/1955</t>
  </si>
  <si>
    <t>Syrian outpost opened fire at increasing household members working in the fields. Economy personnel returned fire. There were no casualties</t>
  </si>
  <si>
    <t>חיילי הליגיון הערבי</t>
  </si>
  <si>
    <t>Fire surface fired at Syrian civilian who was driving his Jeep around Holita. Exchange of fire lasted for about half an hour. There were no casualties</t>
  </si>
  <si>
    <t>Border, near the Surif</t>
  </si>
  <si>
    <t>Neve Dekalim</t>
  </si>
  <si>
    <t>חיילי הלגיון הערבי ירו לעבר וטרים ישראלים שניסו לתפוס חוליית מסתננים שחצתה את קווי הגבול, השוטרים נסוגו מן הירי</t>
  </si>
  <si>
    <t>Syrian outpost opened fire on a civilian car driving from increasing Lholita, in the demilitarized zone in the Gaza Guard Jordan. There were no casualties</t>
  </si>
  <si>
    <t xml:space="preserve">IDF base near Mevo Dotan </t>
  </si>
  <si>
    <t>Near Qalqilia</t>
  </si>
  <si>
    <t>Strait positioned machine guns opened fire at a car of Rachel Hill Farm, in the demilitarized zone of Nitzana. There were no injuries among the passengers</t>
  </si>
  <si>
    <t>מסתנן ערבי</t>
  </si>
  <si>
    <t xml:space="preserve">Household Dan </t>
  </si>
  <si>
    <t>Egyptian infiltrators penetrated with their livestock into Israel, Nahal Oz fields. Economy personnel opened fire at them and chased them. Stationed in Egypt covered them and firing</t>
  </si>
  <si>
    <t>Hawara checkpoint, south of Nablus</t>
  </si>
  <si>
    <t>מסתנן ערבי נהרג כשניסה לחדור למושב בהרי יהודה, שאר חברי הכנופיה ברחו</t>
  </si>
  <si>
    <t>Egyptian infiltrators threw two grenades into the house of a hammer session. Three people were injured</t>
  </si>
  <si>
    <t>Refugee camp Ein Beit Ailma, Nablus</t>
  </si>
  <si>
    <t>לפנות וקר</t>
  </si>
  <si>
    <t>Ma'ale Akrabim (Scorpions Pass)</t>
  </si>
  <si>
    <t xml:space="preserve">Ma'ale Akrabim (Scorpions Pass) </t>
  </si>
  <si>
    <t>מס יהודים</t>
  </si>
  <si>
    <t>Syrian outpost opened fire at a group Gonen household members who were in the fields. Economy personnel returned fire. There were no casualties</t>
  </si>
  <si>
    <t xml:space="preserve">Near Qalqilia </t>
  </si>
  <si>
    <t>Infiltrators from the Gaza Strip fired at the tractor driver who silently around the Negev Nir-Am. The tractor driver returned fire. No injuries</t>
  </si>
  <si>
    <t>אדם נהרג מירי על מכוניתו בנגב</t>
  </si>
  <si>
    <t>Israeli Bedouin herding south absence mAb, which were attacked by a large group of armed infiltrators. One killed, two injured and a third was kidnapped herd</t>
  </si>
  <si>
    <t xml:space="preserve">Hawara checkpoint, south of Nablus </t>
  </si>
  <si>
    <t>Arabah</t>
  </si>
  <si>
    <t>8/17/1955</t>
  </si>
  <si>
    <t>Gang Syrian Druze ranger killed near Beit Jann</t>
  </si>
  <si>
    <t>Police attacked an Israeli patrol shot to death an Egyptian outpost near levels. The tour took the Egyptian outpost and fired mortars at the Nahal-Oz</t>
  </si>
  <si>
    <t>Trans-Samaria Highway near the Barkan industrial zone</t>
  </si>
  <si>
    <t xml:space="preserve">Refugee camp Ein Beit Ailma, Nablus </t>
  </si>
  <si>
    <t>יוסף מאירי</t>
  </si>
  <si>
    <t>8/22/1955</t>
  </si>
  <si>
    <t>3 מסתננים חדרו לבית בירושלים ופצעו את בעל הבית ב-4 יריות, גנבו עופות וברחו</t>
  </si>
  <si>
    <t>8/25/1955</t>
  </si>
  <si>
    <t xml:space="preserve">Kibbutz Nahal Oz </t>
  </si>
  <si>
    <t>Egyptian ambush killed a resident of Yad Mordechai, infiltrators opened fire at vehicles on the roads in the Negev</t>
  </si>
  <si>
    <t>8/27/1955</t>
  </si>
  <si>
    <t>Mefalsim (Negev)</t>
  </si>
  <si>
    <t>4- טרוריסטים</t>
  </si>
  <si>
    <t xml:space="preserve">Mefalsim (Negev) </t>
  </si>
  <si>
    <t>8/28/1955</t>
  </si>
  <si>
    <t>אהרון אלביבו</t>
  </si>
  <si>
    <t>68</t>
  </si>
  <si>
    <t xml:space="preserve">Kibbutz Erez </t>
  </si>
  <si>
    <t>8/29/1955</t>
  </si>
  <si>
    <t>יחידה צבאית ירדנית של 8 איש חדרה לישראל והתקרבה לכפר יהודי ליד ירושלים, שומרי הכפר פתחו באש ממנה נהרג חייל ירדני</t>
  </si>
  <si>
    <t xml:space="preserve">Ashkelon </t>
  </si>
  <si>
    <t xml:space="preserve">Kibbutz Beeri </t>
  </si>
  <si>
    <t>Egyptian infiltrators blew up the house of a household well Nir Galim, 15 km west streets</t>
  </si>
  <si>
    <t>Trans-Samaria Highway east of the intersection Apple</t>
  </si>
  <si>
    <t xml:space="preserve">Beit Oved </t>
  </si>
  <si>
    <t>שמונה חיילים ירדנים -אחד נהרג</t>
  </si>
  <si>
    <t xml:space="preserve">Kfar Bilu </t>
  </si>
  <si>
    <t>8/30/1955</t>
  </si>
  <si>
    <t xml:space="preserve">Trans-Samaria Highway east of the intersection Apple </t>
  </si>
  <si>
    <t>Three were killed and one wounded in an attack by grenades and automatic weapon fire on a car driving around Kfar Menahem</t>
  </si>
  <si>
    <t>A Blessed</t>
  </si>
  <si>
    <t>An Egyptian outpost opened fire on two cars Ketziot farm, riding in the demilitarized zone of Nitzana. No injuries were reported among the passengers.</t>
  </si>
  <si>
    <t>Nablus</t>
  </si>
  <si>
    <t>מסתננים חמושים חדרו לדגניה ב' למחסן הבגדים, אחד השומרים הרגיש בהם והזעיק שומרים נוספים, שומר אחד נפצע מאש מנשק אוטומטי, המסתננים נמלטו</t>
  </si>
  <si>
    <t>Degania B</t>
  </si>
  <si>
    <t>Exchanges of fire in Barrie Wade Mordechai. The IDF returned fire damage is unknown. Infiltrators from Egypt blew up a well near Mavki'im in Ashkelon</t>
  </si>
  <si>
    <t>0340</t>
  </si>
  <si>
    <t xml:space="preserve">Nahala </t>
  </si>
  <si>
    <t>Infiltrators from Jordan performed bruises water facilities, vehicles and fishponds in the Bet Shean</t>
  </si>
  <si>
    <t>Arad-Masada Road</t>
  </si>
  <si>
    <t>Lebanese infiltrators were blown up with a mine stay two houses and a barn in Moshav Alma</t>
  </si>
  <si>
    <t xml:space="preserve">Sharon </t>
  </si>
  <si>
    <t>Bus on his way to Safed attacked by gunfire and hand grenades. 2 killed and 10 injured</t>
  </si>
  <si>
    <t>Southern Negev, Copper Mine</t>
  </si>
  <si>
    <t xml:space="preserve">Nablus </t>
  </si>
  <si>
    <t>Syrian outposts fired machine guns and cannon for an Israeli fishing boat in the East Sea of ​​Galilee Kibbutz Ginosar. No injuries</t>
  </si>
  <si>
    <t>Field Judean lowlands</t>
  </si>
  <si>
    <t xml:space="preserve">Arad-Masada Road </t>
  </si>
  <si>
    <t>Syrian infiltrators penetrated the Hula Lake and fishing boats stolen strokes Kibbutz Hulata</t>
  </si>
  <si>
    <t>Guard opened fire on Gilat west of the WC seat. Two guards were wounded by gunshots felt his aid.</t>
  </si>
  <si>
    <t>נתן סלע</t>
  </si>
  <si>
    <t>48</t>
  </si>
  <si>
    <t xml:space="preserve">Southern Negev, Copper Mine </t>
  </si>
  <si>
    <t>שוטר ירדני ירה לעבר שוטר ישראלי והרג אותו</t>
  </si>
  <si>
    <t>Egyptian saboteurs cut the telephone lines of the household Ketziot, the only civilian settlement in the demilitarized zone of Nitzana</t>
  </si>
  <si>
    <t>Balata</t>
  </si>
  <si>
    <t>Civil freight car was attacked by shooting the Acre-Safad road about a mile from Miron. No one was injured</t>
  </si>
  <si>
    <t>Tulkarm triangle</t>
  </si>
  <si>
    <t>0730</t>
  </si>
  <si>
    <t xml:space="preserve">Field Judean lowlands </t>
  </si>
  <si>
    <t>Syrian outpost opened fire on the Water Institute of the kibbutz near the Jordan. There were no casualties</t>
  </si>
  <si>
    <t>Moshav in the Judean Hills</t>
  </si>
  <si>
    <t>Syrians tried to kidnap a member of Kibbutz increasing strolling near Jordan River. He managed to escape unscathed</t>
  </si>
  <si>
    <t>פנחס סאוירה</t>
  </si>
  <si>
    <t>Machine-gun fire was fired at fishermen Syrian economy Hulata. There were no casualties</t>
  </si>
  <si>
    <t>עדר של בקר חדר משטח סוריה למשק דרדרה וכאשר חברי המשק ניסו לגרשו נפתחה לעברם אש ממוצב סור, אחד נפצע קשה</t>
  </si>
  <si>
    <t>Dardara</t>
  </si>
  <si>
    <t xml:space="preserve">Balata </t>
  </si>
  <si>
    <t xml:space="preserve">Tulkarm triangle </t>
  </si>
  <si>
    <t>Syrian sniper shot at Haun household member eastern Sea of ​​Galilee. Member wounded economy</t>
  </si>
  <si>
    <t>From Tel Yeruham Sde Boker</t>
  </si>
  <si>
    <t>Fire Syrian positions fired on the people of Ein Gev sector working in the fields south of the economy. The shots were fired from an ambush near the village of carob military. No injuries</t>
  </si>
  <si>
    <t>10/26/1955</t>
  </si>
  <si>
    <t xml:space="preserve">Moshav in the Judean Hills </t>
  </si>
  <si>
    <t>10/29/1955</t>
  </si>
  <si>
    <t>רועה צאן נחטף ע"י חיילים ירדנים וכבש מעדרו נשדד בסביבות באקה אל-גרבייה, עקבות החיילים והרועה נמצאו ע"י המשטרה שפתחה בחקירה</t>
  </si>
  <si>
    <t>Three infiltrators placed explosives under the two buildings Moshav Sde Hemed, near Kfar Saba. No one was injured</t>
  </si>
  <si>
    <t>Baqa El-Garbia</t>
  </si>
  <si>
    <t>Margulies</t>
  </si>
  <si>
    <t>Armed Egypt tried to break Kibbutz Beit Kama. Economy keepers noticed them and routed them. An exchange of gunfire injured No. of farm animals.</t>
  </si>
  <si>
    <t xml:space="preserve">From Tel Yeruham Sde Boker </t>
  </si>
  <si>
    <t>Haifa</t>
  </si>
  <si>
    <t>Saboteurs who had infiltrated from Jordan put two kilograms of explosives and mortar the water filtration pool of Kibbutz Ein Harod</t>
  </si>
  <si>
    <t>Al-Mixing, a refugee camp north of Hebron</t>
  </si>
  <si>
    <t xml:space="preserve">Nitzana </t>
  </si>
  <si>
    <t>G post-Joy-T</t>
  </si>
  <si>
    <t>Syrian outposts opened fire on the car of a growing economy was on its way from the farm to the Institute of water. There were no casualties</t>
  </si>
  <si>
    <t>Jewish village near Jerusalem</t>
  </si>
  <si>
    <t>Infiltrators from Jordan attempted to blow up a house in the southern established with members of sabotage. Buy minor damage and no casualties were</t>
  </si>
  <si>
    <t>אופני רשיון</t>
  </si>
  <si>
    <t xml:space="preserve">Margulies </t>
  </si>
  <si>
    <t>Machine-gun fire from 2 cars Legion opened at a group of members of the household who work and blade accidentally strayed armistice line</t>
  </si>
  <si>
    <t>Tarqumiya Hebron Road, at the entrance to the village</t>
  </si>
  <si>
    <t>מסתננים חדרו לכפר מחסיה והרגו ביריות שומר שסייר בשביל, רובהו והחגור עם התחמושת נלקחו, השומר השני לא נפגע</t>
  </si>
  <si>
    <t>Mahseya</t>
  </si>
  <si>
    <t xml:space="preserve">Al-Mixing, a refugee camp north of Hebron </t>
  </si>
  <si>
    <t>Syrian outposts fired machine guns at Kibbutz Dan. The fire lasted 20 minutes. No casualties among the personnel of the economy</t>
  </si>
  <si>
    <t>Degania Bet</t>
  </si>
  <si>
    <t>Jordanian Armed killed a resident of Moshav neglected in the Jerusalem corridor. The assassins ambushed the man round the road from Beit Shemesh to drop and then opened fire</t>
  </si>
  <si>
    <t>Hebron</t>
  </si>
  <si>
    <t>A tractor driver drove over a mine when he walked into a small channel. The driver was slightly injured</t>
  </si>
  <si>
    <t>Organization-happy, south of Qalqiliya</t>
  </si>
  <si>
    <t xml:space="preserve">Jewish village near Jerusalem </t>
  </si>
  <si>
    <t>Joseph Cohen came from Metula to Jerusalem to meet with King Hussein and bring peace to the Arab Legion killed by that man's land in Jerusalem Motzrrh</t>
  </si>
  <si>
    <t>Through the system, to the southeast of Metulla</t>
  </si>
  <si>
    <t>11/28/1955</t>
  </si>
  <si>
    <t>Two Israeli civilians were wounded ownership of the mine in the Jezreel Valley ambush attack about 5 kilometers from the Jordanian border.</t>
  </si>
  <si>
    <t xml:space="preserve">Tarqumiya Hebron Road, at the entrance to the village </t>
  </si>
  <si>
    <t>Near the settlement of Telem</t>
  </si>
  <si>
    <t>2100</t>
  </si>
  <si>
    <t>Rifles opened fire at a group of Jordanian territory near Kibbutz Nahshonim travelers. No one was injured</t>
  </si>
  <si>
    <t>Jerusalem, north of the neighborhood Nofta</t>
  </si>
  <si>
    <t>Rifles opened fire on a group of field-Eliyahu members working in the fields of the economy. One person was slightly injured in the leg</t>
  </si>
  <si>
    <t>Itamar</t>
  </si>
  <si>
    <t>12/11/1955</t>
  </si>
  <si>
    <t xml:space="preserve">Degania Bet </t>
  </si>
  <si>
    <t>יעקב אברהם</t>
  </si>
  <si>
    <t>5 that accords immigrants session yields were attacked by about 40 Arabs from the neighboring village Kalansua. The five of them were injured</t>
  </si>
  <si>
    <t>Nabi Elias village</t>
  </si>
  <si>
    <t xml:space="preserve">Hebron </t>
  </si>
  <si>
    <t>Syria opened fire on members of Kibbutz Haon, southeast of the Sea of ​​Galilee. The fire lasted about an hour. There were no casualties</t>
  </si>
  <si>
    <t>Deirdre, near the Syrian border</t>
  </si>
  <si>
    <t xml:space="preserve">Organization-happy, south of Qalqiliya </t>
  </si>
  <si>
    <t>הכפר שומרה הותקף באש אוטומטית ורימון. שומרי הכפר השיבו אש והמתקיפים נסוגו כשעקבותיהם מובילות לקו שביתת הנשק הישראלי-לבנוני</t>
  </si>
  <si>
    <t>Shomera</t>
  </si>
  <si>
    <t>2 Jews were killed and one was wounded in an ambush infiltrators from Jordan to the Negev civilian jeep</t>
  </si>
  <si>
    <t>2000</t>
  </si>
  <si>
    <t>Jordanian infiltrators opened fire within Israel to a group of hikers was 4 km north from the Guvrin, after the shooting left infiltrators</t>
  </si>
  <si>
    <t xml:space="preserve">Through the system, to the southeast of Metulla </t>
  </si>
  <si>
    <t>Three infiltrators from Jordan opened automatic fire and threw hand grenades at Israeli shepherd holding fast to the Lachish region, no injuries, infiltrators fled</t>
  </si>
  <si>
    <t>Syrian Israeli fishermen attacked a Syrian outpost east of the Sea of ​​Galilee Sea of ​​Galilee by a barrage of stones and fire guns.</t>
  </si>
  <si>
    <t xml:space="preserve">Near the settlement of Telem </t>
  </si>
  <si>
    <t>Baka al-Gharbiya</t>
  </si>
  <si>
    <t>Syria opened fire on fishermen in the Sea of ​​Galilee, the fire lasted about an hour</t>
  </si>
  <si>
    <t>Mahseya village, 10 km from the Armistice</t>
  </si>
  <si>
    <t>Four were employees of Tahal, a Jordanian killed by a gang which ambushed them on the road Ein Yahav in the well-off and escaped later</t>
  </si>
  <si>
    <t>Jerusalem-Hebron Road, adjacent to Al Mixing</t>
  </si>
  <si>
    <t>כנופייה מירדן התנקשה בנועי אוטובוס אשד שהיה בדרכו מאילת לת"א, 11 נוסעים נרצחו</t>
  </si>
  <si>
    <t>Syrians opened fire at fishermen from the tower at a distance of 203 m Syrian positions</t>
  </si>
  <si>
    <t>Preserved village, near the Lebanese border</t>
  </si>
  <si>
    <t xml:space="preserve">Jerusalem, north of the neighborhood Nofta </t>
  </si>
  <si>
    <t>Machine-gun fire was opened towards the Syrian positions, an Israeli aircraft circling the area of ​​Kibbutz Dafna ,, pilot crash-landed in the kibbutz and injured</t>
  </si>
  <si>
    <t>Up scorpions, Eilat-Tel Aviv Highway</t>
  </si>
  <si>
    <t xml:space="preserve">Itamar </t>
  </si>
  <si>
    <t>A man was killed in his home in Moshav Nahum when he tried to prevent infiltrators from stealing a sheep, he was shot and killed in the pursuit of the infiltrators killed one of them.</t>
  </si>
  <si>
    <t>Zefat</t>
  </si>
  <si>
    <t xml:space="preserve">Lake Kinneret </t>
  </si>
  <si>
    <t>Machine-gun fire and mortars fired from the Jordanian side of the village of Barta at Israeli customs officials, three police officers who came to their aid injured by gunfire continued intermittently all afternoon.</t>
  </si>
  <si>
    <t>Qalandiya</t>
  </si>
  <si>
    <t>Three Israeli vehicles were attacked with machine guns and grenades on the road of Wadi Ara</t>
  </si>
  <si>
    <t>Tel harvest</t>
  </si>
  <si>
    <t>1430</t>
  </si>
  <si>
    <t xml:space="preserve">Nabi Elias village </t>
  </si>
  <si>
    <t>Chain gangs of fedayeen carried out attacks on civilian communities in the south, transportation and water institutions.</t>
  </si>
  <si>
    <t xml:space="preserve">Deirdre, near the Syrian border </t>
  </si>
  <si>
    <t>4/7/1956</t>
  </si>
  <si>
    <t>0500</t>
  </si>
  <si>
    <t xml:space="preserve">Arabah </t>
  </si>
  <si>
    <t>אפריים פיסטנברג</t>
  </si>
  <si>
    <t>34</t>
  </si>
  <si>
    <t>Household squad fedayeen attacked with grenades and gunfire Gal-On, a woman was wounded and two houses in Moshav Shafir, one child got hurt</t>
  </si>
  <si>
    <t xml:space="preserve">Baka al-Gharbiya </t>
  </si>
  <si>
    <t>אש מקלעים נפתחה ממשטרת לטרון על שני טרקטוריסטים ישראלים שהיו בדרכם ממשמר אילון לקיבוץ נחשון. לא היו נפגעים</t>
  </si>
  <si>
    <t>Kibbutz Nachshon</t>
  </si>
  <si>
    <t>Fedayeen continued Bhtkfotihn links on Israeli transport of Israeli communities in southern Israel and the Negev. One Israeli was killed and three wounded</t>
  </si>
  <si>
    <t xml:space="preserve">Mahseya village, 10 km from the Armistice </t>
  </si>
  <si>
    <t xml:space="preserve">Jerusalem-Hebron Road, adjacent to Al Mixing </t>
  </si>
  <si>
    <t>4 children killed dragonfly guide, 16 were wounded in the massacre carried out by the Fedayeen squad in the synagogue in the community, their escape hit the road on a bus, police car and private home</t>
  </si>
  <si>
    <t xml:space="preserve">Preserved village, near the Lebanese border </t>
  </si>
  <si>
    <t>4/11/1956</t>
  </si>
  <si>
    <t>The dining room of a cement plant collapsed and burned after an explosive device planted there exploded, the tracks are the one that led to the Jordanian border</t>
  </si>
  <si>
    <t>Casual road-book Talmon, west of Ramallah</t>
  </si>
  <si>
    <t>שומר אשר שמע רעש מכיוון אחת האורוות במושב כסלון התקרב למקום ונורו לעברו 2 צרורות , הוא נהרג במקום, המסתננים גנבו את נשקו ונמלטו</t>
  </si>
  <si>
    <t>Two Jordanian militants blew up the water pipe of Kibbutz Lahav by explosives, they managed to escape, no injuries</t>
  </si>
  <si>
    <t>Infiltrators from Lebanon planted explosive devices in the pool's water pipe session Goren blew it up, no injuries</t>
  </si>
  <si>
    <t xml:space="preserve">Up scorpions, Eilat-Tel Aviv Highway </t>
  </si>
  <si>
    <t>Al-Argob lands, South</t>
  </si>
  <si>
    <t>2240</t>
  </si>
  <si>
    <t>Syrians opened fire at fishing boats isolated Kinneret, no injuries</t>
  </si>
  <si>
    <t>Road Latrun, the Guard Elon Nachshon</t>
  </si>
  <si>
    <t>Infiltrators penetrated the Nahal Oz fields and a member of the household went to warn them produce attacked by soldiers covering them, he was kidnapped and murdered</t>
  </si>
  <si>
    <t>משה ליאון</t>
  </si>
  <si>
    <t>50</t>
  </si>
  <si>
    <t xml:space="preserve">Zefat </t>
  </si>
  <si>
    <t xml:space="preserve">Qalandiya </t>
  </si>
  <si>
    <t>Infiltrators from Jordan blew up an abandoned public building 4 km from the border, near Tulkarm, no injuries</t>
  </si>
  <si>
    <t>Gonen</t>
  </si>
  <si>
    <t>אש נורתה לעבר חבר קיבוץ יד-חנה בעת שחרש את השטח, הוא נפצע קשה</t>
  </si>
  <si>
    <t xml:space="preserve">Tel harvest </t>
  </si>
  <si>
    <t>Automatic fire fired on an Israeli car was on its way from the level-conquering Kfar Saba. No one was injured. Footprints led to the armistice line with Jordan</t>
  </si>
  <si>
    <t>Lebanon border near Moshav Zarit</t>
  </si>
  <si>
    <t>Israeli fishing boat was attacked Syrian position. No one was injured</t>
  </si>
  <si>
    <t>Session living room, near Jerusalem</t>
  </si>
  <si>
    <t>Two members of the household were wounded by gunfire Gonen Syrian position towards the group of employees</t>
  </si>
  <si>
    <t>Yad Hana, near Tulkarem</t>
  </si>
  <si>
    <t>0100</t>
  </si>
  <si>
    <t>WC railway in the 20th Kilometer compensated by explosives laid by sappers Jordanian trail leads to the Jordanian border</t>
  </si>
  <si>
    <t>זאב שפיץ</t>
  </si>
  <si>
    <t>Easy killed and wounded in Jerusalem, two yeshiva students who were trying to extinguish a fire wildfire shot by Legion</t>
  </si>
  <si>
    <t>Kiryat Shmona</t>
  </si>
  <si>
    <t>Jordanians opened fire in the area of ​​Tulkarm at Israeli workers who worked around Yad Hannah, firing continued intermittently for more than three hours, two injured</t>
  </si>
  <si>
    <t>Road Nahaliel-Neve Tzuf (Halamish)</t>
  </si>
  <si>
    <t>A large group of infiltrators from Syria, about 20 people, crossed the border near Kibbutz Dan, set fields on fire and tried to kidnap a member of Kibbutz But members saw the fire come</t>
  </si>
  <si>
    <t>Bank-Ayalon Highway, near the Lebanese border</t>
  </si>
  <si>
    <t xml:space="preserve">Al-Faluja </t>
  </si>
  <si>
    <t>Two such attacks, Egypt early morning fire at a farm tractor driver Nir-Oz PM Jordanians shot at the tractor seat will expand lands, attacked channels</t>
  </si>
  <si>
    <t>Jordanian border north of Beit She'an</t>
  </si>
  <si>
    <t>Lebanese infiltrators blew up buildings near the border, killing one, then opened fire which injured another 8 people</t>
  </si>
  <si>
    <t>At the gate of the valley, Tel Aviv-Jerusalem Highway</t>
  </si>
  <si>
    <t>Egypt opened the morning with machine guns and rifles at the farm Nirim, fire lasted for an hour, no injuries</t>
  </si>
  <si>
    <t>אש אוטומטית נפתחה לעבר מכונית צבאית שנסעה בכביש ת"א-ירושלים, החיילים השיבו אש, איש לא נפגע</t>
  </si>
  <si>
    <t>No. automatic weapons were fired from Jordanian territory in the direction of "Mevasseret Yerushalayim". The new community is facing housing of the Jordanian Legion. There were no casualties</t>
  </si>
  <si>
    <t>Seven men armed with guns attacked two employees of "fossil Israel" north of the quarry, two passengers were killed</t>
  </si>
  <si>
    <t xml:space="preserve">Ahi'ezer </t>
  </si>
  <si>
    <t>4-year-old Jordanian gang armed with light weapons killed a young man of 25 and after half an hour released the young woman with him</t>
  </si>
  <si>
    <t xml:space="preserve">Casual road-book Talmon, west of Ramallah </t>
  </si>
  <si>
    <t>שומר שהלך לכיוון בית ההבראה במעברת הקסטל נורה ע"י מסתננים שארבו לו ונהרג, נשקו נשדד</t>
  </si>
  <si>
    <t>Worker who was clearing a pile of stones was injured when a grenade planted under the rocks exploded at the same time were no shots from the position of the legion, there were no other casualties</t>
  </si>
  <si>
    <t>Nahariya</t>
  </si>
  <si>
    <t>Tiberias fishermen were attacked by Syrian gunfire. There were no casualties. The fire went off about 15 minutes. In the evening were single shots from the Syrian side</t>
  </si>
  <si>
    <t>Castel transit camp, near Jerusalem</t>
  </si>
  <si>
    <t>Shots were fired at the village of Yara near the Lebanese border. Footprints led Lebanon. There were no casualties</t>
  </si>
  <si>
    <t>1030</t>
  </si>
  <si>
    <t>Deir al-Gison, an area Jordan</t>
  </si>
  <si>
    <t xml:space="preserve">Al-Argob lands, South </t>
  </si>
  <si>
    <t>Jordan opened fire at a group of area workers Castello Gardens Jerusalem. Instead discovered a mine laid wire with about 100 m from the armistice. No injuries</t>
  </si>
  <si>
    <t>Rifles and machine-gun fire from Syrian territory was opened at the north sea sick workers. No injuries</t>
  </si>
  <si>
    <t>Kfar Szold, Galil Elyon</t>
  </si>
  <si>
    <t xml:space="preserve">Road Latrun, the Guard Elon Nachshon </t>
  </si>
  <si>
    <t>Jordanian infiltrators penetrated morning in the economy rose-five and threw a hand grenade to the children. There were no casualties. On the way back fired on an empty bus in the farmyard</t>
  </si>
  <si>
    <t>Safed, Kiryat Shmona, Rosh Hanikra</t>
  </si>
  <si>
    <t>שלמה בנימין</t>
  </si>
  <si>
    <t>7/23/1956</t>
  </si>
  <si>
    <t>8/15/1956</t>
  </si>
  <si>
    <t>20 Jordanian commandos attacked a bus on the road to Eilat, travels and 3 soldiers were killed and 7 passengers and 2 soldiers wounded</t>
  </si>
  <si>
    <t>כוח ישראלי ירה לעבר עובדי אדמה ירדנים, 3 נשים נהרגו</t>
  </si>
  <si>
    <t xml:space="preserve">Gonen </t>
  </si>
  <si>
    <t>Civil freight car was on its way to Beer Sheva hit a mine, five injured one of them badly</t>
  </si>
  <si>
    <t>לפני הצהריים</t>
  </si>
  <si>
    <t xml:space="preserve">Lebanon border near Moshav Zarit </t>
  </si>
  <si>
    <t>8/31/1956</t>
  </si>
  <si>
    <t xml:space="preserve">Session living room, near Jerusalem </t>
  </si>
  <si>
    <t>Infiltrators from Jordan put to shame the railway WC, tracks damaged. Infiltrators fled</t>
  </si>
  <si>
    <t>Jerusalem neighborhood Motzrrh</t>
  </si>
  <si>
    <t>9/11/1956</t>
  </si>
  <si>
    <t xml:space="preserve">Yad Hana, near Tulkarem </t>
  </si>
  <si>
    <t>Jordanian infiltrators attacked with knives and killed three Druze guards at Ein Ofarim, north quarry</t>
  </si>
  <si>
    <t>9/12/1956</t>
  </si>
  <si>
    <t>Jordanian Legion soldiers fired machine gun bursts at an archaeological conference was plenty, three were killed and 19 wounded</t>
  </si>
  <si>
    <t>9/23/1956</t>
  </si>
  <si>
    <t>אש רובים נפתחה ממוצב צבאי סורי אל עבר שלושה חברי קיבוץ כפר סולד, לא היו נפגעים</t>
  </si>
  <si>
    <t>9/24/1956</t>
  </si>
  <si>
    <t xml:space="preserve">Kiryat Shmona </t>
  </si>
  <si>
    <t xml:space="preserve">Road Nahaliel-Neve Tzuf (Halamish) </t>
  </si>
  <si>
    <t>Jordanian armed gang killed five Jews and one was seriously injured in an attack on three vehicles on the road Sodom-LCD</t>
  </si>
  <si>
    <t>10/4/1956</t>
  </si>
  <si>
    <t>Two Jewish laborers who worked in the orchards Even Yehuda killed by Jordanian infiltrators. The murderers cut off the ear of any victim</t>
  </si>
  <si>
    <t>Railroad, near Kfar Saba</t>
  </si>
  <si>
    <t>10/9/1956</t>
  </si>
  <si>
    <t xml:space="preserve">Bank-Ayalon Highway, near the Lebanese border </t>
  </si>
  <si>
    <t>10/20/1956</t>
  </si>
  <si>
    <t>Fedayeen members entered Ashkelon and exploded railroad bridge and electric transformer, hit the bus and hit the car with water. There were also bruises on the road and attack the furrows</t>
  </si>
  <si>
    <t>Omar blew passes near the water and attacked a jeep, two passengers were injured, at Taybeh fired on a car, no injuries, near Beit Kama, shots were fired, no casualties</t>
  </si>
  <si>
    <t>Beit Rima north Lrmllh</t>
  </si>
  <si>
    <t xml:space="preserve">Jordanian border north of Beit She'an </t>
  </si>
  <si>
    <t>סמוך לחצות נורו מחומת העיר העתיקה 4 יריות לתוך בית בשכונת מוצררה בירושלים, בחדר היו 8 ילדים, אף אחד לא נפגע</t>
  </si>
  <si>
    <t>Fedayeen put an explosive She examined Kfar Shmuel, blew up a water pipe on the rails of Zion is a well Lamed Hey, there were no casualties</t>
  </si>
  <si>
    <t xml:space="preserve">At the gate of the valley, Tel Aviv-Jerusalem Highway </t>
  </si>
  <si>
    <t>Jordan Fedayeen squad sabotaged railway WC in 3 places, the explosion damaged a water pipe light rail</t>
  </si>
  <si>
    <t>Two rail sector abiding by the three infiltrators were killed fled to Jordan, their bodies showed signs of abuse</t>
  </si>
  <si>
    <t>Beer Sheva-Arad highway</t>
  </si>
  <si>
    <t>Two grenades were thrown by the Fedayeen into a house in Kfar Hess, no injuries</t>
  </si>
  <si>
    <t>Near Kibbutz Amaziah, the Jordanian border</t>
  </si>
  <si>
    <t>Dune room fedayeen from Jordan to Tel Mond and detonated by an explosive device in a two-story house, a man was killed and his wife and daughter were wounded, the trail led Kalansua Little Triangle</t>
  </si>
  <si>
    <t>קבוצת לגיון ערבי תקפה חברי משק מבואות ביתר בחורשת המשק, הקרב נמשך מס' שעות ולאחר שהגיע תגבור מהמשק 3 חברים לא הצליחו לסגת ונהרגו</t>
  </si>
  <si>
    <t>Building HMO Yokneam captain by explosives with a delay mechanism, no injuries, the trail led to Jordan</t>
  </si>
  <si>
    <t>Near Misgav Am, Galil Elyon</t>
  </si>
  <si>
    <t>Dune Fedayeen put a bomb under his eye-Ward, tried to penetrate the relic and opened machine-gun fire and grenades at the relic keepers and seat Porat. There were no casualties</t>
  </si>
  <si>
    <t>A Blessed, HaGoshrim</t>
  </si>
  <si>
    <t>Water pipe exploded right around the tower, traces his captors armistice border with Jordan</t>
  </si>
  <si>
    <t>South of Qalqilya</t>
  </si>
  <si>
    <t>0845</t>
  </si>
  <si>
    <t>Fire rifles and machine guns fired Syrian Bar Gonen two members of the household who hunt wild pigs, one was slightly injured</t>
  </si>
  <si>
    <t>Introductions more</t>
  </si>
  <si>
    <t xml:space="preserve">Nahariya </t>
  </si>
  <si>
    <t>Two explosions were discovered in water pipe near the Givat Oz, traces of three people led to the armistice line with Jordan</t>
  </si>
  <si>
    <t>0700</t>
  </si>
  <si>
    <t>The Erez industrial zone, Erez</t>
  </si>
  <si>
    <t xml:space="preserve">Castel transit camp, near Jerusalem </t>
  </si>
  <si>
    <t>יוסף דויטש</t>
  </si>
  <si>
    <t>Young was wounded by the Syrian army while hiking with friends near Deirdre northern Hula Valley</t>
  </si>
  <si>
    <t>Kibbutz Shamir</t>
  </si>
  <si>
    <t>Shots were fired by the Syrians into a fishing boat from Tiberias on the east bank of the Sea of ​​Galilee, was slightly injured fisherman</t>
  </si>
  <si>
    <t>אש רובים נפתחה על חברי קיבוץ שמיר מעבר לגבול הסורי בשעה שחברי הקיבוץ ניסו לכבות שריפה שפרצה. לא היו נפגעים</t>
  </si>
  <si>
    <t xml:space="preserve">Deir al-Gison, an area Jordan </t>
  </si>
  <si>
    <t>Farm fishing boats Ein Gev and Ginosar targets of prolonged shooting attack on the Syrian positions along the northeastern shore of Lake Kinneret, no injuries</t>
  </si>
  <si>
    <t>1800</t>
  </si>
  <si>
    <t>Shepherd from Kibbutz Beit Guvrin was shot and killed by infiltrators from Jordan. Traces of two men led into Jordan</t>
  </si>
  <si>
    <t>Karni-Netzarim road</t>
  </si>
  <si>
    <t xml:space="preserve">Kfar Szold, Galil Elyon </t>
  </si>
  <si>
    <t xml:space="preserve">Safed, Kiryat Shmona, Rosh Hanikra </t>
  </si>
  <si>
    <t>Erez Industrial Zone</t>
  </si>
  <si>
    <t>The Syrians shot at Reservoir, east of Lhholh, no injuries</t>
  </si>
  <si>
    <t>מאיר ריינר</t>
  </si>
  <si>
    <t xml:space="preserve">Menuha </t>
  </si>
  <si>
    <t>Tractor working in a field in Israeli territory near Neve Yemin shot by Jordanian</t>
  </si>
  <si>
    <t>Beyond the VIP area at the Erez Crossing</t>
  </si>
  <si>
    <t>שלושה מסתננים חדרו לבית ברעננה וכאשר בעל הבית יצא מביתו ירו עליו והרגוהו. אחד המסתננים נורה ע"י מארב המשטרה והאחרים נמלטו</t>
  </si>
  <si>
    <t>Syrians fired shots in the morning at Kfar Szold, no injuries</t>
  </si>
  <si>
    <t>1240</t>
  </si>
  <si>
    <t>Nitzana (Negev)</t>
  </si>
  <si>
    <t>Jordanian desert commandos carried out three attacks on vehicles in a well-off, one person was killed and 3 wounded, one of them badly</t>
  </si>
  <si>
    <t xml:space="preserve">Nitzana (Negev) </t>
  </si>
  <si>
    <t xml:space="preserve">Jerusalem neighborhood Motzrrh </t>
  </si>
  <si>
    <t xml:space="preserve">Kibbutz Beit Guvrin </t>
  </si>
  <si>
    <t>Member banks sector was injured as he came with a tractor hit a mine one kilometer from the Syrian border</t>
  </si>
  <si>
    <t>Jordanian infiltrators attacked with knives and killed three Druze guards at Ein Ofarim, north quarry Killed three Druze guards at Ein Ofarim drilling camp near a quarry. Desert Commando killers belonged to the "Fortress Arandal</t>
  </si>
  <si>
    <t>The water from the water engineer Tiberius was murdered by Syrian sniper while he was in Israel</t>
  </si>
  <si>
    <t>Tel Aviv-Jerusalem Highway</t>
  </si>
  <si>
    <t>Israeli car hit a mine which was placed around palm facing the Gaza Strip. Two passengers were injured and the car was damaged, the trail led to the Gaza Strip border</t>
  </si>
  <si>
    <t>שני פגזי תותחים נורו מעמדות סוריות לעברסירת משטרה בחוף הצפוני מזרחי של הכינרת</t>
  </si>
  <si>
    <t xml:space="preserve">Kibbutz Ramat Rachel </t>
  </si>
  <si>
    <t>Six Syrian soldiers opened fire on the Kfar Szold, a man who worked in the injured leg</t>
  </si>
  <si>
    <t>Syrian positions opened at dusk with machine guns at the police patrol the banks of the Jordan and the economy, an economy is injured</t>
  </si>
  <si>
    <t>1045</t>
  </si>
  <si>
    <t xml:space="preserve">Aminadav </t>
  </si>
  <si>
    <t>Seven border police were wounded and one civilian killed in shooting attack Syrian positions that lasted close to 10 hours</t>
  </si>
  <si>
    <t>Yavne'el, the Bayit Vegan neighborhood</t>
  </si>
  <si>
    <t>Syria resumed firing machine guns at the Farm Grazing and hit the tractor driver Dan worked in the fields of economy, Israel has not retaliated,</t>
  </si>
  <si>
    <t>Path XXXV fields of economy</t>
  </si>
  <si>
    <t xml:space="preserve">Kibbutz Maoz Haim </t>
  </si>
  <si>
    <t>Jordanian armed gang killed five Jews and one was seriously injured in an attack on three vehicles on the road Sodom-LCD Shocking murder of five employees of "Solel Boneh" was carried out in broad daylight by a squad of 10 killers came from Jordan and ambushed by roadside workers.</t>
  </si>
  <si>
    <t>Two Jewish laborers who worked in the orchards Even Yehuda killed by Jordanian infiltrators. The murderers cut off the ear of any victim. Jordanian infiltrators killed two workers, Yehiel Simion Fainaru and Zechariah Ratzabi orchard next to Even Yehuda and cut off their ears.</t>
  </si>
  <si>
    <t>During the morning hours, the Syrians launched a number of times individual shots into Israeli territory, causing neither casualties nor returned fire</t>
  </si>
  <si>
    <t>Manara road-open</t>
  </si>
  <si>
    <t xml:space="preserve">Railroad, near Kfar Saba </t>
  </si>
  <si>
    <t>יחזקאל עיראני</t>
  </si>
  <si>
    <t>חיילי הלגיון פתחו באש מעל החומות בנשק אוטומטי ומרגמות, תחילה רק לכיוון שכונת מוצררה ואח"כ לכל אורך הקו</t>
  </si>
  <si>
    <t>Infiltrators from across the Lebanese border damaged one car with water in Kfar Giladi</t>
  </si>
  <si>
    <t>Path Halamed</t>
  </si>
  <si>
    <t xml:space="preserve">Beit Rima north Lrmllh </t>
  </si>
  <si>
    <t>Member of Kibbutz Dan was wounded by gunfire Syrian border crossing</t>
  </si>
  <si>
    <t>2054</t>
  </si>
  <si>
    <t>Syrian militants infiltrated into Israeli territory and opened fire lasted for about 4 hours off, the tractor drivers plowed field, Suri was killed in an exchange of fire</t>
  </si>
  <si>
    <t>Jordana</t>
  </si>
  <si>
    <t>Bomb was dropped by infiltrators from Lebanon near the mansion and was an attempt to blow up a building housing starts is not yet complete at Tarshiha housing immigrants' ° "</t>
  </si>
  <si>
    <t>Ramat Raziel</t>
  </si>
  <si>
    <t>Ruhama</t>
  </si>
  <si>
    <t>Ease border incidents, including laying mines tractor, ended without serious injuries</t>
  </si>
  <si>
    <t>Southeast Lzbtiih</t>
  </si>
  <si>
    <t>מאיר כהו</t>
  </si>
  <si>
    <t>Dan Farm tractor ran over a mine planted in the field, the driver was injured</t>
  </si>
  <si>
    <t>Garden Givati</t>
  </si>
  <si>
    <t>An Israeli policeman was killed and seriously injured worker opened fire at them at noon Syrian positions in the southeast of the Sea of ​​Galilee near the household Harvest</t>
  </si>
  <si>
    <t>Seat carved</t>
  </si>
  <si>
    <t xml:space="preserve">Beer Sheva-Arad highway </t>
  </si>
  <si>
    <t>אש על סירות משטרה בכינרת</t>
  </si>
  <si>
    <t xml:space="preserve">Near Kibbutz Amaziah, the Jordanian border </t>
  </si>
  <si>
    <t>Two of the Jordanian armed groups in the morning trying to harm Israeli tractor drivers and kidnap them. Both attempts were thwarted</t>
  </si>
  <si>
    <t>Lahav-Dvir road, 3 km from the border of Jordan</t>
  </si>
  <si>
    <t>Jordanian Armed infiltrated into Israel south of Qalqiliya opened fire on three Israeli workers tried to kidnap workers and failed, no victims</t>
  </si>
  <si>
    <t>Shear Yashuv moshav member killed by Syrian forces fired at Israeli laborers</t>
  </si>
  <si>
    <t>חיילי הלגיון תקפו מעל החומות לאורך הקו ע"י יריות על שכונות הספר היהודיות</t>
  </si>
  <si>
    <t>Syrians and Jordanians have committed provocations along the border, in the northern Syrian outposts opened fire on the six working Yashuv</t>
  </si>
  <si>
    <t>On the way to Sycamore</t>
  </si>
  <si>
    <t>0130</t>
  </si>
  <si>
    <t>Six Syrian soldiers entered Israeli territory near the road between Kfar Szold Shamir and opened fire on members of the household, no injuries</t>
  </si>
  <si>
    <t>8 miles south of sprouts</t>
  </si>
  <si>
    <t xml:space="preserve">Near Misgav Am, Galil Elyon </t>
  </si>
  <si>
    <t>Shootout with Jordanian infiltrators attacked the Guardians Adulam ended with the withdrawal of the attackers, one of the guards was slightly injured</t>
  </si>
  <si>
    <t>רחל יום פיאן</t>
  </si>
  <si>
    <t>In the morning the Jordanians opened fire at the Qalqiliya area residents will expand honored three field northeast of the economy</t>
  </si>
  <si>
    <t xml:space="preserve">A Blessed, HaGoshrim </t>
  </si>
  <si>
    <t>Syrians are positioned along the northeastern bank of Lake opened fire on Israeli fishermen. No injuries were reported.</t>
  </si>
  <si>
    <t>Mountain ridge in front ot more</t>
  </si>
  <si>
    <t>אש נורתה לעבר אוטובוס מת"א לירושלים מכיוון קו שביתת הנשק הישראלי-ירדני בק"מ ה-5 מירושלים</t>
  </si>
  <si>
    <t xml:space="preserve">South of Qalqilya </t>
  </si>
  <si>
    <t>1105</t>
  </si>
  <si>
    <t>Tiberias fishermen attacked Syrian positions alternating shots. No injuries</t>
  </si>
  <si>
    <t>Givat Yearim near Ein Kerem road</t>
  </si>
  <si>
    <t xml:space="preserve">The Erez industrial zone, Erez </t>
  </si>
  <si>
    <t>Syrian outposts along the northeastern shore of the Sea of ​​Galilee fishermen who were attacked instead. No injuries</t>
  </si>
  <si>
    <t>Mount Zion, Jerusalem</t>
  </si>
  <si>
    <t>Syrian army unit consisting of 40-50 people entered into the demilitarized area and began firing at Israeli policemen and members of the household discussed under the covering fire Syrian positions.</t>
  </si>
  <si>
    <t>Musharraf, the southern Negev</t>
  </si>
  <si>
    <t xml:space="preserve">Kibbutz Shamir </t>
  </si>
  <si>
    <t>חיילי הלגיון שהיו באחת העמדות הסמוכות לגבול ירו לעבר אזרחים, איש לא נפגע. חיילים נוספים יידו אבנים מחומת העיר העתיקה לעבר עוברים ושבים</t>
  </si>
  <si>
    <t>Syrian anti-aircraft fired at an Israeli plane easier than Kibbutz Dan. The plane was not damaged.</t>
  </si>
  <si>
    <t>Sickle Farm, South</t>
  </si>
  <si>
    <t>Syrian guns opened fire at a group of Israeli travelers about Kibbutz Ein Gev. No injuries and no fire was returned.</t>
  </si>
  <si>
    <t>Road-Bar Yotvata rest</t>
  </si>
  <si>
    <t xml:space="preserve">Karni-Netzarim road </t>
  </si>
  <si>
    <t>A group of armed Syrian guns opened fire on Israeli shepherds Shamir interface. No injuries</t>
  </si>
  <si>
    <t>Patient</t>
  </si>
  <si>
    <t>Infiltrators from Jordan resident of Yanov killed in an ambush on his way home and shot in the back. Footprints led to Tulkarm</t>
  </si>
  <si>
    <t>Khirbet Risha, the Lebanon border</t>
  </si>
  <si>
    <t xml:space="preserve">Beyond the VIP area at the Erez Crossing </t>
  </si>
  <si>
    <t>Syria opened fire on Tel defiled positioned far 300-400 meters from the border at the Israeli laborers who worked in northwest degrades the Hula Valley</t>
  </si>
  <si>
    <t>Gate Heights</t>
  </si>
  <si>
    <t>אש נפתחה לעבר טרקטור במושב חניתה, איש לא נפגע</t>
  </si>
  <si>
    <t>A squad of five soldiers in an ambush set Syrian armistice line rifles and opened fire on the two quasi-blessed shepherds who were grazing near the border. There were no casualties.</t>
  </si>
  <si>
    <t>Hadera</t>
  </si>
  <si>
    <t>In the afternoon, Syrian positions opened fire at a number of times in Israel Israeli workers in southern patient. There were no casualties</t>
  </si>
  <si>
    <t>Field near the village Geva</t>
  </si>
  <si>
    <t>ערב</t>
  </si>
  <si>
    <t>Syrians have renewed their disabilities and drainage works intermittently fired on the workers. Police retaliated and the exchange of fire continued throughout the afternoon off</t>
  </si>
  <si>
    <t>Syrians have renewed their attack waged a long battle with the army. Fire shells intention at Israeli farms near the border. There were no injuries, but damage was caused to property</t>
  </si>
  <si>
    <t xml:space="preserve">Tel Aviv-Jerusalem Highway </t>
  </si>
  <si>
    <t>Flare, Road and Wadi Ara,</t>
  </si>
  <si>
    <t>Two Israeli civilians were shot as they were driving in a jeep Jordanian Israeli territory near Tel Lachish in the south. Footprints led to the Jordanian border</t>
  </si>
  <si>
    <t>Israeli fisherman was killed and another fisherman had disappeared after the Gulf of Aqaba, a Jordanian boat opened fire on the open sea, after they search for missing boat.</t>
  </si>
  <si>
    <t>Palestinians opened fire from Syrian territory near the village of Ain al-Tina at two Israeli surveyors who worked in Israeli territory in the northeast of the patient. The security squad returned fire.</t>
  </si>
  <si>
    <t>Kfar Zechariah, the Jerusalem Corridor</t>
  </si>
  <si>
    <t>Fire was fired from Syrian territory excavator working at the drainage works in the northeast patient. Our forces returned fire. There were no casualties</t>
  </si>
  <si>
    <t>Near the Syrian border, an area the patient</t>
  </si>
  <si>
    <t xml:space="preserve">Yavne'el, the Bayit Vegan neighborhood </t>
  </si>
  <si>
    <t>תושב יבנאל ששמע רשרור ליד האורווה הלך לכיוון הרעש לבדוק את מקורו ונפתחה עליו אש אוטומטית, הוא נפגע בחזהו ומת, המסתננים נמלטו</t>
  </si>
  <si>
    <t>In the evening, a powerful automatic fire was opened towards Syrian territory Ashmore and orchard holes. Not returned fire. There were no casualties.</t>
  </si>
  <si>
    <t>HaSolelim</t>
  </si>
  <si>
    <t xml:space="preserve">Path XXXV fields of economy </t>
  </si>
  <si>
    <t>Current machine-gun fire was opened at noon those positions Ain al-Tina to the tractor drivers engaged in the training of land 200 meters from the border</t>
  </si>
  <si>
    <t>Kibbutz Neve Or, Beit She'an Valley</t>
  </si>
  <si>
    <t>Syrian soldiers opened fire with machine guns at the group stronger, researchers, UN officers and Israeli representatives, a week, the armistice between Israel and Syria came to investigate a complaint.</t>
  </si>
  <si>
    <t>Moshav Agur</t>
  </si>
  <si>
    <t xml:space="preserve">Manara road-open </t>
  </si>
  <si>
    <t>Syrian guns opened fire at a group of friends Mmotzbihm Kibbutz Gonen checking out the fields near the Syrian border. They returned fire. No one was injured</t>
  </si>
  <si>
    <t>Eye trio</t>
  </si>
  <si>
    <t>ראובן קורקין</t>
  </si>
  <si>
    <t>60</t>
  </si>
  <si>
    <t>Syrian infiltrators entered into Isarl and stole herd dodgeball interface, found traces of two people that led to the Syrian border</t>
  </si>
  <si>
    <t>Kafr Qasim</t>
  </si>
  <si>
    <t>Syrian infiltrators penetrated Israeli territory and opened fire on the banks of the household member, injuring him</t>
  </si>
  <si>
    <t>Growing sector</t>
  </si>
  <si>
    <t xml:space="preserve">Path Halamed </t>
  </si>
  <si>
    <t>Caused severe damage to farm buildings and residential communities in the Hula Valley Syrian bombardment of heavy artillery and mortars. No injuries</t>
  </si>
  <si>
    <t>חברי נתיב הל"ה שעסקו בקציר הותקפו ביריות ע,י קבוצת ירדנים שירו עליהם מעבר לקו שביתת הנשק, הקרב נמשך כמה שעות, 5 נפצעו</t>
  </si>
  <si>
    <t>Plaster Valley, poured Jordan</t>
  </si>
  <si>
    <t xml:space="preserve">Nir-Am </t>
  </si>
  <si>
    <t>1300</t>
  </si>
  <si>
    <t xml:space="preserve">Jordana </t>
  </si>
  <si>
    <t xml:space="preserve">Ramat Raziel </t>
  </si>
  <si>
    <t xml:space="preserve">Southeast Lzbtiih </t>
  </si>
  <si>
    <t xml:space="preserve">Garden Givati </t>
  </si>
  <si>
    <t>Syrian outposts fired machine guns and rifles at Israeli territory and shelled the area near the Syrian border patient. Exchange of fire with Israeli troops continued for about an hour</t>
  </si>
  <si>
    <t xml:space="preserve">Seat carved </t>
  </si>
  <si>
    <t>Syrian outposts fired rifles and machine guns into Israel toward the land Hulata. There were no casualties</t>
  </si>
  <si>
    <t>0600</t>
  </si>
  <si>
    <t>Syrian stationed in southern patient, G'lbinh and Dorig'at fired machine guns and artillery and mortar shells at Israeli shepherds in Gonen, killing one person and injuring three</t>
  </si>
  <si>
    <t>Syrian outposts fired rifles, machine guns, mortars and shells in the area of ​​South sick. Israeli forces did not respond with fire. No injuries</t>
  </si>
  <si>
    <t>South Lhholh</t>
  </si>
  <si>
    <t>Two of the Jordanian armed groups in the morning trying to harm Israeli tractor drivers and kidnap them. Both attempts were thwarted Jordanian Armed infiltrated into Israel south of Qalqiliya opened fire on three Israeli workers tried to kidnap workers and failed, no victims</t>
  </si>
  <si>
    <t>Syrian soldiers squad infiltrated Israeli territory and opened fire on Israeli shepherd</t>
  </si>
  <si>
    <t>From Kibbutz Shamir Kfar Szold</t>
  </si>
  <si>
    <t xml:space="preserve">Lahav-Dvir road, 3 km from the border of Jordan </t>
  </si>
  <si>
    <t>יוסף ברוך</t>
  </si>
  <si>
    <t>27</t>
  </si>
  <si>
    <t>אש נפתחה לעבר מכונית אזרחית שנסעה ממנרה ליפתח שבגליל העליון, האש נפתחה מעבר לקו שביתת הנשק, לא היו נפגעים</t>
  </si>
  <si>
    <t>Diigin hijack attempt was thwarted by the Sea of ​​Galilee Guard Marine</t>
  </si>
  <si>
    <t>Two young Kfar Blum squad were kidnapped by Syrian meters from the border of Israel and released after it became clear that they have US citizenship</t>
  </si>
  <si>
    <t>Yashuv, dill</t>
  </si>
  <si>
    <t>Syrians killed in an ambush planned shepherd, another shepherd who was with him did not get hurt.</t>
  </si>
  <si>
    <t xml:space="preserve">On the way to Sycamore </t>
  </si>
  <si>
    <t>Village of Illar</t>
  </si>
  <si>
    <t>Came to the Sharqiya</t>
  </si>
  <si>
    <t>Village render, Northern Samaria</t>
  </si>
  <si>
    <t xml:space="preserve">8 miles south of sprouts </t>
  </si>
  <si>
    <t>Syrian farmers who infiltrated into Israel opened fire at an Israeli patrol rifles. There were no casualties</t>
  </si>
  <si>
    <t>Near the border between Israel and Syria</t>
  </si>
  <si>
    <t>חילופי יריות ארעו בין מתישבי נתיב הל"ה לבין קבוצת ירדנים מזוינים לאחר שאלה פתחו בצליפות מעבר לגבול כאשר התושבים היו עסוקים בקציר</t>
  </si>
  <si>
    <t>Syrians on the east coast of Lake opened fire on a passing Israeli fisherman and injured lightly</t>
  </si>
  <si>
    <t>The patient, Gonen</t>
  </si>
  <si>
    <t>Four young Israelis hiking in the spring at birth were abducted by three Lebanese soldiers. A week later they were returned to Israel</t>
  </si>
  <si>
    <t>Farm Gonen</t>
  </si>
  <si>
    <t>Syrian outposts fired machine guns at the interface Trktorai Tel harvest and after about 3 hours to the UN observers who came to examine the complaint by Israel</t>
  </si>
  <si>
    <t>A new immigrant from the United States, killed by a Jordanian soldier when he crossed the armistice line in front of Tulkarm</t>
  </si>
  <si>
    <t xml:space="preserve">Mountain ridge in front ot more </t>
  </si>
  <si>
    <t>Protective economy Galilee</t>
  </si>
  <si>
    <t>75-year-old old man was brutally murdered by a Jordanian soldiers in Jerusalem. His body was returned to Israel later found signs of serious injury</t>
  </si>
  <si>
    <t>Afula CBS</t>
  </si>
  <si>
    <t>Machine gun shots were fired at Syrian positions tractor plowing the fields as economy east of Tel harvest. The driver was seriously wounded. A complaint was filed.</t>
  </si>
  <si>
    <t>Qubeibe road-blocks</t>
  </si>
  <si>
    <t xml:space="preserve">Givat Yearim near Ein Kerem road </t>
  </si>
  <si>
    <t>Syria machine-gun fire was opened from three different stationed at the working group of the Geophysical Institute conducted tests south of Tel harvest</t>
  </si>
  <si>
    <t>Beit Safafa</t>
  </si>
  <si>
    <t>צינור מים ראשי של חברת "מקורות" ליד ניר-עם בקרבת רצועת עזה פוצץ לאורך 3 מ' ע"י מטען חומר נפץ גדול</t>
  </si>
  <si>
    <t xml:space="preserve">Mount Zion, Jerusalem </t>
  </si>
  <si>
    <t>Infiltrators from Syria penetrate Israel opened fire with automatic weapons at the Israeli Bedouin fields slaughtered.</t>
  </si>
  <si>
    <t>Galilee, the northern part</t>
  </si>
  <si>
    <t>Syrian soldiers opened fire with automatic weapons at two fishermen on the east coast of the Sea of ​​Galilee, injuring one of them seriously. UN observers took statements living from my fishing</t>
  </si>
  <si>
    <t xml:space="preserve">Musharraf, the southern Negev </t>
  </si>
  <si>
    <t>Hebron region</t>
  </si>
  <si>
    <t>Jordanian soldiers were lightly wounded when a woman threw the stones from her position next to the woman. A complaint was filed Armistice Commission</t>
  </si>
  <si>
    <t>Netanya, Herzl Street</t>
  </si>
  <si>
    <t>A group of infiltrators was seized on her way to Israel to carry out a clutching hand grenades and machine guns. During the incident, one infiltrator was killed, two wounded and the third escaped</t>
  </si>
  <si>
    <t>Session Necklace western Negev</t>
  </si>
  <si>
    <t xml:space="preserve">Sickle Farm, South </t>
  </si>
  <si>
    <t>A unit of four Jordanians are equipped with submachine guns attacked and robbed shepherd his flock</t>
  </si>
  <si>
    <t>Tractor of Kibbutz Sha'ar Golan ran over a mine planted shortly before</t>
  </si>
  <si>
    <t xml:space="preserve">Road-Bar Yotvata rest </t>
  </si>
  <si>
    <t>Syrian fire on the work of the Jewish National Fund, which train a dirt road. The exchange of fire wounded an Israeli security guard.</t>
  </si>
  <si>
    <t>Gilboa</t>
  </si>
  <si>
    <t>Scout leader was shot during a hike in Ein Gedi hundred meters from the Jordanian border, apparently a Jordanian sniper fire. The guide was moderately injured</t>
  </si>
  <si>
    <t xml:space="preserve">Patient </t>
  </si>
  <si>
    <t>ירדנים מזונים ירו על קבוצת פועלים ממושב ירדנה שבעמק הירדן (מרחק 400 מ' מקו שביתת הנשק) הפועלים השיבו אש, המתקיפים נמלטו</t>
  </si>
  <si>
    <t xml:space="preserve">Khirbet Risha, the Lebanon border </t>
  </si>
  <si>
    <t>Syrian fire from the outpost of Tel Azaz fired at Israeli tractor drivers east Yashuv three times in 10 hours. No injuries</t>
  </si>
  <si>
    <t>Road Neve Or - Kibbutz Gesher</t>
  </si>
  <si>
    <t>Syrian soldiers fired at the tractor driver again dealt with the training of other land-settlement east. No one was injured. A complaint was made to the United Nations</t>
  </si>
  <si>
    <t>Nitzana, in the demilitarized zone</t>
  </si>
  <si>
    <t xml:space="preserve">Gate Heights </t>
  </si>
  <si>
    <t>Syrian soldiers positioned Tel Hilal, east of Lake Hula, opened fire on the tractor drivers engaged in preparing the ground. A complaint was filed Armistice Commission</t>
  </si>
  <si>
    <t xml:space="preserve">Hadera </t>
  </si>
  <si>
    <t>Syrian soldiers opened fire on UN observers, firefighters and members of Kibbutz Dan who put out a fire at Tel-el</t>
  </si>
  <si>
    <t xml:space="preserve">Field near the village Geva </t>
  </si>
  <si>
    <t>Syrians opened fire at Kibbutz Gadot. The houses were severely damaged and including Bith"s building at the time the sleeping children. There were no casualties</t>
  </si>
  <si>
    <t>Two tractor drivers were injured after being attacked in an ambush Lachish</t>
  </si>
  <si>
    <t>Natanya, Shoham Street</t>
  </si>
  <si>
    <t>Two tractor drivers were seriously injured Israeli machine-gun fire was opened at them ambushed Jordanian Lachish</t>
  </si>
  <si>
    <t>שני שומרים במושב רזיאל הותקפו ע,י מסתננים. שומר אחד נהרג והשני נפצע. המסתננים שדדו את נשקם ונמלטו לעבר קו שביתת הנשק</t>
  </si>
  <si>
    <t>Jordanian infiltrator mostly equipped room near Moshav Omer Israel, robbed and kidnapped a herd of 14-year-old is not known what happened to the boy</t>
  </si>
  <si>
    <t>2300</t>
  </si>
  <si>
    <t>Syrian guns opened fire on Tel harvest area. R reports of injuries or damage</t>
  </si>
  <si>
    <t>Earth Gate Heights, south of the Sea of ​​Galilee, a demilitarized zone</t>
  </si>
  <si>
    <t>Two policemen and wounding Syrian northeastern shore of the Sea of ​​Galilee. One easy mode and the other medium</t>
  </si>
  <si>
    <t xml:space="preserve">Kfar Zechariah, the Jerusalem Corridor </t>
  </si>
  <si>
    <t>Fusillade pouring Legion classes in the old city at the patrol. At the same time opened machine-gun fire at the Jewish neighborhood in East Jerusalem schools. 3 injured</t>
  </si>
  <si>
    <t>Petah Tikva, Central Market Street Hirsch</t>
  </si>
  <si>
    <t>Machine-gun fire was opened towards the southern neighborhoods of Jerusalem. An exchange of gunfire between the sides were wounded soldier and two civilians and two soldiers were killed</t>
  </si>
  <si>
    <t>יצחק ברנשטיין</t>
  </si>
  <si>
    <t>Tel Aviv, the Carmel Market</t>
  </si>
  <si>
    <t xml:space="preserve">Near the Syrian border, an area the patient </t>
  </si>
  <si>
    <t>Khirbet Syrian outposts opened fire Tawfiq Tel harvest. No injuries were reported, but a fire erupted that lasted until the morning and 300 acres were burned.</t>
  </si>
  <si>
    <t>The kings of Kibbutz Yiftach, near the border</t>
  </si>
  <si>
    <t xml:space="preserve">HaSolelim </t>
  </si>
  <si>
    <t>עובד טרקטור מכפר שמריהו נורה ונהרג בעת שעבד במשק רוחמה</t>
  </si>
  <si>
    <t>17-year-old Arab shepherd with his flock was kidnapped by Jordanian infiltrated Israel near the village of Kassem. Israel filed a complaint with the Armistice Commission</t>
  </si>
  <si>
    <t xml:space="preserve">Kibbutz Neve Or, Beit She'an Valley </t>
  </si>
  <si>
    <t>Syrian outposts fired machine guns and mortar shells at an Israeli patrol boat and then the tractor driver attacked Kibbutz Haon, but he emerged unscathed</t>
  </si>
  <si>
    <t>Village Eshta'ol</t>
  </si>
  <si>
    <t>Syria machine guns fired at Tel Katzir and Kibbutz Haon. There were no casualties. Israel turned the complaint to the UN</t>
  </si>
  <si>
    <t>Moshav Zecharia</t>
  </si>
  <si>
    <t xml:space="preserve">Moshav Agur </t>
  </si>
  <si>
    <t>Another attack of machine-gun fire at the Syrian potency Tel harvest in less than 24 hours. No injuries were reported. Israel turned to the United Nations</t>
  </si>
  <si>
    <t>Kibbutz branches, Maoz Haim</t>
  </si>
  <si>
    <t xml:space="preserve">Eye trio </t>
  </si>
  <si>
    <t>Syrian fired machine-gun fire at those positions Tawfiq tractor drivers who worked on the land Tel harvest. The tractor driver was injured and was able to find shelter and saved</t>
  </si>
  <si>
    <t>Donate village, a village vineyards</t>
  </si>
  <si>
    <t>אריה בן מאיר נאיז</t>
  </si>
  <si>
    <t xml:space="preserve">Kafr Qasim </t>
  </si>
  <si>
    <t>Two Jordanian soldiers fired shots at the Water Institute is responsible for the operation of Yarmouk, wounding him fatally. The shooters fled</t>
  </si>
  <si>
    <t>Syrian outposts opened fire with automatic weapons at a work detail from Metulla who worked at Lake Hula. No injuries</t>
  </si>
  <si>
    <t>Galilee, north-east coast</t>
  </si>
  <si>
    <t>Unprecedented Syrian attack on kibbutzim Tel Katzir and potency. Heavy damage was caused to property. 2 tractor drivers were slightly injured from the fire and were rescued under fire lasted 5 hours</t>
  </si>
  <si>
    <t>Bar-Giora</t>
  </si>
  <si>
    <t>ריכוז של בדואים דרומית-מזרחית לשבטה (זבייטה) 15 מ' מהגבול המצרי הותקף ע"י מסתננים מצרים. דואי אחד נהרג, 2 נפצעו ועדר נשדד</t>
  </si>
  <si>
    <t>Syrian guns opened fire at fishermen on the northern coast of the Sea of ​​Galilee, there were no injuries.</t>
  </si>
  <si>
    <t>Nitzana's demilitarized zone</t>
  </si>
  <si>
    <t xml:space="preserve">Plaster Valley, poured Jordan </t>
  </si>
  <si>
    <t>Member deer farm was injured when the infiltrators opened fire at him near the kibbutz coop</t>
  </si>
  <si>
    <t>Orchards guard on duty was shot and seriously wounded when he identified a squad of infiltrators who opened fire at him</t>
  </si>
  <si>
    <t xml:space="preserve">South Lhholh </t>
  </si>
  <si>
    <t xml:space="preserve">From Kibbutz Shamir Kfar Szold </t>
  </si>
  <si>
    <t>טרקטוריסט של מושב גן גבעתי הותקף ע"י 4 מצרים מזויינים ביריות מטווח קצר ונפצע בשתי ידיו</t>
  </si>
  <si>
    <t>2130</t>
  </si>
  <si>
    <t xml:space="preserve">Yashuv, dill </t>
  </si>
  <si>
    <t xml:space="preserve">Near the border between Israel and Syria </t>
  </si>
  <si>
    <t xml:space="preserve">The patient, Gonen </t>
  </si>
  <si>
    <t>4 מסתננים הניחו חומר נפץ מעל 10 ק"ג תחת קיר מערבי של בית במושב חצב ליד גדרה, הבית נהרס כליל, איש לא נפגע.</t>
  </si>
  <si>
    <t xml:space="preserve">Farm Gonen </t>
  </si>
  <si>
    <t xml:space="preserve">A tunnel in the Gaza Strip </t>
  </si>
  <si>
    <t xml:space="preserve">Protective economy Galilee </t>
  </si>
  <si>
    <t xml:space="preserve">Afula CBS </t>
  </si>
  <si>
    <t xml:space="preserve">Qubeibe road-blocks </t>
  </si>
  <si>
    <t xml:space="preserve">Beit Safafa </t>
  </si>
  <si>
    <t>תושב שהלך בשכונת ימין משה בירושלים נורה ברגלו מירי לגיונר מכיוון חומת העיר העתיקה, מצבו קל</t>
  </si>
  <si>
    <t xml:space="preserve">Galilee, the northern part </t>
  </si>
  <si>
    <t>1330</t>
  </si>
  <si>
    <t xml:space="preserve">Hebron region </t>
  </si>
  <si>
    <t xml:space="preserve">Netanya, Herzl Street </t>
  </si>
  <si>
    <t xml:space="preserve">Session Necklace western Negev </t>
  </si>
  <si>
    <t>משה אלייסי</t>
  </si>
  <si>
    <t xml:space="preserve">Gilboa </t>
  </si>
  <si>
    <t xml:space="preserve">Road Neve Or - Kibbutz Gesher </t>
  </si>
  <si>
    <t>שמונה מצרים חמושים עצרו עגלה רתומה לסוסים ועליה 4 תושבי בית-שקמה בדרכם חזרה מאשקלון, הם הורו לשנים לרדת והרגו אותם ואת האחרים פצעו.</t>
  </si>
  <si>
    <t xml:space="preserve">Nitzana, in the demilitarized zone </t>
  </si>
  <si>
    <t>2140</t>
  </si>
  <si>
    <t xml:space="preserve">Hammer Session </t>
  </si>
  <si>
    <t>בכר גרבי</t>
  </si>
  <si>
    <t>47</t>
  </si>
  <si>
    <t xml:space="preserve">Natanya, Shoham Street </t>
  </si>
  <si>
    <t>מסתננים מצרים מזוינים תקפו בדואים בנגב, כ-8 ק"מ דרומית לנבטים, ושדדו מהם 10 גמלים</t>
  </si>
  <si>
    <t xml:space="preserve">Earth Gate Heights, south of the Sea of ​​Galilee, a demilitarized zone </t>
  </si>
  <si>
    <t xml:space="preserve">Petah Tikva, Central Market Street Hirsch </t>
  </si>
  <si>
    <t xml:space="preserve">Tel Aviv, the Carmel Market </t>
  </si>
  <si>
    <t xml:space="preserve">The kings of Kibbutz Yiftach, near the border </t>
  </si>
  <si>
    <t>3 תושבי בר-גיורא עסקו בסיור שגרתי כשלפתע הותקפו ע"י כיתת ירדנים ליד מבואות ביתר. לאחר חילופי ירי תושב אחד נהרג ואחד נפצע קל, התוקפים נ</t>
  </si>
  <si>
    <t xml:space="preserve">Village Eshta'ol </t>
  </si>
  <si>
    <t>1400</t>
  </si>
  <si>
    <t xml:space="preserve">Moshav Zecharia </t>
  </si>
  <si>
    <t xml:space="preserve">Donate village, a village vineyards </t>
  </si>
  <si>
    <t>אליהו בן - סימון</t>
  </si>
  <si>
    <t xml:space="preserve">Galilee, north-east coast </t>
  </si>
  <si>
    <t>תושב גבעת יערים נפצע מיריות ירדנים. המתקיף ניסה לשדוד ממנו את נשקו ומשלא הצליח נמלט מהמקום</t>
  </si>
  <si>
    <t xml:space="preserve">Bar-Giora </t>
  </si>
  <si>
    <t xml:space="preserve">Nitzana's demilitarized zone </t>
  </si>
  <si>
    <t>Member deer farm was injured when the infiltrators opened fire at him near the kibbutz coop Orchards guard on duty was shot and seriously wounded when he identified a squad of infiltrators who opened fire at him</t>
  </si>
  <si>
    <t xml:space="preserve">Haifa </t>
  </si>
  <si>
    <t>ראובן עוזרי</t>
  </si>
  <si>
    <t>שומר נפצע קשה ומאוחר יותר מת מפצעיו לאחר שנורה מעמדת הלגיון הערבי על החומה לעבר הר-ציון</t>
  </si>
  <si>
    <t xml:space="preserve">Kissufim sector </t>
  </si>
  <si>
    <t>רחמים כהן</t>
  </si>
  <si>
    <t>קבוצה של 30 מצרים מזוינים תקפה מאהל של בדואים בסביבות מושרפה. משמר ישראלי שהיה במקום הרג 3 תוקפים ופצע אחד נוסף. 3 בדואים נפצעו,</t>
  </si>
  <si>
    <t>2245</t>
  </si>
  <si>
    <t>חומר נפץ הונח ע"י 3 מסתננים ליד 2 בתים במושב פטיש. איש לא נפגע. 2 בתים ניזוקו. המסתננים ברחו לעבר רצועת עזה</t>
  </si>
  <si>
    <t>אש נפתחה מהכפר הירדני זיהא לעבר משק מגל שבמשולש הישראלי. אנשי המשק השיבו אש. רכב שהיה בדרכו למשק נורה ואחת הנוסעות נפצעה קל.</t>
  </si>
  <si>
    <t>4 מסתננים תקפו ג'יפ צבאי שהיה בדרכו מיטבתה לבאר מנוחה, הנוסעים השיבו אש, חייל וצעירה שהיו בג'יפ נפצעו, אחד המסתננים נפצע קשה ונתפס.</t>
  </si>
  <si>
    <t>אש משטח ירדן נפתחה לפנות ערב לעבר קבוצת מטיילים ליד שער הגולן. לא היו נפגעים</t>
  </si>
  <si>
    <t>לפנות ערב</t>
  </si>
  <si>
    <t>כנופיות של מסתננים מירדן שביצעו בעבר מעשי שוד ורצח גרמו לנזקים כבדים במרבית המושבות. באחד מנסיונות הפריצה נתפס מסתנן שנפצע בחיופי אש.</t>
  </si>
  <si>
    <t>יהודים ירו על פלאחים ירדנים שהיו בשדה בקרבת כפר גבע בחברון. התוקפים הרגו איש אחד ופצעו אדם נוסף.</t>
  </si>
  <si>
    <t>מוצב מצרי פתח באש מקלעים לעבר חברי משק נחל-עוז שעבדו בשדותיהם. אנשי המשק השיבו אש. לא היו נפגעים</t>
  </si>
  <si>
    <t>פארג מחמוד זייד</t>
  </si>
  <si>
    <t>יחידת חבלנים ירדנים חדרה למשק אבוקה והניחה מטענים ופוצצה נגריה. מכונית נורתה בואדי-ערה, הנהג נפצע. המצרים ירו על ספינת דיג</t>
  </si>
  <si>
    <t>אש רובים נפתחה לעבר פועלים במפעל החולה מכיוון קו שביתת הנשק עם סוריה. לא היו נפגעים</t>
  </si>
  <si>
    <t>7200</t>
  </si>
  <si>
    <t>מטר יריות נורה לעבר אחד משומרי הכפר זכריה, לשמע היריות פתחו שאר השומרים באש לעבר המתקיפים. המתקיפים נמלטו, איש לא נפגע</t>
  </si>
  <si>
    <t>איידמן</t>
  </si>
  <si>
    <t>ניסיון חטיפת חבר כפר-סולד ע"י הסורים סוכל, 4 תקריות ירי מעבר לקו שביתת הנשק הסורי, אין נפגעים</t>
  </si>
  <si>
    <t>שישה ערבים נעצרו בחשד להצתת מכון המים של קבוצת הסוללים</t>
  </si>
  <si>
    <t>מסתננים ירדנים מזוינים ניסו לשדוד את עדר הכבשים של משק הקיבוץ נווה-אור, השומרים הבחינו בתנועה חשודה ליד הדר ופתחו באש, המסתננים השיבו</t>
  </si>
  <si>
    <t>חיים אלבז</t>
  </si>
  <si>
    <t>קבוצת מסתננים ירדנים חדרה לעגור ביצעה מעשי שוד שונים, רצחה שני טרקטוריסטים ושדדה את נשקם. התוקפים הצליחו להמלט</t>
  </si>
  <si>
    <t>חבר משק עין-השלושה נהרג ושני נפצע בהתקפת מסתננים בעת שחרשו בשדה. שני מסתננים נהרגו מרימון</t>
  </si>
  <si>
    <t>סוכל ניסיון ירדני לחטוף ערבי ישראלי מכפר קאסם. התוקפים נמלטו לאחר שהנתקף גילה התנגדות</t>
  </si>
  <si>
    <t>2330</t>
  </si>
  <si>
    <t>אש סורית נפתחה לעבר טרקטוריסט ישראלי צפונית למשק גוברים ויום לאחר מכן לעבר חבר המשק שהיה ליד בריכות הדיג של המשק. לא היו נפגעים.</t>
  </si>
  <si>
    <t>0010</t>
  </si>
  <si>
    <t>ארבע סירות דייג בכינרת הותקפו באש אוטומטית ממוצב סורי מול עמק הבטיחה, אין נפגעים.</t>
  </si>
  <si>
    <t>אש אוטומטית נפתחה ממוצב מצרי על שני טרקטוריסטים שעבדו בשדות נחל-עוז. לא היו נפגעים</t>
  </si>
  <si>
    <t>לפנה"צ</t>
  </si>
  <si>
    <t>אש אוטומטית נפתחה על חברי שאר-ישוב שעבדו בשדות המשק. לא היו נפגעים</t>
  </si>
  <si>
    <t>ירדן הגישה תלונה נגד ישראל בה היא טוענת כי יהודים ירו ממכות יריה אל רובע אל-טורי בירושלים, איש לא נפגע</t>
  </si>
  <si>
    <t>אש נפתחה ממוצב סורי לעבר מכונית אזרחית שנעה דרומית לחולה באזור המפורז, המכונית ניזוקה אך איש לא נפגע</t>
  </si>
  <si>
    <t>מספר שעות</t>
  </si>
  <si>
    <t>יריות נורו מעבר לגבול הסורי על ג'יפ של קיבוץ דן, בכביש בין שמיר לכפר-סולד</t>
  </si>
  <si>
    <t>מספר יריות נורו מצד הגבול הסורי לעבר דייגי משק חולתא שהיו בחוף המזרחי של החולה. הסירה והדייגים לא נפגעו</t>
  </si>
  <si>
    <t>אש נפתחה ממוצב סורי לעבר משק שאר-ישוב. חילופי הירי משני הצדדים נמשכו עד השעה 4 אחה"צ. ירי היה גם לעבר טרקטור של משק שמיר.</t>
  </si>
  <si>
    <t>כוח סורי חדר לשטח ישראל ופתח באש מקלעים לעבר משק גונן. אנשי המשק השיבו אש והסורים נסוגו</t>
  </si>
  <si>
    <t>1200</t>
  </si>
  <si>
    <t>יהודים ירו במכונות יריה ובמרגמות על חקלאים סורים באזור המפורז שליד גבול ישראל-סוריה</t>
  </si>
  <si>
    <t>1015</t>
  </si>
  <si>
    <t xml:space="preserve">Ein Kerem </t>
  </si>
  <si>
    <t>אש ממוצב סורי נפתחה לעבר סירת דייגים שהיה בביצת החולה. שני מקרים נוספים של ירי לעבר אנשי משק גונן. אין נפגעים</t>
  </si>
  <si>
    <t>חילופי אש בין כוח צבאי סורי לבין חברי משק גונן. לא היו נפגעים</t>
  </si>
  <si>
    <t>6 מחבלים</t>
  </si>
  <si>
    <t>אורי לוי</t>
  </si>
  <si>
    <t>54</t>
  </si>
  <si>
    <t>אש נפתחה ממוצב סורי על משק אשמורה שבחוף המזרחי של ים החולה. אנשי המשק השיו אש. לא היו נפגעים</t>
  </si>
  <si>
    <t>אש רובים נפתחה על משק מגן בגליל, היריות באו מכיוון הכפר זיתא. אנשי המשק השיבו אש. לא היו נפגעים</t>
  </si>
  <si>
    <t>3000</t>
  </si>
  <si>
    <t>גרייס טובה שבל</t>
  </si>
  <si>
    <t>חוליית מסתננים מרצועת עזה ביצעה מעשי שוד והרגה רוכב אופניים בכביש קובייבה-רחובות. מסתנן אחד נהרג ואחר נמלט תחת אש המשמר הישראלי</t>
  </si>
  <si>
    <t>1930</t>
  </si>
  <si>
    <t>שני בחורים ערבים ובחורה יהודיה נחטפו ע"י אנשי החגיון כשהיו בדרכם מבית-צפאפא אל מעברת תלפיות. הם שוחררו לאחר מספר ימים</t>
  </si>
  <si>
    <t>יורם נהרי</t>
  </si>
  <si>
    <t>מוסה מוחמד אוואד</t>
  </si>
  <si>
    <t>אש רובים ומקלעים נפתח ממוצבים סורים על סירת דייגים ישראלים בחלקה הצפוני של הכינרת. הדייגים חזרו בשלום ולא הושבה אש</t>
  </si>
  <si>
    <t>ארבעה ישראלים חדרו לשטח ירדן וחטפו 6 בדואים. הם גררו אותם לשטח ישראל באזור חברון ורצחו 5 מהם. השישי שוחרר.</t>
  </si>
  <si>
    <t>משה אוריון (ליכט)</t>
  </si>
  <si>
    <t>מסתננים מרצועת עזה חדרו לשטח ישראל והתקיפו ברימונים בית במושב שרשרת. נזק נגרם לבית ואדם אחד נפצע קל</t>
  </si>
  <si>
    <t xml:space="preserve">South of Afula </t>
  </si>
  <si>
    <t>מס' יריות נורו משטח ירדן על קבוצת עובדים בגלבוע, דרומית מחפציבה. איש לא נפגע.</t>
  </si>
  <si>
    <t>אש אוטומטית נפתחה על מכונית אזרחית שנסעה בכביש בין נווה-אור לקיבוץ גשר בעמק הירדן. המכונית נפגעה אך לנוסעיה לא נגרם נזק</t>
  </si>
  <si>
    <t>חצות</t>
  </si>
  <si>
    <t>Date (Translated)</t>
  </si>
  <si>
    <t>Operation Name</t>
  </si>
  <si>
    <t>Location</t>
  </si>
  <si>
    <t>אש חזקה נורתה ממוצב מצרי על 2 מכוניות של משק גבעת רחל שעברו באזור המפורז של ניצנה. לא היו נפגעים</t>
  </si>
  <si>
    <t>Description</t>
  </si>
  <si>
    <t>ורדה פרידמן</t>
  </si>
  <si>
    <t>אש נפתחה ממוצב סורי על סירה של מחלקת הדיג בצפון הכינרת. לא היו נפגעים</t>
  </si>
  <si>
    <t>שני מסתננים מרצועת עזה חדרו למושב פטיש וזרקו שני רימוני יד בליווי יריות מסטאן לעבר קהל אנשים. הרוגה אחת ו-23 פצועים, מהם 2 קשה</t>
  </si>
  <si>
    <t>Negev (make into 3 different attacks)</t>
  </si>
  <si>
    <t>המצרים הפגיזו את נחל-עוז. לא היו נפגעים</t>
  </si>
  <si>
    <t>Artillery and mortar fire of the enemy fired at the western Negev settlements were injured Nir-Am, Shoresh and Yad Mordechai</t>
  </si>
  <si>
    <t>Shoresh Yad Mordechai and Nir-Am</t>
  </si>
  <si>
    <t>חורשים משער-הגולן שעסקו בחריש אדמותיהם באזור המפורז דרומית לכינרת עלו על מוקש סורי. נזקים כבדים נגרמו לציוד אך החורשים לא נפצעו</t>
  </si>
  <si>
    <t>אלקנה קליידר (קידר)</t>
  </si>
  <si>
    <t>צינור המים מסכר דופיילה למשק שמיר נסתם ע"י מסתננים</t>
  </si>
  <si>
    <t>סלמה יפת</t>
  </si>
  <si>
    <t>שלושה מטיילים ישראלים נחטפו ע"י חיילים לבנונים ליד הגבול</t>
  </si>
  <si>
    <t>Operation</t>
  </si>
  <si>
    <t>רחל</t>
  </si>
  <si>
    <t>אישה תושבת הכפר אשתאול נפצעה בחזה מיריות מסתננים. המסתננים הצליחו להמלט אל הגבול הירדני ולקחו עימם פרדה וחמור</t>
  </si>
  <si>
    <t>שם</t>
  </si>
  <si>
    <t>Road Jerusalem-Bethlehem (pick a random point between j and B)</t>
  </si>
  <si>
    <t>Name</t>
  </si>
  <si>
    <t>YEAR</t>
  </si>
  <si>
    <t>מסתננים ירדנים מזויינים פוצצו בית במושב זכריה ע"י הנחת 20 ק"ג חומר נפץ תחתיו. חמישה אנשים נפצעו. התוקפים נמלטו</t>
  </si>
  <si>
    <t>Moshav Sharon</t>
  </si>
  <si>
    <t>LOCATION</t>
  </si>
  <si>
    <t>טקטיקה</t>
  </si>
  <si>
    <t>tactics</t>
  </si>
  <si>
    <t>סדר כוחות</t>
  </si>
  <si>
    <t>Order Forces</t>
  </si>
  <si>
    <t>יחידה / יחידות</t>
  </si>
  <si>
    <t>4 ימים</t>
  </si>
  <si>
    <t>Unit / Units</t>
  </si>
  <si>
    <t>שת"פ בין יחידות?</t>
  </si>
  <si>
    <t>Cooperation between the units?</t>
  </si>
  <si>
    <t>שת"פ בין זרועי?</t>
  </si>
  <si>
    <t>Cooperation between the arm?</t>
  </si>
  <si>
    <t>השלכות הצלחה: צלש"ים, הקצאת משאבים, קידום מפקדים?</t>
  </si>
  <si>
    <t>Implications of success: Tzls"im, allocation of resources, promotion of officers?</t>
  </si>
  <si>
    <t>השלכות כישלון: הקפאת פעילות, הדחת מפקדים/ חיילים, פירוק היחידה?</t>
  </si>
  <si>
    <t>Consequences of failure: Freezing, washing officers / soldiers, dismantling the unit?</t>
  </si>
  <si>
    <t>Column1</t>
  </si>
  <si>
    <t>Date2</t>
  </si>
  <si>
    <t>אנשי הישובים בעמק בית-שאן הדרומי סיכלו התנכלויות של מסתננים שחדרו לשטח ישראל. המסתננים הצליחו להמלט אל מעבר לירדן</t>
  </si>
  <si>
    <t>"מבצע דותן" פעולת יעבד</t>
  </si>
  <si>
    <t>Operation "Dothan" operation processes</t>
  </si>
  <si>
    <t>מסתננים גנבו בהמות וצינורות השקיה מישובים בפרוזדור ירושלים, תוך ירי על שומרי הישובים</t>
  </si>
  <si>
    <t>מערבית לג'נין, מזרחית</t>
  </si>
  <si>
    <t xml:space="preserve">dead Sea </t>
  </si>
  <si>
    <t>West of Jenin, east</t>
  </si>
  <si>
    <t>Jenin</t>
  </si>
  <si>
    <t>אש משטח ירדן נפתחה לעבר קבוצת פועלים יל הר הגלבוע. משמר ישראלי שהיה בסביבה השיב אש. 2 פועלים ו-2 אנשי המשמר נפצעו</t>
  </si>
  <si>
    <t>"מבצע כפפות משי" פשיטה על חברון</t>
  </si>
  <si>
    <t>"Operation silk gloves" raid on Hebron</t>
  </si>
  <si>
    <t>21.12.1953</t>
  </si>
  <si>
    <t>לקיבוץ מצר.</t>
  </si>
  <si>
    <t>Kibbutz Metzer.</t>
  </si>
  <si>
    <t>Tarkumya</t>
  </si>
  <si>
    <t>לא ידוע</t>
  </si>
  <si>
    <t>Unknown</t>
  </si>
  <si>
    <t>יציאת הכוח מקיבוץ נתיב הל"ה, חדריה לפרברי חברון (42 ק"מ הלוך וחזור) ולבסיס הלגיון הירדני ליד תרקומיא</t>
  </si>
  <si>
    <t>Power output from Kibbutz Netiv Halamed, Meeting outskirts of Hebron (42 km round trip) and the Jordanian Legion base at Tarqumyia</t>
  </si>
  <si>
    <t>חולייה בפיקוד מאיר הר ציון פשטה על מבואות חברון וחולייה בפיקודו של אריק שליין פשטה על מחנה צבאי ליד תרקומיא</t>
  </si>
  <si>
    <t>מוצבים סורים פתחו באש לעבר דייגים בחוץ הצפוני-מזרחי של הכינרת ועל סירת משמר ישראלית שהגיעה למקום</t>
  </si>
  <si>
    <t>A squad commanded by Meir Har-Zion raided the outskirts of Hebron and a squad led by Eric Schlein raided an army camp near Tarqumyia</t>
  </si>
  <si>
    <t>לא</t>
  </si>
  <si>
    <t>No</t>
  </si>
  <si>
    <t>המבצע הצליח, בית מבוקש במבואות חברון זוהה ופוצץ, מספר חיילים מהמשמר הירדני נפגעו ומפקדם נהרג. הפשיטה שנערכה במזג אוויר מושלג וקשה, נחשבת לאחת הפעולות הנועזות ביותר של ה- 101</t>
  </si>
  <si>
    <t>The operation was successful, a favorite in the outskirts of Hebron was detected and detonated, several Jordanian Guard soldiers were injured and killed their commander. The raid snowy weather and difficult, is considered one of the most daring operations 101</t>
  </si>
  <si>
    <t>"מבצע עפרה" פעולת אידנא1</t>
  </si>
  <si>
    <t>"Operation ore" operation Idhna 1</t>
  </si>
  <si>
    <t>ירדן - הכפר אידנא בין בית גוברין לחברון</t>
  </si>
  <si>
    <t>Jordan - Idna village of Beit Guvrin Hebron</t>
  </si>
  <si>
    <t>Idhna</t>
  </si>
  <si>
    <t>פגיעה במחבלים תושבי הכפר שהיו מסתננים לישראל ופוגעים בנפש וברכוש</t>
  </si>
  <si>
    <t>Villagers targeting terrorists who infiltrate Israel and harm to life and property</t>
  </si>
  <si>
    <t>פשיטה</t>
  </si>
  <si>
    <t>raid</t>
  </si>
  <si>
    <t>שתי פלוגות</t>
  </si>
  <si>
    <t>Two companies</t>
  </si>
  <si>
    <t>גדוד צנחנים 890</t>
  </si>
  <si>
    <t>Paratroopers Battalion 890</t>
  </si>
  <si>
    <t>מסתננים ירדנים חדרו למושב בר-גיורא בפרוזדור ירושלים ופתחו באש על שומרי המשק שבאו לעברם. השומרים השיבו אש והמסתננים ברחו. שומר אחד נפצע</t>
  </si>
  <si>
    <t>המבצע נכשל. הכוח התגלה בעת התקדמותו אל עבר הכפר, נפתחה עליו אש חזקה והוא נסוג. הכוח ספג שני הרוגים</t>
  </si>
  <si>
    <t>The operation failed. The power came when progress toward the village, he opened heavy fire and retreated. Power suffered two dead</t>
  </si>
  <si>
    <t>"מבצע שוט" פעולת גוש עציון</t>
  </si>
  <si>
    <t>Operation "Whip" act of Gush Etzion</t>
  </si>
  <si>
    <t>24.12.1953</t>
  </si>
  <si>
    <t>מחנה הלגיון הירדני ליד כביש בית לחם - חברון</t>
  </si>
  <si>
    <t>Jordanian Legion camp near Bethlehem Road - Hebron</t>
  </si>
  <si>
    <t xml:space="preserve"> Bethlehem</t>
  </si>
  <si>
    <t>Rafah</t>
  </si>
  <si>
    <t>סיור למחנה הלגיון הירדני</t>
  </si>
  <si>
    <t>Jordanian Legion camp tour</t>
  </si>
  <si>
    <t>Mei-Ami</t>
  </si>
  <si>
    <t>חולייהבפיקודו של שלמה באום</t>
  </si>
  <si>
    <t>Holiihbfikodo Shlomo Baum</t>
  </si>
  <si>
    <t>יחידות מצריות פתחו באש מקלעים ומרגמות לעבר בורת אנשי משק גבעת-רחל אשר באזור המפורז של ניצנה. האש המצרית נמשכה זמן מה. אין נפגעים</t>
  </si>
  <si>
    <t>"מבצע שלח" פעולת תרקומיא</t>
  </si>
  <si>
    <t>Operation "Send" function Tarqumyia</t>
  </si>
  <si>
    <t>הכפר תרקומיא סמוך לחברון</t>
  </si>
  <si>
    <t>Tarkumya village near Hebron</t>
  </si>
  <si>
    <t>פשיטה על בתי אנשי כנופיות מזוינות</t>
  </si>
  <si>
    <t>Raiding the homes of members of the armed gangs</t>
  </si>
  <si>
    <t>"נקם ושילם" פעולת אידנא 2</t>
  </si>
  <si>
    <t>"Retribution" operation Idhna 2</t>
  </si>
  <si>
    <t>12 - 13.8.1953</t>
  </si>
  <si>
    <t>תקיפת הכפרים אידנה, צוריף, אל חאדר ובית אולא</t>
  </si>
  <si>
    <t>The attack on the village of Idna, Surif, Al Khader and Beit Ula</t>
  </si>
  <si>
    <t>Idna, Surif, Al Khader and Beit Ula</t>
  </si>
  <si>
    <t>פעולת תגמול בעקבות זריקת רימונים לבית הילדים בקרית יערים</t>
  </si>
  <si>
    <t>Retaliation for throwing grenades to children in Kiryat Yearim</t>
  </si>
  <si>
    <t>תקיפת הסחה על הכפר אידנא וחסימת הדרך לתגבורת מתרקומיא בזמן ששאר הכוחות פשטו על הכפרים</t>
  </si>
  <si>
    <t>Diversionary attack on the village of Idna and blocking the way for reinforcements Tarqumiya, while other forces raided the villages</t>
  </si>
  <si>
    <t>גדוד 890, חטיבה 16 הירושלמית, חטיבה 7</t>
  </si>
  <si>
    <t>Battalion 890, Division 16 Jerusalem, 7th</t>
  </si>
  <si>
    <t>כן</t>
  </si>
  <si>
    <t>yes</t>
  </si>
  <si>
    <t>ירדנים פתחו באש לעבר חברת הנוער של קיבוץ אייל שטיילה צפונית למשק. לא היו נפגעים</t>
  </si>
  <si>
    <t>8/12/1953- 8/13/1953</t>
  </si>
  <si>
    <t>"עפר ואפר, פעולת רנטיס</t>
  </si>
  <si>
    <t>"Dust and ashes, operation Rantis</t>
  </si>
  <si>
    <t>28.1.1953</t>
  </si>
  <si>
    <t>ירדן - הכפר רנטיס - דרומית מזרחית לראש העין</t>
  </si>
  <si>
    <t>Jordan - Rantis village - southeast of Rosh ha</t>
  </si>
  <si>
    <t xml:space="preserve">Rantis </t>
  </si>
  <si>
    <t>הרתעה</t>
  </si>
  <si>
    <t>deterrence</t>
  </si>
  <si>
    <t>חדירה לכפר</t>
  </si>
  <si>
    <t>Penetration village</t>
  </si>
  <si>
    <t>פלוגה מגדוד 890 שהורכבה מכוח לנטרול שומרים, כוח לחדירה ופיצוץ, כוח רתק וכוח עתודה</t>
  </si>
  <si>
    <t>Battalion 890 comprising Company pursuant to neutralize the guards and blast penetration power, strength, and Retention reserve force</t>
  </si>
  <si>
    <t>לא, אולם באותו הלילה פעלו עוד שני כוחות של צה"ל בפעולות תגמול: כוח מחטיבת גבעתי פעל בכפר פלמה וכוח חרמ"ש מחטיבה 7 פעל נגד כפר באזור רפיח</t>
  </si>
  <si>
    <t>No, but that night there were two military forces reprisals: Givati ​​Brigade forces operating in the village of Palma and strength infantry Brigade 7 operated against a village near Rafah</t>
  </si>
  <si>
    <t>המבצע הצליח, הכוח הגיע למרכז הכפר, פוצץ את אחד הבתים ואת באר הכפר, הירדנים הודיעו על 9 הרוגים בקרבם</t>
  </si>
  <si>
    <t>The operation was successful, power came to the village center, blew up a house and the village well, the Jordanians announced nine deaths in their midst</t>
  </si>
  <si>
    <t>"שפיפון עלי דרך"</t>
  </si>
  <si>
    <t>"Rattler me through"</t>
  </si>
  <si>
    <t>18 - 20.5.1953</t>
  </si>
  <si>
    <t>ירדן - הכפרים חוסאן, בית סירא, בית נובא ובית ליקיא</t>
  </si>
  <si>
    <t>Jordan - Husan village, Beit Sira, Beit Nuba and the Liqiya</t>
  </si>
  <si>
    <t>Husan village, Beit Sira, Beit Nuba and the Liqiya</t>
  </si>
  <si>
    <t>חיים שפרוני</t>
  </si>
  <si>
    <t>29</t>
  </si>
  <si>
    <t>בפשיטות נהרסו מספר כלירכב ונפגעו כפריים אולם בחלקן הלוחמים נסוגו לפני השלמת הפעולה ולכן לא נרשמו תוצאות מרשימות</t>
  </si>
  <si>
    <t>Vehicles raids destroyed and damaged several rural but some fighters withdrew before completion and therefore not recorded impressive results</t>
  </si>
  <si>
    <t>ראש אגף המבצעים במטכ"ל, האלוף משה דיין, כינה את תוצאות השיטות "מחפירות, והעלה את הצורך במפקדים חדשים הדבקים במשימתם והולכים בראש הלוחמים.</t>
  </si>
  <si>
    <t>5/18/1953 - 5/20/1953</t>
  </si>
  <si>
    <t>גירוש בדווים מהנגב</t>
  </si>
  <si>
    <t>יחידה מצרית פתחה באש על מכונית עם אנשי משק גבעת-רחל, שהיתה בשטח האזור המפורז של ניצנה. לא היו נפגעים מבין אנשי המשק</t>
  </si>
  <si>
    <t>The expulsion of Bedouin from the Negev</t>
  </si>
  <si>
    <t>ישראל - איזור הגבול עם מצרים בניצנה</t>
  </si>
  <si>
    <t>Israeli - Egyptian border area of ​​Nitzana</t>
  </si>
  <si>
    <t xml:space="preserve"> ​​Nitzana</t>
  </si>
  <si>
    <t>גירוש חמושים בדואים שבט העזזמה שחדרו לישראל</t>
  </si>
  <si>
    <t>Armed Bedouin tribe expulsion Azzama penetrate Israel</t>
  </si>
  <si>
    <t>הגעה על גבי רכבים מוסווים וגירוש הבדווים שהשתכנעו להישאר מצידו המצרי של הגבול בתוך סיני. שיטת הפעולה לא ידועה</t>
  </si>
  <si>
    <t>Check on vehicles camouflaged expulsion of Bedouins who are convinced that remain deployed along the Egyptian border in the Sinai. The modus operandi is unknown</t>
  </si>
  <si>
    <t>המבצע הצליח, 4000 חמושים בדווים עברו חזרה את הגבול</t>
  </si>
  <si>
    <t>The operation succeeded, armed Bedouins in 4000 moved back to the border</t>
  </si>
  <si>
    <t>פעולת בית אומר ובית צוריף</t>
  </si>
  <si>
    <t>Operation Beit Ummar and Beit Surif</t>
  </si>
  <si>
    <t>19.12.1953</t>
  </si>
  <si>
    <t>ירדן - הכפרים בית אומר וצוריף סמוך לחברון</t>
  </si>
  <si>
    <t>Jordan - villages of Beit Ummar and Surif near Hebron</t>
  </si>
  <si>
    <t xml:space="preserve"> Beit Ummar and Surif</t>
  </si>
  <si>
    <t>פגיעה במפקדות הלגיון והמשמר הירדני בכפרים המוזכרים</t>
  </si>
  <si>
    <t>Injury Guard headquarters and the Jordanian Legion villages mentioned</t>
  </si>
  <si>
    <t>סיור אלים</t>
  </si>
  <si>
    <t>Tour violent</t>
  </si>
  <si>
    <t>אש מרגמות נפתחה משני מוצבים מצרים לעבר ישובים ישראלים ולעבר יחידות צה"ל בגיזרת רצועת עזה. חייל ואזרח נהרגו, 4 נפצעו קשה ו-4 קל</t>
  </si>
  <si>
    <t>פעולת בית סירא</t>
  </si>
  <si>
    <t>Operation Beit Sira</t>
  </si>
  <si>
    <t>10.10.1953</t>
  </si>
  <si>
    <t>ירדן - הכפר בית סירא</t>
  </si>
  <si>
    <t>Jordan - the village of Beit Sira</t>
  </si>
  <si>
    <t>Beit Sira</t>
  </si>
  <si>
    <t>גביית מחיר על רצח ישראלים ליד מושב אחיעזר</t>
  </si>
  <si>
    <t>Price collection for the murder of Israelis near Moshav Ahiezer</t>
  </si>
  <si>
    <t>פגיעה בתחבורה ובכמה כפריים. לא ידוע מספר או האם נהרגו</t>
  </si>
  <si>
    <t>Injury and a number of rural transport. UNKNOWN or is killed</t>
  </si>
  <si>
    <t>1/25/1953</t>
  </si>
  <si>
    <t>אחד משומרי מבואות בית"ר נפצע קל לאחר שנפגע מאש שפתחו הירדנים על המשק</t>
  </si>
  <si>
    <t>פעולת בריכות שלמה</t>
  </si>
  <si>
    <t>Operation Solomon's Pools</t>
  </si>
  <si>
    <t>18.12.1953</t>
  </si>
  <si>
    <t>ירדן - בריכות שלמה סמוך לבית לחם</t>
  </si>
  <si>
    <t>Jordan - Solomon's Pools near Bethlehem</t>
  </si>
  <si>
    <t>גביית מחיר בעקבות רצח חיילים ליד בית גוברין</t>
  </si>
  <si>
    <t>Price collection following the murder of soldiers at Beit Guvrin</t>
  </si>
  <si>
    <t>יציאה מהיישוב מבוא ביתר, חדירה עמוקה לשטח הירדני והצבת חערב ליד בריכות שלמה</t>
  </si>
  <si>
    <t>Departure from the town of Mevo Betar, a deep penetration into Jordan and placing evening is near Solomon's Pools</t>
  </si>
  <si>
    <t>שתי חוליות בפיקודם של שלמה באום ומאיר הר ציון</t>
  </si>
  <si>
    <t>Both squads commanded by Shlomo Baum and Meir Har-Zion</t>
  </si>
  <si>
    <t>המבצע הצליח, הכוח פתח באש והרג קצין רפואה של הלגיון הירדני</t>
  </si>
  <si>
    <t>The operation was successful, the force opened fire and killed a medical officer of the Jordanian Legion</t>
  </si>
  <si>
    <t>פעולת נבי סמואל</t>
  </si>
  <si>
    <t>Operation of Nabi Samuel</t>
  </si>
  <si>
    <t>12.7.1953</t>
  </si>
  <si>
    <t>ירדן - הכפר נבי סמואל בסמוך לירושלים</t>
  </si>
  <si>
    <t>Jordan - Nabi Samuel near Jerusalem</t>
  </si>
  <si>
    <t xml:space="preserve">Nabi Samuel </t>
  </si>
  <si>
    <t>פעולת תגמול בעקבות רצח של שני חיילים במושב אבן ספיר</t>
  </si>
  <si>
    <t>Reprisals following the murder of two soldiers in Moshav Even Sapir</t>
  </si>
  <si>
    <t>דליה שוורץ</t>
  </si>
  <si>
    <t>פיצוץ בית הרוצח, מוסטפא סמואלי</t>
  </si>
  <si>
    <t>The killer blast, Mustafa Samuelly</t>
  </si>
  <si>
    <t>מספר מועט של לוחמים בפיקודו של אריאל שרון</t>
  </si>
  <si>
    <t>A small number of fighters under the command of Ariel Sharon</t>
  </si>
  <si>
    <t>זן לא הייתה יחידה ספציפית אולם רבית הלוחמים שהשתתפו בפעולה ייסדו את יחידה 101 כחודש לאחר מכן</t>
  </si>
  <si>
    <t>Was not the only species specific but most fighters who took part in the operation have established Unit 101 one month later</t>
  </si>
  <si>
    <t>Operation of Idna 1</t>
  </si>
  <si>
    <t>הפעולה לא הצליחה שכן הבית היה ריק והרוצח לא נמצא</t>
  </si>
  <si>
    <t>Did not work because the house was empty and the murderer was not found</t>
  </si>
  <si>
    <t>הסורים ירו לעבר ספינת דיג ישראלית שהיתה בצפון הכינרת. לא היו נפגעים בין אנשי הספינה</t>
  </si>
  <si>
    <t>אף על פי שהפעולה לא הצליחה, היא דירבנה את הקמתה של יחידה 101 במסגרת חטיבה 16 - חטיבת ירושלים</t>
  </si>
  <si>
    <t>פעולת קיבייה "מבצע שושנה"</t>
  </si>
  <si>
    <t>Cuvier operation "Operation Rose"</t>
  </si>
  <si>
    <t>1230</t>
  </si>
  <si>
    <t>14 - 15.10.1953</t>
  </si>
  <si>
    <t>ירדן - הכפר קיבייה מזרחית לשוהם</t>
  </si>
  <si>
    <t>Jordan - Cuvier village east of Shoham</t>
  </si>
  <si>
    <t>Idna village near Amazya</t>
  </si>
  <si>
    <t>Shoham</t>
  </si>
  <si>
    <t>גביית מחיר על מעשי רצח של חוליות טרור ובעקר רצח אם ושני ילדיה בכפר יהודיה (העיר יהוד) , עקבות הרוצחים הובילו לכפר קיבייה</t>
  </si>
  <si>
    <t>Charging a price for murders of terrorist cells and mainly the murder of a mother and her two children in a Jewish village (Yehud), trace the killers led to the village Cuvier</t>
  </si>
  <si>
    <t>הלוחמים חולקו לחמישה כוחות: כוח ראשון פרץ לכפר, כוח שני כבש מוצב שולט של הצבא הירדני, כוח שלישי חסם את הדרך לתגבורת מכיוון הכפר בודרוס, כוח רביעי בפיקודו של מאיר הר ציון חסם את הדרך לכפר שוקבה וכוח חמישי בפיקודו של אריק שליין חסם את הדרך לכפר נעלין. מפקד הפעולה אריק שרון שהה עם כוח נוסף סמוך לגבול ששימש כעתודה ונשא חנ"מ ומרגמות.</t>
  </si>
  <si>
    <t>Two companies from Battalion 890 under the command of Yehuda Harari attack the village of Idna. IDF soldier has been killed and a soldier was missing.</t>
  </si>
  <si>
    <t>The fighters were divided into five forces: An initial burst of the village, force two sheep placed in control of the Jordanian army, a third force blocked the way of reinforcements from the village of Budrus, power Wednesday, led by Meir Har-Zion blocked the road to the village of Shukba and power Thursday, led by Eric Schlein blocked the road Ni'lin village. The operation commander Ariel Sharon stayed with another force near the border that was used as a reserve and carrying explosives and mortars.</t>
  </si>
  <si>
    <t>גודל הכוח אינו ידוע. במבצע השתתפו שני כוחות, כוח 101 בפיקוד אריק שרון שגם פיקד על כל המבצע וכוח מ890 בפיקודו של אהרון דוידי</t>
  </si>
  <si>
    <t>The force is not known. Two forces participated in the operation, 101 command strength that Ariel Sharon commanded the whole operation and power than the 890, commanded by Aharon Davidi</t>
  </si>
  <si>
    <t>101 + 890</t>
  </si>
  <si>
    <t>המבצע נכשל שכן חלק גדול מ45 בתים בכפר שסומנו לפיצוץ לא נסרקו ביסודיות, ולכן חלקם פוצצו על יושביהם. סה"כ 69 הרוגים בקרב האוכלוסיה האזרחית</t>
  </si>
  <si>
    <t>The operation failed because a large part of 45 houses in the village marked the explosion is not scanned thoroughly, so some of them blew their inhabitants. Total 69 deaths among the civilian population</t>
  </si>
  <si>
    <t>מסתננים מזוינים פתחו באש על שומרת מכפר-מנחם וברחו. השומרת נפצעה קשה</t>
  </si>
  <si>
    <t>למרות שהמבצע נכשל, לאחר פעולת קיבייה הוחלט למזג את יחידה 101 עם גדוד 890 של הצנחנים. יחידה 101 פעלה כחמישה חודשים בלבד, אולם הוכיחה את יכולתה בשמירה על כוננות גבוהה לפעולה ודבקות במשימה.</t>
  </si>
  <si>
    <t>1/28/1953</t>
  </si>
  <si>
    <t>Although the operation fails, the operation Cuvier was decided to merge the unit 101 with the 890 paratrooper battalion. 101 unit worked only five months, but has proven its ability to maintain a high alert action and devotion to duty.</t>
  </si>
  <si>
    <t>Operation Rantis ; "Dust and Ashes</t>
  </si>
  <si>
    <t>2340</t>
  </si>
  <si>
    <t>מדינות רבות גינו את הפעולה ובמערכת הביטחון נפתחה חקירה שלוותה בחילופי האשמות. הלקח המרכזי מהכישלון היה שפעולות גמול עתידיות יבוצעו רק נגד מחנות צבא ולא בתוך יישובים אזרחיים</t>
  </si>
  <si>
    <t>10/14/1953 - 10/15/1953</t>
  </si>
  <si>
    <t>פשיטה על אל בורג'</t>
  </si>
  <si>
    <t>A raid on Al Burj</t>
  </si>
  <si>
    <t>31.8. -1.9 . 1953</t>
  </si>
  <si>
    <t>מוצב מצרי ליד מחנה הפליטים אל בורג' ברצועת עזה</t>
  </si>
  <si>
    <t>An Egyptian post near the refugee camp Al Bureij in the Gaza Strip</t>
  </si>
  <si>
    <t xml:space="preserve"> Al Bureij</t>
  </si>
  <si>
    <t>פגיעה בריכוזי פדאינים</t>
  </si>
  <si>
    <t>Injury concentrations Fdainim</t>
  </si>
  <si>
    <t>Amazya ; Jordan - Rantis village - southeast of Rosh ha</t>
  </si>
  <si>
    <t>שלוש חוליות בפיקוד אריק שרון</t>
  </si>
  <si>
    <t>Northeast Shoham near Ofarim ; Rantis</t>
  </si>
  <si>
    <t>Three squads under the command of Ariel Sharon</t>
  </si>
  <si>
    <t>המבצע הצליח, נהרגו 15 מחבלים</t>
  </si>
  <si>
    <t>The operation succeeded, killing 15 terrorists</t>
  </si>
  <si>
    <t>8/31/1953 - 9/1/1953</t>
  </si>
  <si>
    <t>פשיטה על בית מירסים</t>
  </si>
  <si>
    <t>מסתננים מצרים פוצצו את צינור המים של משק כיסופים וניתקו את קו הטלפון למשק</t>
  </si>
  <si>
    <t>A raid on Beit Mirsim</t>
  </si>
  <si>
    <t>1.9.1953</t>
  </si>
  <si>
    <t>מתקן צבאי ירדני ליד הכפר בורג' אל בירה בדרום מערב הר חברון</t>
  </si>
  <si>
    <t>A Jordanian military facility near the village of Burj Al Bireh in the southwest of Hebron Hills</t>
  </si>
  <si>
    <t>Burj Al Bireh</t>
  </si>
  <si>
    <t>Mountain battalion command company includes power under the command of Arik Regev room Rantissi and blew up a house and a well. Battalion 890 comprising Company pursuant to neutralize the guards and blast penetration power, strength, and Retention reserve force.</t>
  </si>
  <si>
    <t>פגיעה במתקן</t>
  </si>
  <si>
    <t>Damage to the facility</t>
  </si>
  <si>
    <t>פשיטה על בתין אבו לחיה</t>
  </si>
  <si>
    <t>Tin raid on Abu cheek</t>
  </si>
  <si>
    <t xml:space="preserve">On the north </t>
  </si>
  <si>
    <t>אש מקלעים כבדה נפתחה משטח ירדן לעבר משק ניר-אליהו. לא היו נפגעים, נזק נגרם למבנים</t>
  </si>
  <si>
    <t>Chain Operations ; "Raattler me through"</t>
  </si>
  <si>
    <t>Rantis ; Jordan - Husan village, Beit Sira, Beit Nuba and the Liqiya</t>
  </si>
  <si>
    <t>Beit Sira, Beit Nuba Home Liqiya Husan , Husan village</t>
  </si>
  <si>
    <t>Battalion 890 under the command of mountainous performs three consecutive operations. 1. raided Beit Sira 18/05/1953. 2. The raid on Husan 19/05/1953. 3. raid on Beit Nuba and the Liqiya 20/05/1953.</t>
  </si>
  <si>
    <t>ירדן - מוצב הלגיון בכפר בתין אבו לחיא, ליד קיבוץ מעלה החמישה</t>
  </si>
  <si>
    <t>Jordan - Legion outpost in the village of Abu she Tin, near Kibbutz Maale Hachamisha</t>
  </si>
  <si>
    <t>מסתננים לבנונים גנבו עדר עגלות של מעין-ברוך במטרה ליצור לחץ על שלטונות ישראל להחזיר כמה מאות ראש של עדרי צאן לבנונים</t>
  </si>
  <si>
    <t>המבצע נכשל שכן הכוח נתגלה ע"י חיילי הלגיון הירדני ונאלץ לסגת. הגילוי התאפשר מאחר והכוח הלך על קו רקיע</t>
  </si>
  <si>
    <t>The operation failed because the power was discovered by the Jordanian Legion soldiers and forced to retreat. The discovery was made possible because the power went Skyline</t>
  </si>
  <si>
    <t>סיבת הכישלון לפעולה שימשה כבסיס למודל ולתחקיר מבצעי לפעולות עתידיות</t>
  </si>
  <si>
    <t>"ברוך 1" -פעולת עזון</t>
  </si>
  <si>
    <t>"Welcome 1" -faolt Azun</t>
  </si>
  <si>
    <t>חבלנים מצרים פוצצו צינור מים ליד קיבוץ תל-רעים וניתקו את קו הטלפון במקום</t>
  </si>
  <si>
    <t>29.6.1954,</t>
  </si>
  <si>
    <t>ירדן - מחנה של הלגיון הירדני ליד הכפר עזון</t>
  </si>
  <si>
    <t>Jordan - Jordanian Legion camp near the village of Azzun</t>
  </si>
  <si>
    <t>Azzun</t>
  </si>
  <si>
    <t>פעולת גמול בעקבות רציחתו של חקלאי בשדות רעננה - כפר סבא ע"י מסתננים מהצבא הירדני</t>
  </si>
  <si>
    <t>Retaliation following the murder of a farmer in the fields Raanana - Kfar Saba by infiltrators from the Jordanian army</t>
  </si>
  <si>
    <t>פשיטת עומק</t>
  </si>
  <si>
    <t>Bankruptcy depth</t>
  </si>
  <si>
    <t>שבעה לוחמים מגדוד 890 בפיקודם של מאיר הר ציון ואהרון דוידי</t>
  </si>
  <si>
    <t>Seven fighters of Battalion 890 under the command of Meir Har-Zion and Aharon Davidi</t>
  </si>
  <si>
    <t>המבצע הצליח, בקרב שנערך בתוך המחנה נהרגו כמה חיילים ירדנים (אין מספר מדויק)</t>
  </si>
  <si>
    <t>The operation succeeded in held in the camp were killed in several Jordanian soldiers (there is no exact number)</t>
  </si>
  <si>
    <t>פעולה זו היוותה דוגמא לשיא של התמדה וכחו רצון לדבקות במטרה עד להשלמתה משום שהכוח ביצע את התקיפה לאור יום מאחר ונתקל בדרכו אל היעד בשני סיורים ירדניים. לאחר חזרתו, הוענק ליצחק ג'יבלי עיטור העוז על חלקובעולה ועל שדרש מחבריו להשאירו מאחור ביודעו שפינויו המתעכב סיכן את כל הכוח</t>
  </si>
  <si>
    <t>This was the model peak of his strength endurance and the will to remain committed in order to complete because the force carried out the attack in broad daylight since having his way to the target in two Jordanian tour. After his return, was awarded to Yitzhak Gibli medal on Hlkobaolh and demanded his friends to leave him behind, knowing corners lingering risked all power</t>
  </si>
  <si>
    <t>למרות שהפעולה הצליחה, במהלכה הושאר בשטח המחנה הלוחם יצחק ג'יבלי שנפצע קשה והיה חשש שיעכב את הכוח בנסיגתו. החלטה זו הישרתה אווירה קשה בצנחנים אשר החליטו ללכוד חיילים ירדנים כדי לפדות את ג'יבלי, מה שהוביל ל"מבצעי גיל"</t>
  </si>
  <si>
    <t>"מבצע אריה" פעולת נחלין</t>
  </si>
  <si>
    <t>"Operation Lion 'operation Nahlin</t>
  </si>
  <si>
    <t>28.3.1954</t>
  </si>
  <si>
    <t>ירדן - סביבות הכפר נחלין סמוך לגוש עציון</t>
  </si>
  <si>
    <t>Jordan - near the village of Nahlin near Gush Etzion</t>
  </si>
  <si>
    <t>מוצב סורי פתח באש רובים ומקלעים לעבר חברי משק גונן שיצאו לכבות דליקה דרומית למשק. לא היו נפגעים</t>
  </si>
  <si>
    <t>Nahlin</t>
  </si>
  <si>
    <t>גביית מחיר בעקבות טבח אוטובוס המטיילים במעלה עקרבים ורצח שומר במושב כסלון</t>
  </si>
  <si>
    <t>Following the massacre in incurring cost bus traveling up the scorpion and murder watchman living room</t>
  </si>
  <si>
    <t>הצבת מארבים והריסת בתים בכפר.</t>
  </si>
  <si>
    <t>Setting up ambushes and demolition of houses in the village.</t>
  </si>
  <si>
    <t>כשישים לוחמים השתתפו בפעולה שעליה פיקד אריק שרון, המג"ד הטרי של 890 + 101. כוח בפיקודו של מאיר הר ציון יצא מהיישוב מבוא ביתר, שלוש מחלקות נערכו בדרכים המובילות לנחלין, כוח בפיקודו של אהרון דוידי פשט על הכפר</t>
  </si>
  <si>
    <t>Sixty fighters participated in the operation under the command of Ariel Sharon, fresh battalion of 890 + 101. The force, commanded by Meir Har-Zion came out from the town of Mevo Betar, three classes were held on the roads leading Nahlin force under the command of Aaron David raided the village</t>
  </si>
  <si>
    <t>101+890</t>
  </si>
  <si>
    <t>לא, היחידות כבר אוחדו</t>
  </si>
  <si>
    <t>No, the units have already been consolidated</t>
  </si>
  <si>
    <t>המבצע הצליח, הכוח של דוידי הצליח לפגוע במוכתר הכפר ולהרוס בתים. בנסיגתו נתקל הכוח במארב ירדני והצליח לחסלו. אין מספרים מדויקים באשר להרוגים בקרב הירדנים</t>
  </si>
  <si>
    <t>The operation was successful, the strength of David managed to hit the mukhtar of the village and destroy homes. Retreating force encountered a Jordanian ambush and managed to kill him. No exact numbers regarding casualties among Jordanians</t>
  </si>
  <si>
    <t>"מבצע מים" פעולת מכון המים</t>
  </si>
  <si>
    <t>"Make water" Operation Water Institute</t>
  </si>
  <si>
    <t>14.8.1954</t>
  </si>
  <si>
    <t>מצרים - עזה</t>
  </si>
  <si>
    <t>Egypt - Gaza</t>
  </si>
  <si>
    <t>גביית חמיר על פיצוץ מוביל המים הראשי לנגב בקיבוץ ניר עם כיומיים קודם לכן</t>
  </si>
  <si>
    <t>Collection of aggravated main water carrier explosion in Kibbutz Nir wipe with a couple of days earlier</t>
  </si>
  <si>
    <t>פשיטה על מכון המים של עזה ופיצוצו</t>
  </si>
  <si>
    <t>Raid on Gaza's Water Institute and explosion</t>
  </si>
  <si>
    <t>פלוגה ב' של גדוד 890 בפיקודו של משה ינוקא</t>
  </si>
  <si>
    <t>Company B of the 890th brigade commanded by Moses Nascent</t>
  </si>
  <si>
    <t>המבצע הצליח, מכון המים פוצץ.</t>
  </si>
  <si>
    <t>7/12/1953</t>
  </si>
  <si>
    <t>The operation was successful, blew Water Institute.</t>
  </si>
  <si>
    <t>"מבצע סיגריה"</t>
  </si>
  <si>
    <t>Beit Sira ; Jordan - Nabi Samuel near Jerusalem</t>
  </si>
  <si>
    <t>"Operation cigarette"</t>
  </si>
  <si>
    <t>2.4.1954</t>
  </si>
  <si>
    <t>Nebi Samuel north of Jerusalem</t>
  </si>
  <si>
    <t>מצרים - רצועת עזה</t>
  </si>
  <si>
    <t>Egypt - Gaza Strip</t>
  </si>
  <si>
    <t>Reprisals following the murder of two soldiers in Moshav Even Sapir. A small number of fighters under the command of Ariel Sharon launched a killer blast at the home of Mustafa Samuel. The action failed, but spurred the creation of Unit 101, which was established at the beginning of August 1953.</t>
  </si>
  <si>
    <t xml:space="preserve"> Gaza </t>
  </si>
  <si>
    <t>קבוצת מסתננים מצרים התקיפה מאהל של בדואים ישראלים בסביבות נחל בוקר. המסתננים השתמשו בנשק אוטומטי, רימונים וסכינים. 5 נפצעו</t>
  </si>
  <si>
    <t>תפיסת שבויים מצריים לצורך החלפתם בחייל ישראלי שנחטף כשבוע קודם לכן</t>
  </si>
  <si>
    <t>Perception of Egyptian prisoners for the purpose of replacing the Israeli soldier kidnapped a week earlier</t>
  </si>
  <si>
    <t>פגיעה בג'יפ סיור מצרי שנע על מיר עזה - אל סבע</t>
  </si>
  <si>
    <t>Egyptian patrol jeep injury ranging Mir Gaza - to Saba</t>
  </si>
  <si>
    <t>כוח של קצינים מגדוד 890 - גודל הכוח לא ידוע</t>
  </si>
  <si>
    <t>Battalion force of 890 officers - the force is not known</t>
  </si>
  <si>
    <t>המבצע הצליח, הכוח הרג שני חיילים מצריים ולכד שבוי אחד, לצנחנים</t>
  </si>
  <si>
    <t>The operation was successful, the force killed two Egyptian soldiers and captured one prisoner, the paratroopers</t>
  </si>
  <si>
    <t>"מבצע צרצר"</t>
  </si>
  <si>
    <t>"Operation cricket"</t>
  </si>
  <si>
    <t>8.12.1954</t>
  </si>
  <si>
    <t>גבול ישראל סוריה - ליד מוצב עין פית במסוך לקיבוץ שניר</t>
  </si>
  <si>
    <t>Israel Syria border - near the eye placed totalized chef Nir</t>
  </si>
  <si>
    <t>8/12/1953 - 8/13/1953</t>
  </si>
  <si>
    <t>Kibbutz Snir</t>
  </si>
  <si>
    <t>Operation of Idna 2 "Retribution"</t>
  </si>
  <si>
    <t>טיפול במתקן האזנה מודיעיני</t>
  </si>
  <si>
    <t>Nebi Samuel ; The attack on the village of Idna, Surif, Al Khader and Beit Ula</t>
  </si>
  <si>
    <t>Listening intelligence handling facility</t>
  </si>
  <si>
    <t>Eden Tarqumya southeast of Beit Guvrin ; Idna, Surif, Al Khader and Beit Ula</t>
  </si>
  <si>
    <t>ארבעה צנחנים וחייל גולני</t>
  </si>
  <si>
    <t>Retaliation for throwing grenades to children in Kiryat Yearim. Diversionary attack on the village of Idna led by deputy commander lion blocking the way to Efrat Tarqumya led by Kalman Shield; blocking the way for reinforcements Tarqumiya, while other forces raided the villages</t>
  </si>
  <si>
    <t>Four paratroopers and Golani soldier</t>
  </si>
  <si>
    <t>צנחנים +גולני</t>
  </si>
  <si>
    <t>Paratroopers + Golani</t>
  </si>
  <si>
    <t>המבצע נכשל כן חמשת החיילים נשבו</t>
  </si>
  <si>
    <t>The operation failed also five soldiers were captured</t>
  </si>
  <si>
    <t>:</t>
  </si>
  <si>
    <t>חייל גולני, אורי אילן, התאבד בשבי מאחר וחשש להישבר בחקירתו. חברי החולייה הצנחנים - מאיר מוזס, מאיר יעקבי, גד קסטלנץ ויעקב לינד שבו לארץ לאחר 15 חודשים בשבי בתמורה לשבויים סורים. הם נשפטו על שדיברו שמסרו בחקירתם את מיקומו של מתקן ההאזנה ושמם טוהר רק בשנים האחרונות</t>
  </si>
  <si>
    <t>"מבצעי גיל" (ג'יבלי יצחק לחופש)</t>
  </si>
  <si>
    <t>"Operational Age" (Gibli Isaac freedom)</t>
  </si>
  <si>
    <t>ירדן - איזור ג'נין וחירבת סיכה - איזור חברון</t>
  </si>
  <si>
    <t>Jordan - Jenin area and Khirbet pin - Hebron area</t>
  </si>
  <si>
    <t>החזרת שבוי פעולת כפר עזון, הלוחם יצחק ג'יבלי</t>
  </si>
  <si>
    <t>Action to Bourges ; A raid on Al Burj</t>
  </si>
  <si>
    <t>The return of a captive operation Azzun village, Warrior Yitzhak Gibli</t>
  </si>
  <si>
    <t>Abu she ; An Egyptian post near the refugee camp Al Bureij in the Gaza Strip</t>
  </si>
  <si>
    <t>שביית חיילים ירדנים והחלפתם בג'יבלי</t>
  </si>
  <si>
    <t>Al Bureij: Gaza Strip</t>
  </si>
  <si>
    <t>Capture of Jordanian soldiers and replacing them Gibli</t>
  </si>
  <si>
    <t>חוליות בפיקודם של אריק שרון, מאיר הר ציון ואהרון דוידי</t>
  </si>
  <si>
    <t>A raid on the al-Bureij in the Gaza Strip in order to harm centering Fdainim. Three squads under the command of Ariel Sharon. One casualty unit 15 Arabs dead.</t>
  </si>
  <si>
    <t>Squads under the command of Ariel Sharon, Meir Har-Zion and Aharon Davidi</t>
  </si>
  <si>
    <t>890 +סיירת הצנחנים הראשונה עליה פיקד מאיר הר ציון</t>
  </si>
  <si>
    <t>מוצב סורי פתח באש לעבר חברי משק הגוברים שעבדו בשדות. אנשי המשק השיבו אש . לא היו נפגעים</t>
  </si>
  <si>
    <t>890 + the first paratroop commando unit commanded by Meir Har-Zion</t>
  </si>
  <si>
    <t>המבצעים הגשימו את מטרתם שכן יצחק ג'יבלי הוחזר תמורת החיילים והשוטרים הירדנים שנשבו</t>
  </si>
  <si>
    <t>Operations achieved their goal by Isaac Gibli since returned for Jordanian soldiers and police captured</t>
  </si>
  <si>
    <t>9/1/1953</t>
  </si>
  <si>
    <t>Operation Beit Mirsim</t>
  </si>
  <si>
    <t>"סנונית"</t>
  </si>
  <si>
    <t>Al Burj ; A Jordanian military facility near the village of Burj Al Bireh in the southwest of Hebron Hills</t>
  </si>
  <si>
    <t>"swallow"</t>
  </si>
  <si>
    <t>South West Mount Hebron ; Burj Al Bireh</t>
  </si>
  <si>
    <t>31.5.54</t>
  </si>
  <si>
    <t>A raid on Beit Mirsim, a military installation between Dora Dahariyya. here was damage to the facility.</t>
  </si>
  <si>
    <t>החוף הסעודי</t>
  </si>
  <si>
    <t>Saudi coast</t>
  </si>
  <si>
    <t>איסוף מודיעין בקרבת החוף הסעודי</t>
  </si>
  <si>
    <t>Intelligence gathering near the Saudi coast</t>
  </si>
  <si>
    <t>סיור ימי</t>
  </si>
  <si>
    <t>Maritime patrol</t>
  </si>
  <si>
    <t>ספינת מנוע אזרחית שהותקנו עליה מקלעים ומכשירי קשר. שבעה חיילים בהם לוחמים ואנשי מודיעין</t>
  </si>
  <si>
    <t>Boat civil engine installed on her machine guns and radios. Seven soldiers, including fighters and intelligence</t>
  </si>
  <si>
    <t>שייטת 13 + מודיעין</t>
  </si>
  <si>
    <t>Flotilla 13 + Intelligence</t>
  </si>
  <si>
    <t>10/10/1953</t>
  </si>
  <si>
    <t>המבצע נכשל, בקרבת החוף עלתה הספינה על שרטון ולוחמיה חולצו רק לאחר שמונה עשרה שעות ע"י מטוסי פייפר, הספינה הופצצה לאחר מכן ע"י מטוסי חיל האוויר</t>
  </si>
  <si>
    <t>Beit Horon ; Jordan - the village of Beit Sira</t>
  </si>
  <si>
    <t>The operation failed, the ship came to shore near the reef and its fighters were rescued only after eighteen hours by Pipers, then the ship was bombed by Air Force planes</t>
  </si>
  <si>
    <t>East of the Maccabees bad ; Beit Sira</t>
  </si>
  <si>
    <t>Unit 101. The operation of Beit Sira damage to transport retaliation for the murder of Israelis near Lod; Price collection for the murder of Israelis near Moshav Ahiezer</t>
  </si>
  <si>
    <t>מבצע "בנימין ב" - פעולת בית ליקיא</t>
  </si>
  <si>
    <t>Operation "Benjamin in" - the act of a Liqiya</t>
  </si>
  <si>
    <t>2.9.1954</t>
  </si>
  <si>
    <t>ירדן - מוצבי הלגיון באיזור הכפרים בית ליקיא ובית עור א תחתא בקירבת רמאלה</t>
  </si>
  <si>
    <t>Jordan - Legion outposts in the villages of Beit Lakiya and Beit Ur al Tahta near Ramallah</t>
  </si>
  <si>
    <t xml:space="preserve">Beit Lakiya and Beit Ur al Tahta </t>
  </si>
  <si>
    <t>Operation Cuvier ; Cuvier operation "Operation Rose"</t>
  </si>
  <si>
    <t>Beit Sira ;Jordan - Cuvier village east of Shoham</t>
  </si>
  <si>
    <t>פעולת תגמול גדודית בעקבות רצח שני יהודים במושב מטע שבפרוזדור ירושלים ושביית חיילים ירדנים על מנת לפדות את הלוחם בנימין ג'יבלי שנפל בשבי</t>
  </si>
  <si>
    <t>East of Shoham and Beit Nehemia</t>
  </si>
  <si>
    <t>Battalion reprisals following the murder of two Jews in Moshav Mata in the Jerusalem corridor and capture of Jordanian soldiers to redeem the fallen warrior captured Benjamin Gibli</t>
  </si>
  <si>
    <t>תקיפת המוצבים וחדירה לכפרים כדי למשוך תגבורת מאיזור רמאלה, מארבים עצרו את התגבורות, הסתערו עליהן ושבו חלק מהחיילים</t>
  </si>
  <si>
    <t>Charging a price for murders of terrorist cells and mainly the murder of a mother and her two children in a Jewish village (Yehud); Retaliation for the murder of the girl Rose in Yehud. The first joint action of Battalion 890, (commanded by Ahron Davidi) and Unit 101 under the command of Ariel Sharon. The fighters were divided into five forces: An initial burst of the village, force two sheep placed in control of the Jordanian army, a third force blocked the way of reinforcements from the village of Budrus, power Wednesday, led by Meir Har-Zion blocked the road to the village of Shukba and power Thursday, led by Eric Schlein blocked the road Ni'lin village. The operation commander Ariel Sharon stayed with another force near the border that was used as a reserve and carrying explosives and mortars. Many houses were destroyed and 69 civilians were accidentally killed.</t>
  </si>
  <si>
    <t>Intrusion attacks on outposts and villages to attract reinforcements from the area of ​​Ramallah, arrested reinforcements ambushed, assaulted them and where some of the soldiers</t>
  </si>
  <si>
    <t>אש משטח סורי נורתה לעבר ג'יפ אזרחי שנסע בכביש בסביבות חוליתא. חילופי הירי נמשכו כחצי שעה. לא היו נפגעים</t>
  </si>
  <si>
    <t>חמישה כוחות: כוח ראשון היה הסיירת בפיקודו של מאיר הר ציון חסם ממערב למזרח, כוח שני בפיקודו של שלמה באום חסם מצפון, כוח שלישי בפיקודם של אהרון דוידי ואלישע שלם פרץ למוצבים ולבית ליקיא, כוח רביעי בפיקודו של מרסל טוביאס חסם מדרום וכוח חמישי בפיקודו של מוטה גור שהה בטח ושימש כעתודה</t>
  </si>
  <si>
    <t>Five forces: first force would patrol commanded by Meir Har-Zion blocked from west to east, second force commanded by Shlomo Baum was blocked to the north, a third force commanded by Aaron David and Elisha whole burst outposts and to Liqiya, power Wednesday, led by Marcel Tobias block south and strength Thursday under Motta Gur was in course and served as a reserve</t>
  </si>
  <si>
    <t>890 + סיירת הצנחנים שהייתה באותו הזמן חלק מהגדוד</t>
  </si>
  <si>
    <t>890 + paratroop commando unit that was at the time part of the battalion</t>
  </si>
  <si>
    <t>, לא ידוע, אולם הייתה זו הפעולה הראשונה במתכונת גדודית מלאה. מתכננה היה אריק שרון.</t>
  </si>
  <si>
    <t>Is not known, but it was the first operation form a full battalion. Planners had Ariel Sharon.</t>
  </si>
  <si>
    <t>מבצע "חצר אדר" פעולת עין קדיס</t>
  </si>
  <si>
    <t>"Operation Maple Yard" eye operation Cadiz</t>
  </si>
  <si>
    <t xml:space="preserve">Border, near the Surif </t>
  </si>
  <si>
    <t>4.12.1954</t>
  </si>
  <si>
    <t>עין קדיס</t>
  </si>
  <si>
    <t>Eye Cadiz</t>
  </si>
  <si>
    <t>12/18/1953</t>
  </si>
  <si>
    <t>Ein Kadis</t>
  </si>
  <si>
    <t>Operation Bricotslmh ; Operation Solomon's Pools</t>
  </si>
  <si>
    <t>0030</t>
  </si>
  <si>
    <t>Beit Nehemia ; Jordan - Solomon's Pools near Bethlehem</t>
  </si>
  <si>
    <t>Hebron Road Bethlehem</t>
  </si>
  <si>
    <t>Departure from the town of Mevo Betar, a deep penetration into Jordan and placing evening is near Solomon's Pools. Both squads commanded by Shlomo Baum and Meir Har-Zion. Ambush in the snow near Solomon's Pools, killing a medical officer of the Legion. Retaliation for the murder of soldiers at Beit Guvrin</t>
  </si>
  <si>
    <t>12/19/1953</t>
  </si>
  <si>
    <t>The operation means ; Operation Beit Ummar and Beit Surif</t>
  </si>
  <si>
    <t>Solomon's Pools ;Jordan - villages of Beit Ummar and Surif near Hebron</t>
  </si>
  <si>
    <t>South West Gush Etzion ;  Beit Ummar and Surif</t>
  </si>
  <si>
    <t>Legion headquarters in tour and says Tzofin ; Injury Guard headquarters and the Jordanian Legion villages mentioned;  Tour violent</t>
  </si>
  <si>
    <t xml:space="preserve">Neve Dekalim </t>
  </si>
  <si>
    <t>12/21/1953</t>
  </si>
  <si>
    <t>Operation Hebron ; "Operation silk gloves" raid on Hebron</t>
  </si>
  <si>
    <t>Tarqumya ; Kibbutz Metzer</t>
  </si>
  <si>
    <t>Hebron ; Tarkumya</t>
  </si>
  <si>
    <t>Power output from Kibbutz Netiv Halamed, Meeting outskirts of Hebron (42 km round trip) and the Jordanian Legion base at Tarqumyia. "Operation silk gloves" Bankruptcy depth through seepage to the outskirts of Hebron. A squad commanded by Meir Har-Zion raided the outskirts of Hebron and a squad led by Eric Schlein raided an army camp near Tarqumyia. Home explosion.</t>
  </si>
  <si>
    <t>מבצע "עין תחת עין" פעולת כיסופים</t>
  </si>
  <si>
    <t>Operation "eye for an eye" act of longing</t>
  </si>
  <si>
    <t>10.7.1954</t>
  </si>
  <si>
    <t>רצועת עזה - מוצב צבאי מצרי בין דיר אל בלח לחאן יונס</t>
  </si>
  <si>
    <t>Gaza Strip - Egyptian military outpost between Deir al-Balah Khan Younis</t>
  </si>
  <si>
    <t>Deir al-Balah Khan Younis</t>
  </si>
  <si>
    <t>Operation Tarqumya ; Operation "Send" function Tarqumyia</t>
  </si>
  <si>
    <t>Gush Etzion ; Tarkumya village near Hebron</t>
  </si>
  <si>
    <t>Southeast Beit Guvrin ; Tarkumya</t>
  </si>
  <si>
    <t>כיבוש המוצב</t>
  </si>
  <si>
    <t>"Operation Send 'raid on Tarqumya and the members of the armed gangs ; Raiding the homes of members of the armed gangs</t>
  </si>
  <si>
    <t>Occupation outpost</t>
  </si>
  <si>
    <t>ארבעה כוחות בסדר גודל של מחלקה בפיקודם של מאיר הר ציון, אלי גוזני, סעדיה אלקיים ועמיקם רחלין, אריק שרון פיקד על במבצע כולו</t>
  </si>
  <si>
    <t>אש נפתחה ממוצב סורי על מכונית אזרחית שנסעה בין גוברים לחוליתא, שבאזור המפורז בגזרת משמר-הירדן. לא היו נפגעים</t>
  </si>
  <si>
    <t>Four forces on the order of a department under the command of Meir Har-Zion, Eli Gozan, Saadia and Amikam Rachlin Elkayam, Arik Sharon commanded the entire operation</t>
  </si>
  <si>
    <t>המבצע הצליח שכן המוצב נכבש. לראשונה נכבש מוצב מבוצר בגדרות, תעלות ושדות מוקשים.</t>
  </si>
  <si>
    <t>12/24/1953</t>
  </si>
  <si>
    <t>The operation succeeded because the post was occupied. Fortified outpost first conquered by fences, trenches and minefields.</t>
  </si>
  <si>
    <t>מפקד המבצע אריק שרון, שאף נפצע ברגלו במהלך הפעולה, הועלה אחריה לדרגת סגן אלוף</t>
  </si>
  <si>
    <t>Operation Gush Etzion ; Operation "Whip" act of Gush Etzion</t>
  </si>
  <si>
    <t>The operation commander Ariel Sharon, who was wounded in the leg during the operation, raised her to the rank of lieutenant colonel</t>
  </si>
  <si>
    <t>Hebron ; Jordanian Legion camp near Bethlehem Road - Hebron</t>
  </si>
  <si>
    <t>Gush Etzion ;  Bethlehem</t>
  </si>
  <si>
    <t>Jordanian Legion camp tour ; Tour Legion camp in Gush Etzion ; Holiihbfikodo Shlomo Baum</t>
  </si>
  <si>
    <t>"חץ שחור"</t>
  </si>
  <si>
    <t>"Black Arrow"</t>
  </si>
  <si>
    <t>28.2.1955</t>
  </si>
  <si>
    <t>עזה</t>
  </si>
  <si>
    <t>גביית מחיר על חדירות מחבלים לראשון לציון ורציחת אזרח מכפר גבירול</t>
  </si>
  <si>
    <t>Charging a price for terrorist infiltrations of Rishon Lezion and the murder of a citizen from Kfar Gabirol</t>
  </si>
  <si>
    <t>תקיפת מחנה צבא מצרי , מכון מים ותחנת רכבת</t>
  </si>
  <si>
    <t>Attack on an Egyptian army camp, Institute of Water and Train Station</t>
  </si>
  <si>
    <t>שתי פלוגות בפיקודם של מוטה גור וסעדייה אלקיים</t>
  </si>
  <si>
    <t>Two companies under the command of Motta Gur and Saadi Elkayam</t>
  </si>
  <si>
    <t>890+ סיירת הצנחנים</t>
  </si>
  <si>
    <t>890+ paratroop commando unit</t>
  </si>
  <si>
    <t>המבצע הצליח, שלושים ושמונה חיילים מצריים נהרגו, אך גם שמונה מחיילי צה"ל, בהם גם המ"פ סעדיה אלקיים</t>
  </si>
  <si>
    <t>The operation was successful, thirty-eight Egyptian soldiers were killed, but eight IDF soldiers, including the commander Saadia Elkayam</t>
  </si>
  <si>
    <t>מדינות העולם תקפו בחריפות את הפעולה ובמועצת האו"ם התקבלה החלטת גינוי לישראל. שלושה קצינים עוטרו בעיטור העוז של חלקם בפעולה: סעדיה אלקיים על הסתערות תחת אש, אהרון דוידי הסמג"ד על פריצה ליעד תחת אש והחלפת מפקד כוח המשנה שנהרג ועוזי עילם, על הסתערות תחת אש חרף פציעה</t>
  </si>
  <si>
    <t>World countries have strongly condemned the action and the UN Council decision to condemn Israel. Three officers were decorated with Medal of Valor of some action: Saadia Elkayam assault under fire, Aharon Davidi, deputy commander of a break destination under fire and the replacement of the commander of killed and Uzi sub-Elam, the Onslaught under fire despite injury</t>
  </si>
  <si>
    <t>"מבצע אגד" פעולת כונתילה.</t>
  </si>
  <si>
    <t>Operation "bundle" Kuntilla operation.</t>
  </si>
  <si>
    <t>27.10.1955</t>
  </si>
  <si>
    <t>מצרים - מצודת כונתילה באזור נחל</t>
  </si>
  <si>
    <t>Egypt - Castle Kuntilla River area</t>
  </si>
  <si>
    <t xml:space="preserve">Kuntilla Castle </t>
  </si>
  <si>
    <t>מוצב מצר פתח באש מקלעים לעבר מכונית של משק גבעת-רחל, באזור המפורז של ניצנה. לא היו נפגעים בין נוסעי המכונית</t>
  </si>
  <si>
    <t>2/1/1954</t>
  </si>
  <si>
    <t>פעולת תגמול בעקבות חדירת צבא מצרי לאיזור ניצנה, כיבוש מוצב צה"ל ליד בארותיים, הריגת חייל ושביית שניים נוספים.</t>
  </si>
  <si>
    <t>Gush Etzion</t>
  </si>
  <si>
    <t>Retaliatory action by the intrusion Egyptian army Nitzana area, occupying an IDF outpost near Be'erotayim, killing soldiers and capture of two others.</t>
  </si>
  <si>
    <t>Chain operations carried out by squads compensation.</t>
  </si>
  <si>
    <t>פשיטת עומק (20 ק"מ לתוך שטח מצרים) במטרה לכבוש את מצודת כונתילה ולקיחת שבויים רבים ככל הניתן</t>
  </si>
  <si>
    <t>Cuvier opposed the action of big government and the IDF operation has been small acts of reprisal squads.</t>
  </si>
  <si>
    <t>Bankruptcy depth (20 km to enter Egyptian territory) in order to occupy the fortress Kuntilla and taking many prisoners as possible</t>
  </si>
  <si>
    <t>כוחות בפיקודם של מאיר הר ציון, רפאל איתן, מוסא עפרון, חיים נדל וטיבי שפירא. אין מספר מדויק של חיילים</t>
  </si>
  <si>
    <t>Forces under the command of Meir Har-Zion, Rafael Eitan, Musa pencil, Chaim Shapiro real and Tibi. There is no exact number of soldiers</t>
  </si>
  <si>
    <t>המבצע הצליח, המצודה נכבשה תוך 20 דקות בלבד ונשבו 30 חיילים מצריים. מבחינה צבאית הייתה זו פעולה ייחודית הן משום עומק התקיפה והן משום שהיוותה דוגמה לדבקות במשימה: לאחר כ15 ק"מ הכוח הגיע לואדי עמוק שלא היה עביר לרכב, הלוחמים המשיכו ברגל והשלימו את המשימה.</t>
  </si>
  <si>
    <t>The operation was successful, the fortress was conquered in just 20 minutes and 30 Egyptian soldiers were captured. Militarily it was a unique action both because the depth of the attack and because constituted an example of perseverance: After about 15 km deep wadi came to power there was impassable for vehicles, fighters continued on foot and complete it.</t>
  </si>
  <si>
    <t>שני לוחמים עוטרו בעיטור העוז על חלקם בפעולה: רב"ט אמנון אבוקאי על פריצה לעמדות אויב תחת אש עד שנפצע באורך אנוש ולסרן רפאל איתן על הסתערות לאחר טיפוס במצוק תלול. הלוחם טוראי יעקב מזרחי עוטר בעיטור הגבורה לאחר שהסתער בעצמו על קבוצת חיילי אויב.</t>
  </si>
  <si>
    <t>Both fighters were decorated with Medal of Valor for some action: Corporal Amnon Abokai burglary enemy positions under fire until he was injured and Human length captain Rafael assault after climbing a steep cliff. Warrior Corporal Jacob Oriental decorated with bravery after he lunged himself on a group of enemy soldiers.</t>
  </si>
  <si>
    <t>"מבצע אלקיים " פעולת חאן יונס</t>
  </si>
  <si>
    <t>"Operation Elkayam" operation in Khan Yunis</t>
  </si>
  <si>
    <t>31.8.1955</t>
  </si>
  <si>
    <t>חאן יונס</t>
  </si>
  <si>
    <t>Khan Younis</t>
  </si>
  <si>
    <t>פגיעה במיפקדה ששימשה בסיס לפדאין ולחטיבה הפלסטינית בצבא המצרי.</t>
  </si>
  <si>
    <t>Injury Fedayeen headquarters and served as a Palestinian brigade in the Egyptian army.</t>
  </si>
  <si>
    <t>פשיטה, כבישת המפקדה ופיצוצה. בפעולה זו נע לראשונה הכוח הפושט על גבי זחלמ"ים</t>
  </si>
  <si>
    <t>Raid, pressing headquarters and detonated. This action moves the first time Asante force on Zhlm"im</t>
  </si>
  <si>
    <t>שלוש פלוגות מגדוד 890: ד' בפיקוד מוטה גור, ה' בפיקוד רפאל איתן, א' בפיקוד בפיקוד עוזי עילם. אהרון דוידי החליף את גור לאחר שנפצע בפריצה למפקדה</t>
  </si>
  <si>
    <t>Three troops from Battalion 890 D. Command Motta Gur, the Lord commanded by Rafael Eitan, A. Command Command Uzi Elam. Aaron David replaced the puppy after being injured breaking into the headquarters</t>
  </si>
  <si>
    <t>מסתננים מצרים חדרו עם עדריהם לתוך שטח ישראל, בשדות נחל-עוז. אנשי המשק פתחו לעברם באש והבריחו אותם. מוצבים מצרים חיפו עליהם והמטירו אש</t>
  </si>
  <si>
    <t>המבצע הצליח, מוצב ליד הכפר עבסאן נכבש, בניין המשטרה(מצודה בריטית מבוצרת מדגם "טיגארט") פוצץ, מסילת ברזל, בתים בכפר עבסאן ובית חולים סמוך נפגעו גם הם. לכוח הפושט היו הרוג ואחד עשר פצועים ולמצרים שבעים ושניים הרוגים וחמישים ושמונה פצועים</t>
  </si>
  <si>
    <t>The operation was successful, stationed near the village Absan occupied the police station (British fort fortified sample "Tigart") was blown up railway tracks, houses in Absan and a hospital nearby were also hit. Asante force were killed and eleven wounded, and Egypt seventy-two dead and fifty-eight wounded</t>
  </si>
  <si>
    <t>לא ידוע, אולם פעולה זו נחשבת לאחת הפעולות המוצלחות ביותר של הצנחנים בשנות החמישים. שני קצינים עוטרו בעיטור העוז על חלקם בפעולה: מוטה גור על גילוי יוזמה והסתערות חרף פציעה ומשה סטמפל על שלחם לאחר נפגע מצרור ברגליו</t>
  </si>
  <si>
    <t>Not known, however, this action is considered one of the most successful operations of paratroopers in the fifties. Two officers were decorated with Medal of Valor for some action: Motta Gur to demonstrate initiative and assault despite injury and Moshe Stempel bread after he was hit in his legs</t>
  </si>
  <si>
    <t>"מבצע גפן" פעולת ניצנה</t>
  </si>
  <si>
    <t>אחר הצהריים</t>
  </si>
  <si>
    <t>Operation "Cotton" act of Nitzana</t>
  </si>
  <si>
    <t>22.9. - 2.10.1955</t>
  </si>
  <si>
    <t>אזור ניצנה - שטח מפורז בין ישראל למצרים</t>
  </si>
  <si>
    <t>Nitzana area - a demilitarized zone between Israel and Egypt</t>
  </si>
  <si>
    <t>הסגת הכוחות המצריים משטח שהיה אמור להיות מפורז</t>
  </si>
  <si>
    <t>The withdrawal of Egyptian forces in the area was supposed to be demilitarized</t>
  </si>
  <si>
    <t>כניסה של כוח בפיקודו של מאיר הר ציון אל השטח, השתלטות על מטה משקיפי האו"ם ועצירה של כוח השומרים המצריים ששהה במקום.</t>
  </si>
  <si>
    <t>Login force commanded by Meir Har-Zion to the area, taking over the headquarters of the UN observers and stopping power of the Egyptian guard who was there.</t>
  </si>
  <si>
    <t>המבצע הצליח, במהלך ההשתלטות נפצעו כמה חיילים מצריים ולאחר מו"מ לפינוי כוח הצנחנים הוחלט על פינוי הדדי של כל הכוחות הצבאיים: הצנחנים נסוגו ואילו המצרים הסיגו את כוחותיהם משני המוצבים הצבאיים שהקימו בשטח המפורז</t>
  </si>
  <si>
    <t>The operation was successful, the takeover injured several Egyptian soldiers and paratroopers to evacuate negotiations, it was decided to evacuate the reciprocal of the armed forces: the paratroopers retreated while the Egyptians were told to pull their forces from two military outposts set up by the demilitarized zone</t>
  </si>
  <si>
    <t>דניאל זרגני</t>
  </si>
  <si>
    <t>9/22/1955 - 10/2/1955</t>
  </si>
  <si>
    <t>"מבצע הר געש" פעולת צבחה</t>
  </si>
  <si>
    <t>"Operation Volcano" operation Tzavha</t>
  </si>
  <si>
    <t>2.11.1955</t>
  </si>
  <si>
    <t>מוצבים מצריים בשטח המפורז בניצנה ומוצב מצרי אחד שנבנה בשטח ישראל</t>
  </si>
  <si>
    <t>Egyptian military posts in the demilitarized zone in Nitzana and an Egyptian outpost was built on Israeli territory</t>
  </si>
  <si>
    <t>מסתננים מצרים זרקו שני רימונים לתוך אחד הבתים של מושב פטיש. שלושה אנשים נפצעו</t>
  </si>
  <si>
    <t>גביית מחיר מהמצרים על הפרת הסכם שביתת הנשק שנחתם עימם, כיבוש והסגת הכוחות המצרים ממוצבים שנבנו בניגוד להסכם</t>
  </si>
  <si>
    <t>Egyptians price collection for violating the armistice agreement signed with them, and the withdrawal of occupation forces positioned Egyptians built contrary to the agreement</t>
  </si>
  <si>
    <t>פשיטה על 7 מוצבים שבוצעה ע"י כוחות צנחנים וגולני, קודם לכן בוצעה הפגזה ארטילרית וזאת לאור תצפיות ונתוני מודיעין.</t>
  </si>
  <si>
    <t>7 raid carried out by forces stationed paratroopers and Golani previously carried artillery shelling in view of the observations and intelligence data.</t>
  </si>
  <si>
    <t>אריק שרון המג"ד ואהרון דוידי הסמג"ד פיקדו על כוח צנחנים שהורכב חמש פלוגות ועליו הוטל לכבוש ולטהר 4 מוצבים ועל כוח גולני שהורכב מארבע פלוגות, הוטל לטהר ולכבוש שלושה מוצבים</t>
  </si>
  <si>
    <t>2200</t>
  </si>
  <si>
    <t>Sharon commander and deputy commander Aharon Davidi commanded a paratrooper unit consisting of five companies and given the task to conquer and purify four outposts and Golani force consisting of four companies was required to purge and capture three outposts</t>
  </si>
  <si>
    <t>גדוד 890 + סיירת הצנחנים + כוחות גולני + סיירת גולני</t>
  </si>
  <si>
    <t>Reconnaissance battalion Paratrooper 890 + + + Sayeret Golani Golani</t>
  </si>
  <si>
    <t>כל המבצע כולו פיקד מח"ט גולני אל"מ חיים בן דוד, מה שאומר שכוחות הצנחנים הוכפפו אליו, אולם במהלך המבצע לא הייתה כל תקשורת בינו לבין מג"ד הצנחנים אריק שרון למעט דיווח ביציאה למשימה ובחזרה ממנה. קיימות שתי סברות לעובדה הנ"ל: האחת כי אריק שרון נפגע מהכפפתו למח"ט גולני וסרב ליצור איתו קשר והשנייה כי לאור ריבוי היעדים, אופי השטח וכיווני התקדמות שונים, יצא כי כל יחידה הייתה עצמאית לחלוטין במרחב פעולתה</t>
  </si>
  <si>
    <t>The entire enterprise commanded the Golani Brigade commander Col. Haim Ben David, which means that the forces paratroopers were subordinated to him, but during the operation, there was no communication between him and Sharon paratroop battalion commander exception reporting exit to and from the job. There are two theories facts are " to: one that Sharon was hit subjecting the Golani brigade commander and refused to contact him and the other that the light of the many objectives, the nature of the area and the different directions of progress, was that each unit was fully independent in its operation</t>
  </si>
  <si>
    <t>המבצע הצליח, המוצבים נכבשו וטוהרו, למצרים נהרגו כשבעים חיילים וארבעים ושמונה נלקחו בשבי. בנוסף נלקח שלל רב שכלל נשק, רכבים ותחמושת רבה.לצה"ל שישה חללים ושלושים ושבעה פצועים ייחודו של מבצע זה הוא שהוא היה המבצע הנרחב ביותר שערך צה"ל מאז מלחמת העצמאות. בפעם הראשונה הופעלו כחות ברמה החטיבתית הכוללות סיוע ארטילרינרחב כמו גם השתתפות של פלוגות צנחני מילואים.</t>
  </si>
  <si>
    <t>The operation was successful, the posts were conquered and purified, Egypt seventy soldiers were killed and forty-eight were captured. In addition booty taken involving weapons, vehicles and ammunition Rbh.ltzh"l six dead and thirty-seven wounded uniqueness of this campaign is that it was the most extensive operation conducted by the army since the Revolutionary War. For the first time the powers were used regimental level, including assistance Artilrinrhb as well as the participation of companies Paratroopers reserve.</t>
  </si>
  <si>
    <t>הצנחנים סג"מ ישי צימרמן וטוראי יצחק בבסקי עוטרו בעיטור העוז על הסתערות תחת האש, סרן קלמן מגן מגולני עוטר גם הוא בעיטור העוז על שהמשיך לפקד על חייליו לאחר שנצע קשה ברגלו והמשיך לפקד תוך שהוא מפונה רק אחרי אחרון פקודיו, טוראי דן שלף מהנח"ל עוטר בעיטור העוז על שנטל את הפיקוד על הכוח לאחר שנפצעו מפקדיו וגילה תעוזה ואמץ לב.</t>
  </si>
  <si>
    <t>Paratroopers Lt. Jesse Zimmerman and Corporal Isaac Levski were decorated with Medal of Valor for assault under the fire, Capt Kalman protects the Golani Brigade was decorated also a Medal of Valor for continuing to command the troops after Sntza hard in the leg and went on to command as he cleared only after the last of his subordinates, Corporal Dan pulled Place " the decorated with the Medal of Valor took over command of the force after the injured officers and showed courage and bravery.</t>
  </si>
  <si>
    <t>בתום המבצע חזר אזור ניצנה לריבונות ישראל. ארבעה לוחמים זכו לקבל את עיטור העוז בעקבות המבצע (לא ידוע מי מהם השתייך לכוחות הצנחנים), מבצע זה היה הנרחב ביותר שערך צה"ל מאז מלחמת העצמאות.</t>
  </si>
  <si>
    <t>"מבצע עלי זית" פעולת כנרת</t>
  </si>
  <si>
    <t>"Operation Olive Leaf" Operation Sea of ​​Galilee</t>
  </si>
  <si>
    <t>11.12.1955</t>
  </si>
  <si>
    <t>סוריה - מוצבי הצבא הסורי בצפון ובמזרח הכנרת</t>
  </si>
  <si>
    <t>Syria - Syrian army outposts north and east of Galilee</t>
  </si>
  <si>
    <t>אש נפתחה ממוצב סורי לעבר קבוצת חברי משק גונן אשר היו בשדות. אנשי המשק השיבו אש. לא היו נפגעים</t>
  </si>
  <si>
    <t>הקברניטים ( הדרג המדיני) לא היו מעורבים במבצע, לכן גם לא אישרו אותו ואת יעדיו</t>
  </si>
  <si>
    <t>Leaders (political leadership) were not involved in the operation, therefore, did not approve it and the objectives</t>
  </si>
  <si>
    <t>כיבוש ופיצוץ כל המוצבים הסוריים בצפון ובמזרח הכנרת. הכוחו תקפו מכיוונים שונים, ובכלל זה גם נחתו מהים.</t>
  </si>
  <si>
    <t>Occupation and blast all the Syrian position north and east of Galilee. Forces attacked from various quarters, including the landing from the sea.</t>
  </si>
  <si>
    <t>הכוחות כללו את צנחנים גדוד 890, בכלל זה לוחמי הסיירת, חיילי נח"ל ופלוגה מחטיבת גבעתי. כמו כן השתתפו במבצע כוחות חיל הים שהנחיתו את פלוגה ד' של 890, כוחות ארטילריה וחיל האוויר שעזר לתאם בין הכוחות</t>
  </si>
  <si>
    <t>Forces paratrooper regiment included 890, including fighters patrol, and the soldiers of Infantry Battalion of the Givati. It also took part naval forces landed the Company D of the 890th, artillery and air force helped coordinate forces</t>
  </si>
  <si>
    <t>צנחנים+ סיירת הצנחנים, נח"ל, גבעתי, חיל הים, תותחנים, חיל האוויר</t>
  </si>
  <si>
    <t>+ Paratroopers Paratroopers commando unit, Nahal, Givati, navy, artillery, air force</t>
  </si>
  <si>
    <t>3/28/1954</t>
  </si>
  <si>
    <t>Operation Nahlin ; "Operation Lion"</t>
  </si>
  <si>
    <t>Gaza; Jordan - near the village of Nahlin near Gush Etzion</t>
  </si>
  <si>
    <t>South West Bethlehem north to Gush Etzion; Nahlin</t>
  </si>
  <si>
    <t xml:space="preserve">Following the massacre in incurring cost bus traveling up the scorpion and murder watchman living room. Force led by deputy commander David raiding Nahlin, Mukhtar hits and destroys homes.Initially encountered an ambush force, charges at him and kill him. Sixty fighters participated in the operation under the command of Ariel Sharon, fresh battalion of 890 + 101. The force, commanded by Meir Har-Zion came out from the town of Mevo Betar, three classes were held on the roads leading Nahlin force under the command of Aaron David raided the village. </t>
  </si>
  <si>
    <t>המוצבים הסורים נכבשו ונהרסו, כחמישים חיילים סורים נהרגו ושלושים נשבו ונתפסה כמות גדולה של שלל. לצה"ל היו שישה הרוגים וארבעה עשר פצועים.</t>
  </si>
  <si>
    <t>מסתננים מרצועת עזה ירו על טרקטוריסט אשר חרש בסביבות ניר-עם בנגב. הטרקטוריסט השיב אש. אין נפגעים</t>
  </si>
  <si>
    <t>Syrian positions were overrun and destroyed, fifty Syrian soldiers were killed and thirty were captured and caught a large amount of booty. The IDF suffered six dead and fourteen wounded.</t>
  </si>
  <si>
    <t>הקצינים מאיר הר ציון ועובד לדיז'ינסקי עוטרו בעיטור העוז על חלקם בפעולה על שהובילו ופיקדו תחת אש</t>
  </si>
  <si>
    <t>4/2/1954</t>
  </si>
  <si>
    <t>Officers Meir Har-Zion and works Ldiz'inski decorated with Medal of Valor for their part in the operation led and commanded under fire</t>
  </si>
  <si>
    <t>Perception of Egyptian soldiers ; "Operation cigarette"</t>
  </si>
  <si>
    <t>Bethlehem; Egypt - Gaza Strip</t>
  </si>
  <si>
    <t>אף על פי שהמוצבים הסוריים נכבשו ונהרסו, הפעולה התקבלה באי הבנה ע"י הציבור הישראלי. בעיתונות נמתחה ביקורת קשה על הפעולה, שהתקיימה ללא אישור, בשעה שנאשו מאמצים לרכש מאסיבי של נשק מארה"ב. שר החוץ משה שרת קיבל את הידיעה על הפעולה עת שהה בארה"ב בעניין הנ"ל ומיהר לגנות את הפעולה. גם בזירה בני"ל ספגה ישראל גינויים רבים, וממשלת ארה"ב ענתה בשלילה לבקשת הרכש הישראלית. בישיבת הממשלה שנערכה לאחר הפעולה, נקבע כי מעתה ואילך יש לקבל את אישורה של כל הממשלה לפעולות הגמול.</t>
  </si>
  <si>
    <t>Ambush near the Rafah raid on an outpost near Gaza</t>
  </si>
  <si>
    <t>Operation designed to catch Egyptian prisoners for the purpose of replacing the Israeli soldier kidnapped on 25/03/1954. Egyptian patrol jeep injury ranging Mir Gaza - to Saba. Battalion force of 890 officers - the force is not known</t>
  </si>
  <si>
    <t>"מבצע פלשת" פעולת רפיח</t>
  </si>
  <si>
    <t>"Operation Philistine" Rafah operation</t>
  </si>
  <si>
    <t>29.8.1955</t>
  </si>
  <si>
    <t>רפיח</t>
  </si>
  <si>
    <t>גביית מחיר בעקבות חדירת חוליות פדאין לאשקלון והריגת חיילים ע"י מוקש ליד קיבוץ בארי</t>
  </si>
  <si>
    <t>Collection of price by the intrusion of Ashkelon fedayeen cells and killing of soldiers by a mine near Kibbutz Be'eri</t>
  </si>
  <si>
    <t>פשיטה על מוצבים ומחנות של הצבא המצרי באיזור רפיח</t>
  </si>
  <si>
    <t>Raiding outposts and camps of the Egyptian army in Rafah</t>
  </si>
  <si>
    <t>פלוגה ד' בפיקודו של מוטה גור</t>
  </si>
  <si>
    <t>Company D under the command of Motta Gur</t>
  </si>
  <si>
    <t>המבצע הצליח שכן בדרכם ליעדים, נתקלה אחת החוליות במארב מצרי, הסתערה עליו וחיסלה אותו</t>
  </si>
  <si>
    <t>The operation succeeded because on their way to destinations, one of the squads encountered an Egyptian ambush, pounced on him and killed him</t>
  </si>
  <si>
    <t>"מבצע שעיר" פעולת בית המכס</t>
  </si>
  <si>
    <t>Operation "hairy" customs house operation</t>
  </si>
  <si>
    <t>22.10.1955</t>
  </si>
  <si>
    <t>בדואים ישראלים שרעו את עדרם דרומה מב,ש הותקפו ע"י קבוצה גדולה של מסתננים חמושים. אחד נהרג, שני נפצע והשלישי נחטף עם העדר</t>
  </si>
  <si>
    <t>סוריה - רמת הגולן</t>
  </si>
  <si>
    <t>Syria - Golan Heights</t>
  </si>
  <si>
    <t>Golan Heights</t>
  </si>
  <si>
    <t>שביית חיילים סורים על מנת לשחרר את חייל יעקב מינסקי, חייל נח"ל שנחטף ואת שבויי מבצע "צרצר"</t>
  </si>
  <si>
    <t>Capture of Syrian soldiers in order to free the soldier Jacob Minsky, Nahal soldier who was kidnapped and prisoners of operation "cricket"</t>
  </si>
  <si>
    <t>תקיפת בסיס הצבא הסורי בבית המכס ותקיפת מוצב "עורפייה" צפונית לגשר בנות יעקב</t>
  </si>
  <si>
    <t>Syrian army attack on a customs house and the attack on the outpost "Aorfiih" north of Gesher Benot Ya'akov</t>
  </si>
  <si>
    <t>בפשיטה על בית המכס השתתפו כוחות בפיקודם של טיבי שפירא, אריה בירו, עובד לדז'ינסקי ויואב שחם, על עורפייה השתלטו כוחות בפיקודם של מאיר הר ציון, דני מט ומוסא עפרון. אין מספר חיילים מדויק</t>
  </si>
  <si>
    <t>Customs raid on a house under the command of forces participated Tibi Shapiro, Leo Biro, work and Yoav Shaham After obtaining, on Aorfiih commanded forces took control of Meir Har-Zion, Danny Matt and Musa pencil. There is no exact number of soldiers</t>
  </si>
  <si>
    <t>המבצע הצליח, בחילופי האש נהרגו מספר חיילים סוריים ונשבו ארבעה חיילים וקצין סורי בן העדה הצ'רקסית. לא היו נפגעים לצנחנים</t>
  </si>
  <si>
    <t>The operation was successful, the exchange of fire a number of Syrian soldiers were killed and four soldiers were taken prisoner and officer-year-old Syrian Circassian community. There were no casualties for the paratroopers</t>
  </si>
  <si>
    <t>"נחשונים"</t>
  </si>
  <si>
    <t>"Nahshonim"</t>
  </si>
  <si>
    <t>כנופייה סורית רצחה שומר יערות דרוזי ליד בית-ג'אן</t>
  </si>
  <si>
    <t>סוף 55</t>
  </si>
  <si>
    <t>מפרץ טאבה - מצרים</t>
  </si>
  <si>
    <t>Bay Taba - Egypt</t>
  </si>
  <si>
    <t>Bay of Taba</t>
  </si>
  <si>
    <t>פגיעה בפריגטה מצרית שעגנה מדי פעם במפרץ טאבה, לאחר שפתחה באש על מטוס ישראלי והייתה חלק מהכוחות המצריים שיועדו להטיל סגר ימי על אילת</t>
  </si>
  <si>
    <t>Egyptian frigate moored injury occasionally in the Gulf of Taba, after opening fire on Israeli aircraft and was part of the Egyptian forces intended to impose a blockade on Eilat</t>
  </si>
  <si>
    <t>חתירה בקיאיקים למפרץ בכוונה למקש את הפריגטה</t>
  </si>
  <si>
    <t>Rowing Bkiaikim the key intention of bay frigate</t>
  </si>
  <si>
    <t>קבוצת לוחמים - מספר לא ידוע</t>
  </si>
  <si>
    <t>A group of fighters - an unknown number</t>
  </si>
  <si>
    <t>שייטת 13</t>
  </si>
  <si>
    <t>Flotilla 13</t>
  </si>
  <si>
    <t>המבצע לא הצליח שכן אף על פי שהכוח ארב לפריגטה במשך מספר לילות, היא לא הגיעה לעגון במפרץ</t>
  </si>
  <si>
    <t>The operation did not succeed because even though the power lay in wait for several nights frigate, she did not come to anchor in the bay</t>
  </si>
  <si>
    <t>"עלי זית"</t>
  </si>
  <si>
    <t>"olive leaves"</t>
  </si>
  <si>
    <t>מוצבי סוריים בחופה המזרחי של הכנרת</t>
  </si>
  <si>
    <t>Syrian outposts on the eastern shore of the Sea of ​​Galilee</t>
  </si>
  <si>
    <t>Sea of ​​Galilee</t>
  </si>
  <si>
    <t>תגמול על התנכוליות סוריות בלתי פוסקות לדייגים ישראלים ותקריות אש באזור</t>
  </si>
  <si>
    <t>Htncoliot reward for incessant Syrian and Israeli fishermen in fire incidents</t>
  </si>
  <si>
    <t>פשיטה של כוחות חי"ר על המוצבים</t>
  </si>
  <si>
    <t>Infantry forces raid the outposts</t>
  </si>
  <si>
    <t>כוחות צנחנים וגבעתי, שתי ספינות דיג וסירות גומי להובלת הכוחות</t>
  </si>
  <si>
    <t>Paratroopers and Givati, two fishing boats and rubber boats for transporting troops</t>
  </si>
  <si>
    <t>משמר סיור ישראלי הותקף ביריות ממוצב מצרי בקרבת מפלסים. הסיור כבש את המוצב והמצרים ירו מרגמות על נחל-עוז</t>
  </si>
  <si>
    <t>צנחנים, גבעתי ושייטת 13</t>
  </si>
  <si>
    <t>Paratroopers, Givati ​​and Flotilla 13</t>
  </si>
  <si>
    <t>Intelligence gathering near the Saudi coast; Maritime ptrol; Boat civil engine installed on her machine guns and radios. Seven soldiers, including fighters and intelligence</t>
  </si>
  <si>
    <t>המבצע הצליח, המוצבים פוצצו. לצה"ל היו שישה הרוגים וארבעה עשר פצועים. לוחמי שייטת 13 לא שולבו בלחימה. פעולתם במסגרת המבצע הייתה סיור מודיעין חשאי לאורך החוף</t>
  </si>
  <si>
    <t>The operation was successful, stationed blown. The IDF suffered six dead and fourteen wounded. Flotilla 13 fighters were not included in the fighting. Operation as part of the operation was secret intelligence tour along the coast</t>
  </si>
  <si>
    <t>"רירי"</t>
  </si>
  <si>
    <t>"mucous"</t>
  </si>
  <si>
    <t>25.6.55</t>
  </si>
  <si>
    <t>חופי ביירות</t>
  </si>
  <si>
    <t>The coast of Beirut</t>
  </si>
  <si>
    <t xml:space="preserve">Trans-Samaria Highway near the Barkan industrial zone </t>
  </si>
  <si>
    <t>מפקד השייטת איזי רהב, קיווה להעלות את כושר הלחימה, הביטחון העצמי והמורל של לוחמי שייטת 13 שהיו מתוסכלים מבטלה בשעה ששארלוחמי צה"ל ביצעו מבצעים יבשתיים גדולים</t>
  </si>
  <si>
    <t>Easy-wide fleet commander, had hoped to raise the fighting ability, confidence and morale of Flotilla 13 fighters were frustrated idleness at Ssarlohmi army carried out large land deals</t>
  </si>
  <si>
    <t>הגעה על סטי"ל עד כ37 ק"מ מהחוף, ירידה לסירת "ציפור" וירידת הצוללים למים כ500 מ' משובר הגלים ולאחר מכן חדירה שקטה לנמל</t>
  </si>
  <si>
    <t>Check the missile boat up to approximately 37 km from the coast, down boat "Bird" and the decline of divers into the water about 500 meters from the breakwater and then penetrate quiet port</t>
  </si>
  <si>
    <t>אח"י נגה, סירת "ציפור", 4 צוללים</t>
  </si>
  <si>
    <t>INS Nga, launches "bird", four divers</t>
  </si>
  <si>
    <t>שייטת 13 ושייטת הסטי"לים</t>
  </si>
  <si>
    <t>Squadron 13 and Squadron missile boats</t>
  </si>
  <si>
    <t>המבצע הצליח, נאסף מידע מודיעיני על הנמל ואף על פיששומר בנמל גילה את הצוללים בירידתם חזרה למים, הם חזרו ללא פגע ובלי שנורתה ירייה אחת, הייתה זו חדירה ראשונה לנמל ערבי גדול</t>
  </si>
  <si>
    <t>The operation was successful, gathered intelligence on the port and the port Fissomr divers discovered the decrease back in the water, they returned unharmed and without a single shot being fired, it was the first intrusion large Arab port</t>
  </si>
  <si>
    <t>ביצוע סיורים נוספים כחלק מהכנת תיקי יעדים לקראת מלחמה</t>
  </si>
  <si>
    <t>Additional patrols as part of the preparation for war veterans Destinations</t>
  </si>
  <si>
    <t>אין שם - סיור בשפך נהר אל - כלב בלבנון</t>
  </si>
  <si>
    <t>There - a tour to the estuary - Dog Lebanon</t>
  </si>
  <si>
    <t>19.8.55</t>
  </si>
  <si>
    <t>שפך נהר אל - כלב בלבנון</t>
  </si>
  <si>
    <t>Estuary to - dog Lebanon</t>
  </si>
  <si>
    <t>מארב מצרי הרג תושב יד-מרדכי, מסתננים פתחו באש על רכבים בכבישי הנגב</t>
  </si>
  <si>
    <t>בדיקת האפשרות להכנסה עתידית של סירות נפץ לתוך הנהר כדי לחבל בגשר שמעליו</t>
  </si>
  <si>
    <t>Examine the possibility of future income of explosives into the river boats to sabotage bridged</t>
  </si>
  <si>
    <t>הגעה עדסמוך לשפך על סיפון אח"י נגה, ירידת הלוחמים שחייתם לעבר היעד וביצוע בדיקות</t>
  </si>
  <si>
    <t>Check Adsmoc estuary aboard the INS Venus, the decline fighters that you have lived at the target and testing</t>
  </si>
  <si>
    <t>אח"י נגה ומספר לא ידוע של לוחמים</t>
  </si>
  <si>
    <t>INS Venus and an unknown number of combatants</t>
  </si>
  <si>
    <t>שייטת 13 ושייטת הסט"לים</t>
  </si>
  <si>
    <t>לאורך כל היום</t>
  </si>
  <si>
    <t>Squadron 13 and Squadron Hst"lim</t>
  </si>
  <si>
    <t>המבצע הצליח, בסופו נקבע כי בשל מפלס המים אין שום אפשרות להיכנס אליו בסתיו ובקיץ</t>
  </si>
  <si>
    <t>The operation succeeded, after it was determined that due to the water level there is no possibility of entering in the fall and summer</t>
  </si>
  <si>
    <t>"חסידה"</t>
  </si>
  <si>
    <t>"stork"</t>
  </si>
  <si>
    <t>1.11.56, התחלה ב20:00</t>
  </si>
  <si>
    <t>מפרץ שארם א- שייח'</t>
  </si>
  <si>
    <t>Bay Sharm el Sheikh</t>
  </si>
  <si>
    <t>Sharm el Sheikh</t>
  </si>
  <si>
    <t>פגיעה בפריגטה מצרית שעגנה במפרץ</t>
  </si>
  <si>
    <t>Injury Egyptian frigate moored in the Gulf</t>
  </si>
  <si>
    <t>הצנחת לוחמים וקיאקים ממונעים ממטוסי דקוטה, חתירה, שחייה ומיקוש הפריגטה ואיסוף ע"י ספינת מנוע חמושה לאחר ביצוע הפעולה</t>
  </si>
  <si>
    <t>Drop fighters and motorized planes Dakota kayaking, rowing, swimming and laying mines frigate and collection by motor boat armed after the action</t>
  </si>
  <si>
    <t>מטוס דקוטה ולוחמי שייטת 13 - מספר לא ידוע</t>
  </si>
  <si>
    <t>Dakota and 13 naval fighters - an unknown number</t>
  </si>
  <si>
    <t>שייטת 13 + חיל האוויר</t>
  </si>
  <si>
    <t>+ 13 Squadron Air Force</t>
  </si>
  <si>
    <t>הפעולה לא יצאה אל הפועל מאחר והטייסים לא איתרו את נקודת ההצנחה המדויקת ואיבדו את התמצאותם במרחב האווירי, לאחר שאיתרו מחדש את מיקומם היה זה מאוחר מדי מאחר ולא נותר מספיק דלק במטוס</t>
  </si>
  <si>
    <t>The operation was not carried out because the pilots did not detect the precise airdrop point and lost their orientation airspace, having identified the location again it was too late because not enough fuel left to the plane</t>
  </si>
  <si>
    <t>מסתננים מצרים פוצצו את בית הבאר של משק ניר-גלים, 15 ק"מ מערבית לרחובות</t>
  </si>
  <si>
    <t>"מבצע גוליבר" פעולת ע'רדנל</t>
  </si>
  <si>
    <t>"Operation Gulliver" operation A'rdnl</t>
  </si>
  <si>
    <t>13.9.1956</t>
  </si>
  <si>
    <t>ירדן - תחנת הלגיון בערדנל (מקביל לדרום כביש הערבה)</t>
  </si>
  <si>
    <t>6/29/1954</t>
  </si>
  <si>
    <t>Jordan - Legion Bardnl station (south road parallel to the prairie)</t>
  </si>
  <si>
    <t>Operation Azun ; "Welcome 1" -faolt Azun</t>
  </si>
  <si>
    <t>Rafah : Jordan - Jordanian Legion camp near the village of Azzun</t>
  </si>
  <si>
    <t>Ardanel</t>
  </si>
  <si>
    <t>Qalqilya Alfei Menashe Top Bank near the village of Azun</t>
  </si>
  <si>
    <t>Retaliation following the murder of a farmer in the fields Raanana - Kfar Saba by infiltrators from the Jordanian army. Seven fighters of Battalion 890 under the command of Meir Har-Zion and Aharon David.i Power under Doiidi raid the Jordanian army base near the village of Azzun. Gibli was wounded and left on the ground. See testimony Slglad Jerry Harel.</t>
  </si>
  <si>
    <t>גביית מחיר על מארב ירדני על אוטובוס אזרחי על כביש הערבה ב16.8.1956 בו נהרגו אישה ושלושה צנחנים שהיו ברכב ליווי, וגביית מחיר על רציחתם של שלושה שומרים דרוזים במחנה הקידוח "עין עופרים" ליד חצבה ב12.9.1956</t>
  </si>
  <si>
    <t>Collection Jordanian price ambush on a civilian bus on the Arava road on 08/16/1956, killing a woman and three paratroopers who escort vehicle, and charging a price for the murder of three Druze guards drilling in "Ein Ofarim" at Hazeva on 12/09/1956</t>
  </si>
  <si>
    <t>כיבוש והריסת בניין משטרת ע'רדנל</t>
  </si>
  <si>
    <t>Conquest and destroying a police A'rdnl</t>
  </si>
  <si>
    <t>שלוש פלוגות מגדוד 890 ופלוגת קורס מכ"ים מגדוד 88</t>
  </si>
  <si>
    <t>Three troops from Battalion 890 and Battalion Detachment our NCO Course 88</t>
  </si>
  <si>
    <t>גדוד 88 של הנח"ל המוצנח וגדוד 890</t>
  </si>
  <si>
    <t>88 of the Nahal Brigade and Battalion 890 Airborne</t>
  </si>
  <si>
    <t>המבצע הצליח, תחנת המשטרה נהרסה ושישה עשר חיילים ירדנים נהרגו. לצנחנים היה הרוג אחד ושנים עשר פצועים</t>
  </si>
  <si>
    <t>The operation was successful, the police station was destroyed and sixteen Jordanian soldiers were killed. One of the paratroopers were killed and twelve wounded</t>
  </si>
  <si>
    <t>"מבצע יהונתן", פעולת א-רהווה</t>
  </si>
  <si>
    <t>"Operation Thunderbolt", a function-Rhooh</t>
  </si>
  <si>
    <t>11.9.1956</t>
  </si>
  <si>
    <t>בניין המשטרה הירדנית ב- רהווה, סמוך לכביש חברון - באר שבע</t>
  </si>
  <si>
    <t>Jordanian police building in Rhooh, near the Hebron - Beer Sheva</t>
  </si>
  <si>
    <t>Rahwah</t>
  </si>
  <si>
    <t>גביית מחיר על רציחתם של שישה חיילי מילואים ופציעתם של שלושה ע"י חיילי הלגיון הירדני בשטח אימונים ליד היישוב אמציה כיום לפני המבצע</t>
  </si>
  <si>
    <t>Charging a price for the murder of six reserve soldiers and the wounding of three by the Jordanian Legion soldiers training area near the town Amazya currently before the operation</t>
  </si>
  <si>
    <t>פשיטה על בניין המשטרה, טיהור התעלות מסביב לתחנה וחסימת תגבורת ירדנית מכיוון דהרייה</t>
  </si>
  <si>
    <t>Police raided the building, cleaning the ditches around the station and blocking Jordanian reinforcements because Dahariyya</t>
  </si>
  <si>
    <t>צנחנים מגדוד 890 ומגדוד 88 וסיירת הצנחנים</t>
  </si>
  <si>
    <t>שלושה נהרגו ואחד נפצע בהתקפת רימונים ואש מנשק אוטומטית על רכב שנסע בסביבות כפר מנחם</t>
  </si>
  <si>
    <t>Paratroopers Battalion 890 and Battalion 88 and paratroop commando unit</t>
  </si>
  <si>
    <t>גדודי צנחנים 88 +890+סיירת צנחנים</t>
  </si>
  <si>
    <t>88 battalions of paratroopers paratroops +890+</t>
  </si>
  <si>
    <t>המבצע הצליח, בניין המשטרה פוצץ, תגבורת הלגיון נבלמה ונגרמולה אבדות כבדות. מפקד הסיירת מאיר הר ציון, נפצע קשה לאחר הפריצה לשטח המחנה וסגנו מיכה בן ארי, שלקח את הפיקוד במקומו, נפצע אף הוא.</t>
  </si>
  <si>
    <t>The operation was successful, blasted police building, Legion reinforcements halted and Ngrmolh heavy losses. Patrol Commander Meir Har-Zion, was seriously injured after a break-in into the camp and his deputy Micha Ben-Ari, who took command in his place, was also injured.</t>
  </si>
  <si>
    <t>לאחר פציעתו, טופל הר ציון בשטח ע"י הרופא הגדודי ד"ר משה אגמון, שהשתמש לראשונה בצה"ל בערכת ניתוח שדה, עת חתך פתח קטן בבסיס צווארו של הר ציון והחדיר דרכו צינורית מעוקלת אל קנה נשימתו ובכך הציל את הר ציון מחנק. על פעולתו זו הוענק לד"ר אגמון עיטור העוז.</t>
  </si>
  <si>
    <t>After his injury, the Mount Zion area treated by the regimental doctor Dr. Moshe Agmon, who used the first time the IDF field analysis system, when cut a small opening at the base of the neck of Mount Zion and inserted through the cannula bending to Buy breathing and thus saved the Mount Zion crunch. This operation was awarded to Dr. Agmon medal.</t>
  </si>
  <si>
    <t>"מבצע לולב" פעולת חוסאן</t>
  </si>
  <si>
    <t>"Lulav" act of Husan</t>
  </si>
  <si>
    <t xml:space="preserve">A Blessed </t>
  </si>
  <si>
    <t>25.9.1956</t>
  </si>
  <si>
    <t>ירדן - משטרת חוסאן ומוצבי הגבול של הלגיון הירדני באזור בית לחם</t>
  </si>
  <si>
    <t>Jordan - Husan police and border outposts of the Jordanian Legion in Bethlehem</t>
  </si>
  <si>
    <t>גביית מחיר על רציחתם של ארבעה מדענים ארכיאולוגים שהשתתפו בכינוס בקיבוץ רמת רחל, רצח אישה במושב עמינדב ורצח חקלאי בקיבוץ מעוז חיים</t>
  </si>
  <si>
    <t>Charging a price for the murder of four scientists archaeologists who took part in the conference at Kibbutz Ramat Rachel, wife murder and murder seat Aminadav agricultural Kibbutz Maoz Haim</t>
  </si>
  <si>
    <t>פשיטה על בניין משטרת חוסאן ועל מוצבי הגבול, הריסת מצודת המשטרה והמבנים הסמוכים</t>
  </si>
  <si>
    <t>Police raided the building of Husan and border outposts, police fortress demolition and nearby structures</t>
  </si>
  <si>
    <t>שש פלוגות צנחנים מהגדודים890 ו- 88 וסיירת הצנחנים</t>
  </si>
  <si>
    <t>Six companies of paratroopers battalions 890 and 88 and paratroop commando unit</t>
  </si>
  <si>
    <t>890+88+ סיירת</t>
  </si>
  <si>
    <t>890 + 88 + Cruiser</t>
  </si>
  <si>
    <t>לא, אולם הייתה זו פעולה חטיבתית ראשונה של טהרת הצנחנים</t>
  </si>
  <si>
    <t>No, but it was the first divisional operation of the purity of paratroopers</t>
  </si>
  <si>
    <t>דוד בגלביטר</t>
  </si>
  <si>
    <t>המבצע הושלם כמתוכנן אולם הצנחנים נתקלו בלחימה עיקשת של הכוחות הירדנים. לצה"ל היו עשרה הרוגים ושישה עשר פצועים ולירדנים שלושים ותשעה הרוגים ושנים עשר פצועים.</t>
  </si>
  <si>
    <t>7/10/1954</t>
  </si>
  <si>
    <t>40</t>
  </si>
  <si>
    <t>The operation was completed as planned but the paratroopers were met with stubborn fighting the Jordanian forces. IDF were ten dead and sixteen wounded and thirty-nine Jordanians killed and twelve wounded.</t>
  </si>
  <si>
    <t>The act of longing ; Operation "eye for an eye" act of longing</t>
  </si>
  <si>
    <t>לרב"ט משה וייס הוענק עיטור העוז על חלקו בפעולה. וייס נטל את הפיקוד על מחלקתו לאחר שמפקדה נהרג. בפעולה נפצע וייס והתעוור בשתי עיניו.</t>
  </si>
  <si>
    <t>Azzun ; Gaza Strip - Egyptian military outpost between Deir al-Balah Khan Younis</t>
  </si>
  <si>
    <t>Occupation stationed north of Khan Younis 79 ; Deir al-Balah Khan Younis</t>
  </si>
  <si>
    <t>Four forces on the order of a department under the command of Meir Har-Zion, Eli Gozan, Saadia and Amikam Rachlin Elkayam, Arik Sharon commanded the entire operation.The first act of paratroopers stationed Egyptian military occupation Mbotzrbgdrot, trenches and minefields. Ariksronnftza and Hoalhbdrgh</t>
  </si>
  <si>
    <t>Corporal Moshe Weiss was awarded a medal for his part in the action. Weiss took command of his platoon after its previous commander was killed. Action Weiss was injured and blinded in both eyes.</t>
  </si>
  <si>
    <t>"מבצע קורנס" פעולת קסיימה</t>
  </si>
  <si>
    <t>מוצב מצרי פתח באש על 2 מכוניות משק קציעות, שנסעו באזור המפורז של ניצנה. אין נפגעים בין נוסעי המכונית.</t>
  </si>
  <si>
    <t>Operation "sledgehammer" operation Qseimme</t>
  </si>
  <si>
    <t>30.8.1956</t>
  </si>
  <si>
    <t>מצרים - מחנה הצבא המצרי כ20 ק"מ ממערב לגבול באזור קדש ברנע</t>
  </si>
  <si>
    <t>Egypt - Egyptian military camp about 20 kilometers west of the border in Kadesh Barnea</t>
  </si>
  <si>
    <t>Kadesh Barnea</t>
  </si>
  <si>
    <t>תגובה על רצח שביצעה חוליית פדאין בדרום הארץ. מאחר והחולייה הופעלה ע"י המודיעין המצרי, הוחלט לתקוף מחנה צבאי</t>
  </si>
  <si>
    <t>Comment on murder carried out by a squad of Fedayeen in the south. Since the cell is activated by Egyptian intelligence, decided to attack military base</t>
  </si>
  <si>
    <t>התקרבות חשאית, כניסה למחנה, ביצוע פעולות חבלה במחנה ופגיעה ביחידה שישבה בו</t>
  </si>
  <si>
    <t>Zoom secret entrance to the camp, carrying out acts of sabotage and damage to the unit in which the sitting</t>
  </si>
  <si>
    <t>כוח מגדוד 88 של הנח"ל המוצנח שצורף זמן קצר קודם לכן לחטיבת הצנחנים. לוחמי הגדוד היו חסרי כל נסיון קרבי ולכן הוחלט לנצל את הפעולה כדי לאפשר למפקדיו "ךהשתפשף". הכוח הורכב מ12 קצינים ונגדים מפלוגות הגדוד</t>
  </si>
  <si>
    <t>Force Battalion 88 of the Nahal Airborne that came shortly before the Paratroopers Brigade. Battalion lacked any experience in combat and therefore decided to take action to enable commanders "worn." Force consisted of 12 officers and carpenters Regiment</t>
  </si>
  <si>
    <t>גדוד 88 של הנח"ל המוצנח שצורף זמן קצר קודם לכן לחטיבת הצנחנים</t>
  </si>
  <si>
    <t>Battalion 88 of the Nahal Airborne that came shortly before the Paratroopers Brigade</t>
  </si>
  <si>
    <t>המבצע הצליח, הכוח פרץ למחנה בהצלחה, הרג חמישה חיילים מצריים ופצע עוד אחדים, עם זאת המחנה, שהיה אמור להיות מאוכלס ע"י כמות גדולה של חיילים, היה כמעט ריק. לכוח צה"להיה פצוע אחד בפעולה.</t>
  </si>
  <si>
    <t>The operation was successful, the force broke camp successfully, Egyptian soldiers killed five and wounded several more, however the camp, which was supposed to be inhabited by a large number of soldiers, was nearly empty. Tzh"lhih force one wounded in action.</t>
  </si>
  <si>
    <t>"מבצע שומרון "פעולת קלקילה</t>
  </si>
  <si>
    <t>"Operation Bank" operation in Qalqilya</t>
  </si>
  <si>
    <t>10.10.1956</t>
  </si>
  <si>
    <t>ירדן - מצודת משטרת קלקיליה</t>
  </si>
  <si>
    <t>Jordan - Castle Qalqilya police</t>
  </si>
  <si>
    <t>Qalqilya</t>
  </si>
  <si>
    <t>גביית חמיר של רציחתם של שני פועלים מאבן יהודה בפרדס ליד נווה הדסה</t>
  </si>
  <si>
    <t>Collection of aggravated murder of two workers from Even Yehuda orchard near Neveh Hadassah</t>
  </si>
  <si>
    <t>כיבוש המצודה, חיסול חיילי הלגיון ופיצוץ בניין המשטרה.</t>
  </si>
  <si>
    <t>משה גמליאל</t>
  </si>
  <si>
    <t>The occupation of the fort, the elimination of legionnaires and the blowing up of police.</t>
  </si>
  <si>
    <t>בפעולה החטיבתית השנייה של הצנחנים, פיקד מח"ט הצנחנים 202 אריק שרון על שישה כוחות</t>
  </si>
  <si>
    <t>The second action Paratroopers Brigade, commanded commander of the Paratrooper 202 Sharon six powers</t>
  </si>
  <si>
    <t>נח"ל מוצנח 88, 890, סיירת, גדוד שריון 79, גדודי תותחנים 402 ו- 403, כוח מחטיבת גבעתי, מחלקת טנקים מגדוד 9 של חטיבה 7, יחידת זרקורים ממונעת של חיל התותחנים.</t>
  </si>
  <si>
    <t>Infantry parachuted 88, 890, cruiser, 79th Armor Regiment, Artillery Battalions 402 and 403, the Givati ​​Brigade forces, tanks Department Battalion 9 of the 7th Brigade, motorized spotlights unit of the Artillery Corps.</t>
  </si>
  <si>
    <t>מטרות המבצע הושלמו בהצלחה שכן המשטרה נכבשה, בניינה פוצץ ולירדנים היו נפגעים רבים, סה"כ שמונים ושמונה הרוגים ושישים ושמונה פצועים, אולם כוחות צה"ל נתקלו בתגבורות ירדניות שהסבו לו אבדות כבדות: שמונה עשר חיילי צה"ל נהרגו ושישים ושמונה נפצעו.</t>
  </si>
  <si>
    <t>חילופי אש באזור בארי ויד-מרדכי. צה"ל השיב אש לא נודע על נזקים. מסתננים מצרים פוצצו באר ליד מבקיעים באזור אשקלון</t>
  </si>
  <si>
    <t>Goals of the operation has been successfully completed since the police occupied building was blown up and Jordanians were many casualties, a total of eighty-eight dead and sixty-eight wounded, but the IDF forces encountered Jordanian reinforcements had inflicted heavy losses Eighteen soldiers were killed and sixty-eight wounded.</t>
  </si>
  <si>
    <t>בעקבות הפעולה הוענקו לעשרה לוחמים עיטורים וצלשי"ם: לוחמי הסיירת אפרים בר, יצחק זכרוביץ, חיים רוטקוף, צבי יזראלי ויוסף קולר זכו בצל"ש. התותתחן שלמה גל עוטר בעיטור העוז, הצנחנים דן זינגר ודב תמרי עוטרו בעיטור העוז ולוחם הנח,ל המוצנח פנחסנוי עוטר בעיטור הגבורה.</t>
  </si>
  <si>
    <t>8/2/1954</t>
  </si>
  <si>
    <t>Following the operation ten fighters were awarded medals and awards: Fighters patrol Ephraim Bar, Isaac Zcrobitz, life Rotkof, deer Disraeli and Joseph Koller received a citation. Htotthn whole wave was decorated with the Medal of Valor, Dan Singer paratroopers Dov Tamari were adorned with courage and warrior pose, the Airborne Fnhsnoi decorated with heroism.</t>
  </si>
  <si>
    <t>בעקבות המחיר הכבד שגבתה הפעולה בקרב חיילי הכוח, נראה היה כי שיטת פעולות הגמול מיצתה את עצמה וכי מחירה כבד מדי. השימוש הממושך בשיטה זו הפך לשיגרה והן המצרים והן הירדנים למדו את שיטות הפעולה של צה"ל ונכנסו לכוננות לאחר כל פיגוע בישראל. פעולה זו הייתה פעולת הגמול האחרונה</t>
  </si>
  <si>
    <t>Age (Gibli Isaac freedom)</t>
  </si>
  <si>
    <t>סיור</t>
  </si>
  <si>
    <t>tour</t>
  </si>
  <si>
    <t>Recession followed, Jenin, Beit Liqiya and a pin.</t>
  </si>
  <si>
    <t>תחילת 1956</t>
  </si>
  <si>
    <t>The sequence of the Jordanian soldiers to capture "Redemption of Prisoners" by Yitzhak Gibli. Squads under the command of Eric, Mount Zion and David Supapo soldiers and police captured a Jordanian and Gibli released.</t>
  </si>
  <si>
    <t>גבול ישראל - מצרים ליד קיבוץ רוחמה</t>
  </si>
  <si>
    <t>Israel's border - Egypt near Kibbutz Ruhama</t>
  </si>
  <si>
    <t>Kibbutz Ruhama</t>
  </si>
  <si>
    <t>תפיסת אנשי מודיעין מצריים</t>
  </si>
  <si>
    <t>Egyptian intelligence officials Perception</t>
  </si>
  <si>
    <t>סיור רכוב ורגלי</t>
  </si>
  <si>
    <t>Mounted patrol and legs</t>
  </si>
  <si>
    <t>קומנדקר, לוחמים וגששים בפיקוד עמוס ירקוני</t>
  </si>
  <si>
    <t>Command car, warriors and scouts commanded Amos Yarkoni</t>
  </si>
  <si>
    <t>שקד</t>
  </si>
  <si>
    <t>Almond</t>
  </si>
  <si>
    <t>המבצע הצליח, בתום מרדף ממושך, התגלו עקבותיהם של שלושה מסתננים, אחד חמק מהכוח, השני נהרג ואילו השלישי, איש המודיעין המצרי, נתפס. חקירתו הניבה פרטים רבים אודות היערכות הצבא המצרי ברצועת עזה ועל כוונות המודיעין המצרי.</t>
  </si>
  <si>
    <t>The operation succeeded, after a lengthy chase, discovered traces of three infiltrators, slipped one power, the other was killed while the third, the Egyptian intelligence officer, was captured. Investigation yielded many details about the Egyptian military deployment in the Gaza Strip and Egyptian intelligence intentions.</t>
  </si>
  <si>
    <t>ב10.2.56 הוענק לרב"ט פאריד סולימאן פארס צל"ש אלוף פיקוד הדרום על חלקו בפעולה. על איש המודיעין שנתפס נגזר בפעם הראשונה עונש מוות ע"י ביתדין צבאי. עונש זה הוחלף לאחר מכן למאסר עולם.</t>
  </si>
  <si>
    <t>On 02/10/56 awarded to Cpl Farid Suleiman Fares citation Southern Command on the cut of the action. The intelligence officer caught derived for the first time the death penalty by military Bitdin. This penalty was replaced by life imprisonment later.</t>
  </si>
  <si>
    <t>12.121.56</t>
  </si>
  <si>
    <t>בין אל עריש לניצנה</t>
  </si>
  <si>
    <t>Between El Arish Nitzana</t>
  </si>
  <si>
    <t>עדכון מפות</t>
  </si>
  <si>
    <t>Update Maps</t>
  </si>
  <si>
    <t>סיור רכוב</t>
  </si>
  <si>
    <t>Horseback Tour</t>
  </si>
  <si>
    <t>שני קומנדקרים עם לוחמים וגששים בפיקודו של דוד בן חור, מטוס ומסוק חילוץ</t>
  </si>
  <si>
    <t>The two command cars with fighters and scouts led by David Ben-Hur, a plane and a helicopter rescue</t>
  </si>
  <si>
    <t>מסתננים מירדן ביצעו חבלות במתקני מים, מכוניות ובבריכות דגים בעמק בית-שאן</t>
  </si>
  <si>
    <t>המבצע נכשל. הכוח נכנס בשוגג לשדה מוקשים. הקומנדקר השני עלה על מוקש. שני לחומים נהרגו ( חללים ראשונים לשקד)ושלושה נפצעו קשה. לאחר שנסיון לחילוץ ע"י מטוס לא הצליח, הוזעק לשטח מסוק שחילץ את הכוח. היה זה חילוץ מוסק ראשון בצה"ל במהלך פעילות מבצעית.</t>
  </si>
  <si>
    <t>The operation failed. Power accidentally entered a minefield. The second command car ran over a mine. Both Browns were killed (the first Shaked spaces) and three were seriously injured. After rescue attempts by plane could not, he was summoned into force helicopter rescued. It was the first military rescue inferred in action.</t>
  </si>
  <si>
    <t>שלהי 1957</t>
  </si>
  <si>
    <t>חולות חלוצה</t>
  </si>
  <si>
    <t>Sands pioneer</t>
  </si>
  <si>
    <t>Halutza</t>
  </si>
  <si>
    <t>חיסול ושביית אנשי מודיעין מצרים</t>
  </si>
  <si>
    <t>Elimination and capture of Egyptian intelligence officials</t>
  </si>
  <si>
    <t>קומנדקר עם לוחמים וגששים בפיקודו של אורי דייג</t>
  </si>
  <si>
    <t>Command car with fighters and scouts led by Uri Fishing</t>
  </si>
  <si>
    <t>"Make water" Operation Water Institute ; Operation Water Institute</t>
  </si>
  <si>
    <t>Egypt - Gaza ; Bitoniih</t>
  </si>
  <si>
    <t>המבצע הצליח, לאחר גילו עקבות וניהול מרדף, גליה הכוח שני אשני מודיעין חמושים. אחד חוסל לאחר שפתח באש והשני נשבה. יחד איתם נתפסה המחברת בה ניהלו השניים את רישומיהם.</t>
  </si>
  <si>
    <t>Gaza ; Water Institute from Jabaliya in Gaza</t>
  </si>
  <si>
    <t>The operation succeeded, after management revealed traces chase, two power glial Mashani armed intelligence. One was killed after he opened fire and the other was captured. With them was seen as a notebook ran the drawings.</t>
  </si>
  <si>
    <t>Collection of aggravated main water carrier explosion in Kibbutz Nir wipe with a couple of days earlier. Company B, commanded by Moses veteran Nascent raided Gaza's Water Institute and detonated it.</t>
  </si>
  <si>
    <t>בעקבות הצלחת המבצע הוחלט להגדיל את תקן הלוחמים בשקד ולצרף אליהם חיילים נוספים מהצנחנים ושני קומנדקרים.</t>
  </si>
  <si>
    <t>Following the success of the operation it was decided to increase the standard fighters amygdala and be accompanied by other soldiers paratroopers and two command cars.</t>
  </si>
  <si>
    <t>"יובל 3"</t>
  </si>
  <si>
    <t>"Yuval 3"</t>
  </si>
  <si>
    <t>9.7.58</t>
  </si>
  <si>
    <t>נמל ביירות</t>
  </si>
  <si>
    <t>Port of Beirut</t>
  </si>
  <si>
    <t>בדיקת מעגן ספינות המשמר והמכס וציודן ואת מבנה שובר הגלים</t>
  </si>
  <si>
    <t>Anchorage test and Customs patrol boats and equipment and the structure of the breakwater</t>
  </si>
  <si>
    <t>התגנבות שני זוגות צוללים אל הנמל</t>
  </si>
  <si>
    <t>Stealth Two pairs of divers to the harbor</t>
  </si>
  <si>
    <t>סט"יל, ספינת טורפדו וארבעה לוחמים, מספר החיילים האחרים לא ידוע</t>
  </si>
  <si>
    <t>St"il, a torpedo boat and four fighters, several other soldiers is not known</t>
  </si>
  <si>
    <t>מסתננים לבנונים פוצצו בעזרת מוקש השהייה 2 בתים ורפת אחת במושב עלמא</t>
  </si>
  <si>
    <t>,הפעולה צליחה והמודיעין נאסף, אולם אחד הזוגות נתגלה בסמוך לשובר הגלים, מה שגרם לנסיגה תחת אש ולפגיעה במשימת הזוג.</t>
  </si>
  <si>
    <t>, Successful and intelligence gathered, but one of the couples was discovered near the breakwater, which made a withdrawal under fire, and damage to mission partner.</t>
  </si>
  <si>
    <t>בשל הצלחת המבצע על אף מורכבותו המבצעית הרבה, הביע הרמטכ"ל חיים לסקוב התפעלות רבה מתגובתם השקולה של הלוחמים בעת נסיגתם ומהעובדה שלא השאירו מאחור שבויים וציוד. שלושה מארבעת הצוללים: דוד פרומר, זאב אריראל ורן אדר, זכו לצל"ש הרמטכ"ל (שהפך לאחר חקיקת חוק העיטורים לעיטור העוז)</t>
  </si>
  <si>
    <t>Due to the success of the operation despite the many operational complexity, expressed his Chief of Staff Haim Laskov very impressed by the reactions the equivalent of the fighters as they withdrew, and the fact that prisoners left behind and equipment. Three of the four divers: David Fromer, Warren Wolf Ariral maple, won a medal chief of staff ( After the enactment of a law that made decorations Medal of Courage)</t>
  </si>
  <si>
    <t>למרות שקברניטים ראו את הפעולה כמוצלחת, היו שסברו כי החגיגה הגדולה סביבה הייתה מוגזמת שכן רק במזל היא לא נסתיימה בשבי וכי הלוחמים נתגלו מאחר ולא היו בכושר טוב ולכן ראו בפעולה כישלון ( כך סבר גם רן אדר- אחד ממקבלי הצלש"ים)</t>
  </si>
  <si>
    <t>8/30/1954</t>
  </si>
  <si>
    <t>מארב</t>
  </si>
  <si>
    <t>Khirbet operation Gi"l 3 pin</t>
  </si>
  <si>
    <t>Ambush</t>
  </si>
  <si>
    <t>The sequence of the capture of Jordanian soldiers to replace them Gibli. Commanded squads of Mount Zion, David, Motta Gur, and Sofafo captured soldiers and police. Gibli returned to Israel.</t>
  </si>
  <si>
    <t>ואדי באר שבע</t>
  </si>
  <si>
    <t>Wadi Beersheba</t>
  </si>
  <si>
    <t>החרמת נשק ותחמושת</t>
  </si>
  <si>
    <t>The confiscation of weapons and ammunition</t>
  </si>
  <si>
    <t>פריסת שני מארבים משני צידי הואדי על מנת ללכוד את המבריחים באש צולבת</t>
  </si>
  <si>
    <t>The operation Liqiya ; Operation "Benjamin in" - the act of a Liqiya</t>
  </si>
  <si>
    <t>Deploying two ambushes on both sides of the valley to capture the smugglers crossfire</t>
  </si>
  <si>
    <t>שתי חוליות בפיקוד עמוס ירקוני ונדב נוימן</t>
  </si>
  <si>
    <t>Khirbet pin ; Jordan - Legion outposts in the villages of Beit Lakiya and Beit Ur al Tahta near Ramallah</t>
  </si>
  <si>
    <t xml:space="preserve">Intelligence and north-east of Mevo Horon ; Beit Lakiya and Beit Ur al Tahta </t>
  </si>
  <si>
    <t>Both squads under the command of Amos Yarkoni and Nadav Neumann</t>
  </si>
  <si>
    <t>Battalion reprisals following the murder of two Jews in Moshav Mata in the Jerusalem corridor and capture of Jordanian soldiers to redeem the fallen warrior captured Benjamin Gibli. The first battalion of action against the Legion's 7th Battalion at Ur a-Tahta and Beit Liqiya. The order of battle: reconnaissance - Meir Har Zion; Company A - Shlomo Baum; FL B - David and Elisha; FL-III - Marcel Tobias; Pal D - Motta Gur. Blocks all hinges on the "double ambush" initiated encounters with the Legion, capturing prisoners. ; Intrusion attacks on outposts and villages to attract reinforcements from the area of ​​Ramallah, arrested reinforcements ambushed, assaulted them and where some of the soldiers ; Five forces: first force would patrol commanded by Meir Har-Zion blocked from west to east, second force commanded by Shlomo Baum was blocked to the north, a third force commanded by Aaron David and Elisha whole burst outposts and to Liqiya, power Wednesday, led by Marcel Tobias block south and strength Thursday under Motta Gur was in course and served as a reserve</t>
  </si>
  <si>
    <t>המבצע הצליח, החולייה של נוימן פתחה באש על המבריחים ממטרים בודדים. שני מבריחים נהרגו והשאר נשבו. תחמושת רבה נתפסה</t>
  </si>
  <si>
    <t>The operation was successful, Neumann's squad opened fire on smugglers isolated showers. Two smugglers were killed and the rest were captured. Large quantities of ammunition was seized</t>
  </si>
  <si>
    <t>אזור קיבוץ בארי</t>
  </si>
  <si>
    <t>Area Kibbutz Beeri</t>
  </si>
  <si>
    <t>סיור רגלי</t>
  </si>
  <si>
    <t>Walking tour</t>
  </si>
  <si>
    <t>לוחמים וגששים שפרקו משלושה קומנדקרים</t>
  </si>
  <si>
    <t>Warriors and scouts unloaded three command cars</t>
  </si>
  <si>
    <t>המבצע הצליח, הכוח זיהה שני מסתננים חמושים, הראשון נורה והשני נשבה</t>
  </si>
  <si>
    <t>The operation was successful, the force identified two armed infiltrators, the first shot and the second was captured</t>
  </si>
  <si>
    <t>אוטובוס בדרכו לצפת הותקף ביריות ורימוני יד. 2 נהרגו ו-10 נפצעו</t>
  </si>
  <si>
    <t>0705</t>
  </si>
  <si>
    <t>שני קומנדקרים משקד בפיקודו של עמוס ירקוני וכוחות צנחנים</t>
  </si>
  <si>
    <t>The two command cars Shaked led by Amos Yarkoni and Paratroopers</t>
  </si>
  <si>
    <t>שקד + צנחנים</t>
  </si>
  <si>
    <t>Almond + paratroopers</t>
  </si>
  <si>
    <t>המבצע הצליח. לאחר שזוהו עקבות גמלים, נערך מעקב ומרדף שבסופו נתפסו עשרה מבריחים.</t>
  </si>
  <si>
    <t>The operation was successful. After the camel footprints identified, tracked and eventually caught ten chase smugglers.</t>
  </si>
  <si>
    <t>למרות הצלחת סיור, התגלה בו כישלון מוסרי אצל שניים מלוחמי היחידה, שגנבו שבע מטילי זהב שמצאו אצל אחד המבריחים. לאחר שריצו תקופת מאסר בכלא צבאי, חזרו השניים לשקד</t>
  </si>
  <si>
    <t>0635</t>
  </si>
  <si>
    <t>גבול ישראל מצרים - אין מקו מדויק</t>
  </si>
  <si>
    <t>Israeli-Egyptian border - there is no exact line</t>
  </si>
  <si>
    <t>קומנדקר בפיקודו של אורי נוימן</t>
  </si>
  <si>
    <t>Komandker led by Uri Neumann</t>
  </si>
  <si>
    <t>הסיור החלטי לחסל קבוצת גמלים שאיתר, אשר שחדרו לנגב מסיני. מפעילי הגמלים, שהסתתרו בשטח, פתחו על הסיור באש לאחר שרוקן את רוב התחמושת על הגמלים. הסיור נאלץ לסגת לקומנדקר שברשותו כדורים בודדים, ויצא ללא פגע מהאירוע תודות למזלו בלבד.</t>
  </si>
  <si>
    <t>The tour decisively to eliminate a group of camels tracing, which infiltrated the Negev from Sinai. Camel operators, who were hiding in the area, opened fire on the patrol after he had emptied most of the ammunition on camels. The tour was forced to withdraw the command car a few bullets in his possession, and emerged unscathed from the incident only thanks to good fortune.</t>
  </si>
  <si>
    <t>לאחר שתיחקר את הלוחמים, הורה מפקד היחידה דוד בן חור להגדיל את מלאי התחמושת לסיורים.</t>
  </si>
  <si>
    <t>מוצבים סורים פתחו באש מקלעים ותותח על סירת דיג ישראלית של קיבוץ גינוסר במזרח הכינרת. אין נפגעים</t>
  </si>
  <si>
    <t>9.9.59, התחלה ב03:00</t>
  </si>
  <si>
    <t>נחל סרפד באזור הר הנגב</t>
  </si>
  <si>
    <t>Nettle River in the Mount Negev</t>
  </si>
  <si>
    <t>Nettle River</t>
  </si>
  <si>
    <t>חיפושים אחר מפקד סיירת הצנחנים, יאיר פלד, שנעדר בזמן אימון ניווטים</t>
  </si>
  <si>
    <t>Searching for paratroop reconnaissance, Yair Peled, who went missing during the training navigation</t>
  </si>
  <si>
    <t>חוליית חפיוש בפיקוד ניסן שירן</t>
  </si>
  <si>
    <t>Hfios squad commanded by Nissan Sheeran</t>
  </si>
  <si>
    <t>0005</t>
  </si>
  <si>
    <t>הכוח הצליח לאתר את גופתו של פלד, שנורה בגבו ממערה סמוכה. בעקבות האירוע נערך מבצע צבאי לגירושם חזרה לסיני של שבטי בדווים שפלשו להר הנגב</t>
  </si>
  <si>
    <t>Power was able to locate the body of Peled, who was shot in the back from a cave nearby. Following the incident, a military operation was carried out deportation back to Sinai's Bedouin tribes who invaded the Negev Highlands</t>
  </si>
  <si>
    <t>הרמן בן יחזקאל ברוך</t>
  </si>
  <si>
    <t>נגב - סמוך לקיבוץ צאלים</t>
  </si>
  <si>
    <t>Wipe - near Kibbutz Ze'elim</t>
  </si>
  <si>
    <t>Kibbutz Ze'elim</t>
  </si>
  <si>
    <t>לוחמים בפיקודו של ניסן שירן</t>
  </si>
  <si>
    <t>Warriors led by Nissan Sheeran</t>
  </si>
  <si>
    <t>מסתננים סורים חדרו אל אגם החולה וגנבו סירות דיג השיכות לקיבוץ חולתה</t>
  </si>
  <si>
    <t>הכוח גילה עקבות של ארבעה מסתננים חמושים, שגנבו חלקים מתחנת מדידה מטארולוגית סמוכה. לבסוף נתפס מסתנן אחד, שטען כי הוא וחבריו חדרו לישראל במסגרת תרגיל של קורס קומנדו בצבא המצרי. המסתנן נורה כשקם בפתאומיות ממקומו, למרות שלא היה חמוש.</t>
  </si>
  <si>
    <t>Power revealed traces of four armed infiltrators, who stole parts from a nearby Mtarologit measurement. Finally caught one infiltrator, who claimed that he and his comrades entered Israel as part of an exercise of the Egyptian army commando course. Infiltrator was shot when he stood up suddenly, even though he was unarmed.</t>
  </si>
  <si>
    <t>בעקבות הירי בלוחם המצרי שלא היה חמוש, נערכה הוקמה ועדת חקירה. אלוף הפיקוד אברהם יפה החליט להדיח מהיחידה את הלוחם שירה, אולם חזר בו לאחר שמפקד היחידה דב סטרליץ התנגד לכך, ואף איים כי יעזוב את היחידה במידה והלוחם יודח. לאחר תקרית זו, חודדו נהלי השימוש בנשק. האצבע על הדק הלוחמים הייתה לעיתים קלה מדי וגרמה לנקמות דם מיותרות. מאידך, פעמים רבות, התברר בדיעבד כי מסתננים תמימים למראה, היו בעצם שודדים ורוצחים.</t>
  </si>
  <si>
    <t>חמאמה - כפר ערבי נטוש מדרום לניצנים</t>
  </si>
  <si>
    <t>Hamama - an abandoned Arab village south of buds</t>
  </si>
  <si>
    <t>Nitzanim</t>
  </si>
  <si>
    <t>מרדף</t>
  </si>
  <si>
    <t>chase</t>
  </si>
  <si>
    <t>צוות בפיקודו של דב סטרליץ</t>
  </si>
  <si>
    <t>A team led by Dov Strlitz</t>
  </si>
  <si>
    <t>המבצע הצליח, בכפר הנטוש נתפסו שלושה סיירים מצרים ואיתם כלי נשק, משקפות ורישומים</t>
  </si>
  <si>
    <t>The operation was successful, the abandoned village caught three scouts Egypt and with weapons, binoculars and drawings</t>
  </si>
  <si>
    <t>במבצע זה הוכיל מפקד היחידה סטרליץ, כי הוא מסוגל להסתדר בשטח גם בלי עמוס ירקוני ופאריד פארס, שהיה הגשש הבכיר ביחידה. עובדה זו תיסכלה את הגששים הבדווים ביחידה, שהחשיבו עצמם לאדוני השטח.</t>
  </si>
  <si>
    <t>In this operation Hocil Strlitz commander of the unit that is able to manage a busy area without Hayarkon Farid Fares, who was chief scout unit. This frustrated the unit Bedouin trackers, who considered themselves masters of the area.</t>
  </si>
  <si>
    <t>ביצות מצפון לאשקלון</t>
  </si>
  <si>
    <t>Marshes north of Ashkelon</t>
  </si>
  <si>
    <t>אש נפתחה על שומר מושב גילת שממערב לב"ש. 2 שומרים שחשו לעזרתו נפצעו מיריות.</t>
  </si>
  <si>
    <t>צוות של חמישה לוחמים בפיקודו של עמוס ירקוני , דב סטרליץ + מסוק</t>
  </si>
  <si>
    <t>A team of five soldiers under the command of Amos Yarkoni, Dov Strlitz + helicopter</t>
  </si>
  <si>
    <t>המבצע הצליח, לאחר איתור עקבות, זוהתה תנועה בתוך קני סוף בביצה. ירקוני ואחד הגששיןם נכנסו לביצה וניהלו אש עם המסתננים. בתום הקרב נורו המסתננים ונהרגו. ירקוני איבד את אחת מידיו בקרב.</t>
  </si>
  <si>
    <t>The operation succeeded, after finding traces, detected movement in the reeds in the swamp. Yarkoni and one Hgssinm entered into a swamp and conducted fire with infiltrators. At the end of the battle were infiltrators were killed. Yarkoni lost one of his hands in battle.</t>
  </si>
  <si>
    <t>לאחר פציעתו של ירקוני, עלה מפקד היחדיה סטרליץ יחד עם אחד הגששים על מסוק, הם תיצפתו על הסוף מלמעלה וביצעו ירי לאחר שזיהו את מיקום המסתננים. היה זה שימוש ראשון במסוק במרדף בתולדות צה"ל.</t>
  </si>
  <si>
    <t>After Yarkoni's injury, came together Strlitz commander of one of the probes with the helicopter, they Titzfto the top end and fired after identifying the location of infiltrators. It was the first use of a helicopter in pursuit of the army's history.</t>
  </si>
  <si>
    <t>נחל חיון - ליד מחנה פארן</t>
  </si>
  <si>
    <t>Hayon River - near the camp Faran</t>
  </si>
  <si>
    <t xml:space="preserve">Hayon River </t>
  </si>
  <si>
    <t>תפיסה ופגיעה במסתננים</t>
  </si>
  <si>
    <t>Seizure and damage infiltrators</t>
  </si>
  <si>
    <t>הנחת מארב בקניון בנחל בעקבות מידע מודיעיני על חוליית מסתננים שהייתה אמורה לעבור ממצרים לירדן</t>
  </si>
  <si>
    <t>Laying an ambush mall stream of intelligence information on cell infiltrate was supposed to pass from Egypt to Jordan</t>
  </si>
  <si>
    <t>חבלנים מצרים ניתקו את קווי הטלפון של משק קציעות, הישוב האזרחי היחיד באזור המפורז של ניצנה</t>
  </si>
  <si>
    <t>צוות סיור בפיקודו של שאול שלו. גשש הכוח, סאלח אל היב, ניהל את המרדף עצמו</t>
  </si>
  <si>
    <t>The expedition team led by Saul his. Tracker power, Saleh al Hib, led the chase itself</t>
  </si>
  <si>
    <t>המרדף הצליח, הגשש הסתער בעצמו והרג את שלושת המסתננים.</t>
  </si>
  <si>
    <t>The chase was successful, the tracker rushed himself and killed three infiltrators.</t>
  </si>
  <si>
    <t>סוף 1960, אין תאריך מדויק</t>
  </si>
  <si>
    <t>נחל הבשור, סמוך לעיירה אופקים</t>
  </si>
  <si>
    <t>Bsor River, near the town of Ofakim</t>
  </si>
  <si>
    <t>Bsor River</t>
  </si>
  <si>
    <t>תפיסת ארבעה מסתננים, שעקבותיהם אותרו</t>
  </si>
  <si>
    <t>Perception four infiltrators, whose consequences were identified</t>
  </si>
  <si>
    <t>12/4/1954</t>
  </si>
  <si>
    <t>מרדף רכוב ורגלי</t>
  </si>
  <si>
    <t>Chase mounted and legs</t>
  </si>
  <si>
    <t>Cadiz eye operation ; "Operation Maple Yard" eye operation Cadiz</t>
  </si>
  <si>
    <t>שני קומנדקרים עליהם היו צוותים בפיקודם של עמי בריסקי ואורי דייג, אל הכוח הצטרף גם עמוס ירקוני בפעילותו המבצעית הראשונה מאז פציעתו בקרב, בעקבותיה נקטעה אחת מידיו.</t>
  </si>
  <si>
    <t>The Liqiya ; Eye Cadiz</t>
  </si>
  <si>
    <t>Both teams had their command cars, commanded by Ori Ami risk and fishing, to force also joined Amos Yarkoni first operational activities since being wounded in battle, followed by one of his hands cut off.</t>
  </si>
  <si>
    <t>At Qseimme Egypt ; Ein Kadis</t>
  </si>
  <si>
    <t>המבצע הצליח, אחרי שעלו על עקבות המסתננים, איתר ירקוני גומה בה הסתתרו אנשי מודיעין מצרים. בוצע ירי והושלכו רימונים. שלושה מצרים נהרגו ומפקדם נפצע קשה. האמל"ח שברשותם נתפס.</t>
  </si>
  <si>
    <t>The operation succeeded, after who the footprints of infiltrators, Yarkoni found hiding in a hole in which Egyptian intelligence officials. Shots were fired and thrown grenades. Three Egyptians were killed and their commander was seriously wounded. Their weapons were captured.</t>
  </si>
  <si>
    <t>על חתירתו למגע והסתערותו ביריות אקדח על מקום הימצאם של המצרים, קיבל ירקוני צל"ש מאלוף פיקוד הדרום, כמו כן הוא זכה לקבל גם יד תותבת חדשה, בעזרתה יכל לדרוך נשק.</t>
  </si>
  <si>
    <t>The pursuit touch and assault pistol shots on the location of the Egyptians, received a medal Yarkoni GOC Southern Command, also won also receive a new prosthetic hand, with which he could tread weapons.</t>
  </si>
  <si>
    <t>גדר קיבוץ רעים</t>
  </si>
  <si>
    <t>Bad kibbutz fence</t>
  </si>
  <si>
    <t>kibbutz Re'eim</t>
  </si>
  <si>
    <t>מכונית משא אזרחית הותקפה ביריות בכביש עכו-צפת כקילומטר וחצי ממירון. איש לא נפגע</t>
  </si>
  <si>
    <t>תפיסת גנבים שחדרו לקיבוץ</t>
  </si>
  <si>
    <t>Thieves infiltrated the kibbutz perception</t>
  </si>
  <si>
    <t>הכוח ארב לגנבים ליד הפרצה דרכה הם נכנסו. הכוח נמנע מלהיכנס לקיבוץ על מנת שלא לנהל קרב יריות בתוך הקיבוץ.</t>
  </si>
  <si>
    <t>Power thieves lurked near the loophole through which they entered. Power avoided the kibbutz in order not to engage in a shootout in the kibbutz.</t>
  </si>
  <si>
    <t>כוח בפיקוד ירקוני</t>
  </si>
  <si>
    <t>Power Command Yarkoni</t>
  </si>
  <si>
    <t>Listening intelligence handling facility. Four paratroopers and Golani soldier</t>
  </si>
  <si>
    <t>הכוח פתח באש על הגנבים כשיצאו עם ארבעה עגלים והרגם.</t>
  </si>
  <si>
    <t>The force opened fire on the thieves when they went out with four calves, and killed them.</t>
  </si>
  <si>
    <t>נחל שקמה, בגזרה הצפון מערבית של היחידה</t>
  </si>
  <si>
    <t>Sycamore River, the northwest area of ​​the unit</t>
  </si>
  <si>
    <t>Shikma River</t>
  </si>
  <si>
    <t>מרדף רכוב על סמך עקבות בשטח</t>
  </si>
  <si>
    <t>Chase trail riding based on territory</t>
  </si>
  <si>
    <t>צוות סיור של חמישה לוחמים בפיקודו של יהודה מלמד</t>
  </si>
  <si>
    <t>The expedition team of five soldiers commanded by Yehuda Melamed</t>
  </si>
  <si>
    <t>המרדף הצליח, הכוח זיהה את המסתננים ופתח עליהם באש. שלושה נהרגו ואחד הצליח לברוח.</t>
  </si>
  <si>
    <t>The chase was successful, the force identified the infiltrators opened fire on them. Three were killed and one managed to escape.</t>
  </si>
  <si>
    <t>מלמד זכה לתעודת הערכהמאלוף הפיקוד כל המרדף המוצלח, אך עם זאת ננזף על שפעל לבדו ולא הזעיק תגבורת מהיחידה ומשאר הכוחות בגזרה, אף על פי שידע שכך הוא אמור לעשות.</t>
  </si>
  <si>
    <t>Teaching certificate Harchmalof command received any successful pursuit, yet reprimanded for acting alone or called for backup power unit and the rest of the sector, even though he knew that this is supposed to do.</t>
  </si>
  <si>
    <t>תחילת 1961</t>
  </si>
  <si>
    <t>מוצב סורי פתח באש על מכון המים של קיבוץ בסמוך לירדן. לא היו נפגעים</t>
  </si>
  <si>
    <t>דרום הערבה - נחל קינן</t>
  </si>
  <si>
    <t>South prairie - River Keenan</t>
  </si>
  <si>
    <t>River Keenan</t>
  </si>
  <si>
    <t>תפיסת חוליית מחבלים שהרגהכמה שעות קודם לכן נהג ישראלי שנסע על כביש הערבה</t>
  </si>
  <si>
    <t>The perception of a terrorist cell Shrghcmh hours earlier, an Israeli motorist traveling on the Arava Road</t>
  </si>
  <si>
    <t>הסקת חוליות והנחתתם לשם חסימה ומארב</t>
  </si>
  <si>
    <t>And dealt to draw cells to block and ambush</t>
  </si>
  <si>
    <t>שלוש חוליות מוסקות</t>
  </si>
  <si>
    <t>Three squads heated</t>
  </si>
  <si>
    <t>שקד + חיל האוויר</t>
  </si>
  <si>
    <t>Almond + Air Force</t>
  </si>
  <si>
    <t>המרדף הצליח, שני מחבלים נורו מהמסוק ע"י לוחם שהפעיל את המקלע, ארבעה אחרים אותרו ונהרגו ע"י שתי חוליות שכבר הונחתו וארבו להם על הקרקע</t>
  </si>
  <si>
    <t>The chase was successful, two terrorists were shot by a fighter helicopter operated the machine gun, the other four were located and killed by two squads had already landed and ambushed them on the ground</t>
  </si>
  <si>
    <t>הנגב- המכתש הקטן - סמוך להר כרבולת</t>
  </si>
  <si>
    <t>Hanegev small crater - near the mountain crest</t>
  </si>
  <si>
    <t>small crater negev</t>
  </si>
  <si>
    <t>פגיעה במסתננים</t>
  </si>
  <si>
    <t>Injury infiltrators</t>
  </si>
  <si>
    <t>מרדף בהתאם לעקבות בשטח</t>
  </si>
  <si>
    <t>Chase accordance with footprints on the ground</t>
  </si>
  <si>
    <t>סורים ניסו לחטוף חבר קיבוץ גוברים שטייל ליד מוצא הירדן. הוא הצליח להמלט ללא פגע</t>
  </si>
  <si>
    <t>סיור בפיקודו של שייקה ארז ו15 לוחמים מסיירת צנחנים שאומנו ע"י לוחמי שקד בתורת העיקוב והמרדף.</t>
  </si>
  <si>
    <t>Shaikeh tour led by Erez and 15 paratroopers trained fighters patrolling by Almond fighters surveillance and pursuit theory.</t>
  </si>
  <si>
    <t>שקד + סיירת צנחנים</t>
  </si>
  <si>
    <t>Almond + paratroops</t>
  </si>
  <si>
    <t>המבצע הצליח, שלושה מסתננים זוהו על מדרגת סלע מתחת לשפת המצוק, ונורו ונהרגו ע"י לוחמי שקד שהשתלשלו לכיוונם בחבל</t>
  </si>
  <si>
    <t>The operation was successful, three infiltrators were identified bedrock terrace below the edge of the cliff, and shot and killed by fighters worked dangling rope direction</t>
  </si>
  <si>
    <t>נחל שקמה - בין הקיבוצים יד מרדכי לזיקים</t>
  </si>
  <si>
    <t>Sycamore River - from the Kibbutz Yad Mordechai and Zikim</t>
  </si>
  <si>
    <t>צוותי סיור בפיקודם של עמוס ירקוני, שכבר היה אז מפקד היחידה. לכוח צורף קומביין של קיבוץ זיקים</t>
  </si>
  <si>
    <t>Tour teams under the command of Amos Yarkoni, who was then commander of the unit. Combine jeweler force of Kibbutz flashes</t>
  </si>
  <si>
    <t>שקד + אזרח מזיקים שנהג בקומביין</t>
  </si>
  <si>
    <t>Almond + harmful citizen who combine harvester</t>
  </si>
  <si>
    <t>המבצע הצליח, בשל העובדה כי המסתננים הסתתרו בלב שדה חיטה בזמן הקציר, נעזרו הלוחמים קומביין שקצר את החיטה סביב המסתננים החמושים, אחד מהן נהרג והשאר נכנעו ונלקחו למשטרת אשקלון</t>
  </si>
  <si>
    <t>The operation was successful, due to the fact that the infiltrators were hiding in a wheat field at harvest time, combine fighters used the harvested wheat around armed infiltrators, one of them was killed and the others surrendered and were taken police in Ashkelon</t>
  </si>
  <si>
    <t>"נוקייב"</t>
  </si>
  <si>
    <t>"Nokiib"</t>
  </si>
  <si>
    <t>16 - 17. 3. 62 22:40 - 02:00</t>
  </si>
  <si>
    <t>הכפר נוקייב בחופה המזרחי של הכנרת ומוצבים סוריים לאורך החוף, ללוחמי השייטת הוקצה כיעד מוצב כורסי</t>
  </si>
  <si>
    <t>Nokiib village on the eastern shore of the lake and Syrian positions along the coast, naval fighters has been assigned a target placed Kursi</t>
  </si>
  <si>
    <t>Nokieb village</t>
  </si>
  <si>
    <t>אש מקלעים סורית נורתה לעבר דייגי משק חולתא. לא היו נפגעים</t>
  </si>
  <si>
    <t>תגמול על התנכוליות סוריות בלתי פוסקות לדייגים ישראלים ותקריות אש באזור באמצעות הריסת מוצבים, פגיעה בחיילים סורים והשמדת סירות דייג סוריות</t>
  </si>
  <si>
    <t>Syrian reward for incessant Htncoliot fishermen and incidents of fire in the area by demolishing outposts, vulnerable Syrian soldiers and destroying Syrian Fishing Boats</t>
  </si>
  <si>
    <t>פשיטה של כוחות גולני ושייטת 13</t>
  </si>
  <si>
    <t>Golani troops raid and Flotilla 13</t>
  </si>
  <si>
    <t>חטיבת גולני בפיקודו של מרדכי גור, 14 לוחמי שייטת בפיקודו של סרן חנוך מנור</t>
  </si>
  <si>
    <t>Golani Brigade, commanded by Mordechai Gur, 14 naval fighters under the command of Captain Enoch Manor</t>
  </si>
  <si>
    <t>גולני + שייטת 13</t>
  </si>
  <si>
    <t>Golani commandos + 13</t>
  </si>
  <si>
    <t>לא, כל כוח פעל בנפרד</t>
  </si>
  <si>
    <t>Not all power operated separately</t>
  </si>
  <si>
    <t>כוחות גולני הצליחו במשימתם וגרמו להרס והרג בקרב הסורים אולם לוחמי השייטת לא זכו לבצצ את פעולתם לאחר שנתגלו בעודם שוחים על נשקם לעבר העיד, גילוים התאפשר עקב היתקלות מוקדמת של שני כוחות גולני באויב. כוח השייטת נסוג</t>
  </si>
  <si>
    <t>Golani were unsuccessful and resulted in the destruction and killing in Syria but naval commandos were not Lbtztz the operation after they discovered the weapons at the swimming stated, the discovery was made possible due to an early encounter of two Golani enemy. Force commando unit backed</t>
  </si>
  <si>
    <t>כוח גולני הצליח במשימות, שמונה חיילי גולני נהרגו וארבעים ושלושה נפצעו אך שלושים וחמישה סוריים נהרגו ואחד נשבה</t>
  </si>
  <si>
    <t>Golani force managed missions, eight Golani soldiers were killed and forty-three were injured but thirty-five Syrian were killed and one was captured</t>
  </si>
  <si>
    <t>נסיגת לוחמי השייטת נידונה בתחקיר צה"לי, שם נאמר ע"י מח"ט הצנחנים אריק שרון כי יש לתת לשייטת אפשרויות מבצעיות רבות שכן מספר שנים שאין היא באה לידי ביטוי מבצעי, ראש מחלקת תורת לחימה בצה"ל מאיר פעיל, המליץ בעקבות המבצע שלא לשתף את לוחמי השייטת בפשיטות ובתקיפות עתידיות על יעדים מבוצרים. מפקד חיל היםיוחאי בן נון חלק על דעתו תוך הדגשת יתרונותיה המבצעיים של השייטת כגון הצנחה או הסקה בעורף או באגף יעד, נחיתה מהים וגישה ליעד באמצעות צלילה, בן נון טען שניידותם הרבה של לוחמי השייטת ואימונם בכל אמצעי התובלה מאפשרים ללוחמיה גמישות רבה בבחירת דרכי הגישה אל היעד לצורך השגת הפתעה. המחלוקת בין פעיל לבן נון עלתה להכרעת סגן הרמטכ"ל והוא הסכים עם דעתו של בן נון</t>
  </si>
  <si>
    <t>3/16/1962 - 3/17/1962</t>
  </si>
  <si>
    <t>1963, אין תאריך מדויק</t>
  </si>
  <si>
    <t>איזור פאלוג'ה ומושב חלץ</t>
  </si>
  <si>
    <t>Fallujah area and seat Extract</t>
  </si>
  <si>
    <t>Moshav Heletz</t>
  </si>
  <si>
    <t>פגיעה המסתננים שעקבותיהם זוהו באזיור גם שבועיים קודם לכן</t>
  </si>
  <si>
    <t>Injury infiltrators, whose consequences were identified Bazior even two weeks earlier</t>
  </si>
  <si>
    <t>צלף סורי ירה לעבר חבר משק האון מזרחית לכינרת. חבר המשק נפצע</t>
  </si>
  <si>
    <t>המרדף הצליח, בזכות זיהויו המוצלח של הגשש סאלח אל היב נורה ונהרג חייל מצרי ושניים אחרים נשבו. הם ספירו בחקירתם שבאו לצפות על שדה התעופה הבריטי באזור, אשר באותו הזמן כבר יצא מכלל שימוש</t>
  </si>
  <si>
    <t>The chase was successful, thanks to the successful identification of the probe Saleh al Hib shot and killed an Egyptian soldier and two others were captured. They came to watch Spiro their investigation on British airfield area, which at that time had already gone out of use</t>
  </si>
  <si>
    <t>הגשש סאלח אל היב זכה לתעודת הערכה מאלוף פיקוד הדרום צבי זמיר</t>
  </si>
  <si>
    <t>Saleh al Hib probe received a certificate of appreciation Southern Command chief Zvi Zamir</t>
  </si>
  <si>
    <t>הערבה - נחל פארן</t>
  </si>
  <si>
    <t>Prairie - Nahal Paran</t>
  </si>
  <si>
    <t>Paran River</t>
  </si>
  <si>
    <t>מרדף מוסק</t>
  </si>
  <si>
    <t>Chase unheated</t>
  </si>
  <si>
    <t>מסוק שעליו המריאו אהרון גיל וסאלח אל היב, המפקד הראשון והגששהבכיר של סיירת 525 הטרייה</t>
  </si>
  <si>
    <t>Helicopter which took off Aaron age and Saleh Al Heib, the first commander of the cruiser 525 Hgsshbcir fresh</t>
  </si>
  <si>
    <t>525+ חיל האוויר</t>
  </si>
  <si>
    <t>525+ Air Force</t>
  </si>
  <si>
    <t>אש ממוצבים סורים נורתה על אנשי משק עין-גב שעבדו בשדות דרומית למשק. היריות נורו ממארב צבאי בקרבת כפר חרוב. אין נפגעים</t>
  </si>
  <si>
    <t>המרדף הצליח, שלושת המסתננים אותרו וחוסלו בירי מהאוויר.</t>
  </si>
  <si>
    <t>The chase was successful, three infiltrators were identified and eliminated fire from the air.</t>
  </si>
  <si>
    <t>המרדף המוצלח תרם רבות לסיירת 525 שקמה זמן קצר קודם לכן. ההצלחה הובילה להגדלת הקצבת הדלק ליחידה וקבלת ציוד לחימה שהעלה את מורל הלוחמים.</t>
  </si>
  <si>
    <t>Greatly contributed to the successful pursuit of 525 Reconnaissance Unit was established long before. The success led to an increase in fuel allocation unit and receiving military equipment brought up the morale.</t>
  </si>
  <si>
    <t>חג שבועות 1964</t>
  </si>
  <si>
    <t>ואדי סמוך לקיבוץ ברור חיל</t>
  </si>
  <si>
    <t>Wadi near Kibbutz Bror</t>
  </si>
  <si>
    <t>Kibbutz Bror Hail</t>
  </si>
  <si>
    <t>מרדף ומארב</t>
  </si>
  <si>
    <t>Pursuit and ambush</t>
  </si>
  <si>
    <t>שני צוותים בפיקוד עמוס ירקוני</t>
  </si>
  <si>
    <t>Both teams under the command of Amos Yarkoni</t>
  </si>
  <si>
    <t>שלושה מסתננים הניחו חומר-נפץ תחת שני בניינים במושב שדה-חמד, בקרבת כפר-סבא. איש לא נפגע</t>
  </si>
  <si>
    <t>על אף הצלחת המבצע, בסיומו ביקש ירקוני מאלוף הפיקוד זמיר שימצא לו צחליף בפיקוד על היחידה שכן ידו הקטועה ורגלו הפגועה לא יאפשרו לו להמשיך ולהוביל את חייליו במרדפים</t>
  </si>
  <si>
    <t>Despite the success of the operation, at the end Yarkoni GOC wanted to find him Tzhlif nightingale commanded the unit since severed hand and his bad leg would not allow him to continue to lead his pursuits</t>
  </si>
  <si>
    <t>מצרים מזויינים ניסו לפרוץ לקיבוץ בית-קמה. שומרי המשק הבחינו בהם והניסו אותם. בחילופי הירי נפגעו מס' בע"ח של המשק.</t>
  </si>
  <si>
    <t>2/28/1955</t>
  </si>
  <si>
    <t>Gaza Raid ; "Black Arrow"</t>
  </si>
  <si>
    <t>Eye Cadiz ; Gaza</t>
  </si>
  <si>
    <t>The train station north of Gaza City ; Gaza</t>
  </si>
  <si>
    <t>Charging a price for terrorist infiltrations of Rishon Lezion and the murder of a citizen from Kfar Gabirol. Occupation and destruction of an Egyptian military camp. Attack on an Egyptian army camp, Institute of Water and Train Station; Institute explosion and water damage to a railway station including ambushes and eliminating reinforcements. A complex operation with multiple destinations. Two companies under the command of Motta Gur and Saadi Elkayam</t>
  </si>
  <si>
    <t>חבלנים שהסתננו מירדן הניחו 2 ק"ג חומר נפץ ופצצו את בריכת סינון המים של קיבוץ עין-חרוד</t>
  </si>
  <si>
    <t>אחר חצות</t>
  </si>
  <si>
    <t xml:space="preserve">G post-Joy-T </t>
  </si>
  <si>
    <t>זכריה קורוטה</t>
  </si>
  <si>
    <t>מוצבים סורים פתחו באש על מכונית של משק גוברים שהיתה בדרכה מהמשק למכון המים. לא היו נפגעים</t>
  </si>
  <si>
    <t>שעות ערב מוקדמות</t>
  </si>
  <si>
    <t>0020</t>
  </si>
  <si>
    <t>מסתננים מירדן ניסו לפוצץ בית בבית-קמה שבדרום בעזרת לבני-חבלה. נזק קל נגרם לרכוש ולא היו אבדות בנפש</t>
  </si>
  <si>
    <t>אש מקלעים מ-2 מכוניות הלגיון הערבי נפתחה לעבר קבוצת חברי משק להב שיצאו לעבודה וסטו בטעות לקו שביתת הנשק</t>
  </si>
  <si>
    <t>1100</t>
  </si>
  <si>
    <t>מוצבים סורים פתחו באש מקלעים לעבר קיבוץ דן. האש נמשכה 20 דקות. אין נפגעים מבין אנשי המשק</t>
  </si>
  <si>
    <t>נמרוד פלדמן</t>
  </si>
  <si>
    <t>ירדנים מזויינים הרגו תושב מושב זנוח שבפרוזדור ירושלים. המתנקשים ארבו לאיש בסיבוב בכביש מבית-שמש לזנוח ואז פתחו באש</t>
  </si>
  <si>
    <t>טרקטוריסט עלה על מוקש כאשר נכנס לתוך ערוץ קטן., הנהג נפצע קל</t>
  </si>
  <si>
    <t>Easy-wide fleet commander, had hoped to raise the fighting ability, confidence and morale of Flotilla 13 fighters were frustrated idleness at Ssarlohmi army carried out large land deals. Check the missile boat up to approximately 37 km from the coast, down boat "Bird" and the decline of divers into the water about 500 meters from the breakwater and then penetrate quiet port. INS Nga, launches "bird", four divers</t>
  </si>
  <si>
    <t>יוסף כהן</t>
  </si>
  <si>
    <t>יוסף כהן שבא ממטולה לירושלים בכדי להפגש עם המלך חוסיין ולהשכין שלום נהרג מירי הלגיון הערבי בשטח ההפקר אשר בשכונת מוצררה בירושלים</t>
  </si>
  <si>
    <t>אחרי חצות</t>
  </si>
  <si>
    <t>אברהם גלייכמן</t>
  </si>
  <si>
    <t>שני אזרחים ישראלים נפצעו בעלותם על מוקש בכביש הסרגל והתקפה ממארב כ-5 ק"מ מהגבול הירדני.</t>
  </si>
  <si>
    <t>אש רובים נפתחה משטח ירדן לעבר קבוצת מטיילים באזור קיבוץ נחשונים. איש לא נפגע</t>
  </si>
  <si>
    <t>אש רובים נפתחה על קבוצת חברי שדה-אליהו שעבדו בשדות המשק. אדם אחד נפצע קל ברגלו</t>
  </si>
  <si>
    <t>Examine the possibility of future income of explosives into the river boats to sabotage bridged. Check Adsmoc estuary aboard the INS Venus, the decline fighters that you have lived at the target and testing. INS Venus and an unknown number of combatants.</t>
  </si>
  <si>
    <t>טוריות-&gt;</t>
  </si>
  <si>
    <t>יעקב יחיא</t>
  </si>
  <si>
    <t>5 , ממתיישבי מושב העולים תנובות הותקפו ע"י  כ-40 ערבים מהכפר השכן קלנסואה. חמישתם נפצעו</t>
  </si>
  <si>
    <t>הסורים פתחו באש על אנשי קיבוץ האון שבדרום מזרח הכינרת. האש נמשכה כרבע שעה. לא היו נפגעים</t>
  </si>
  <si>
    <t>Rafah operation; "Operatiom Philistine"</t>
  </si>
  <si>
    <t>Gaza; Rafah</t>
  </si>
  <si>
    <t>Military base near Rafah in southern Gaza Strip ; Rafah</t>
  </si>
  <si>
    <t>Collection of price by the intrusion of Ashkelon fedayeen cells and killing of soldiers by a mine near Kibbutz Be'eri. Raiding outposts and camps of the Egyptian army in Rafah; Company D under the command of Motta Gur. Raiding his company deep into the Gaza Strip, damaging the Egyptian army camp in Rafah</t>
  </si>
  <si>
    <t>2 יהודים נרצחו ואחד נפצע במארב מסתננים מירדן על ג'יפ אזרחי בנגב</t>
  </si>
  <si>
    <t>מסתננים ירדנים פתחו באש מתוך שטח ישראל לעבר קבוצת מטיילים שהיתה 4 ק"מ צפונית מבית-גוברין, לאחר הירי הסתלקו המסתננים</t>
  </si>
  <si>
    <t>8/31/1955</t>
  </si>
  <si>
    <t>Operation Khan Younis ; "Operation Elkayam" operation in Khan Yunis</t>
  </si>
  <si>
    <t>Rafah ; Khan Younis</t>
  </si>
  <si>
    <t>Police Khan Yunis in the Gaza Strip and placed in 132 village Absan; Khan Younis</t>
  </si>
  <si>
    <t>Injury Fedayeen headquarters and served as a Palestinian brigade in the Egyptian army. Raid, pressing headquarters and detonated. This action moves the first time Asante force on Zhlm"im. The first action to take on half-tracks and blowing up a police building (new martial theme). Three troops from Battalion 890 D. Command Motta Gur, the Lord commanded by Rafael Eitan, A. Command Command Uzi Elam. Aaron David replaced the puppy after being injured breaking into the headquarters.  Carried out by the forces of biased, Eitan Levi, Tibi, Stempel, holidays, Jeremy, Doron, David and works Ldiz'inski.</t>
  </si>
  <si>
    <t>שלושה מסתננים מירדן פתחו באש אוטומטית וזרקו רימונים על רועים ישראלים באזור ההאחזות לכיש, אין נפגעים, המסתננים נמלטו</t>
  </si>
  <si>
    <t>שמעון שווארץ</t>
  </si>
  <si>
    <t>9/22/1955</t>
  </si>
  <si>
    <t>Operation Nitzana ; Operation "Cotton" act of Nitzana</t>
  </si>
  <si>
    <t>סורים התקיפו דייגים ישראלים בכנרת ממוצב סורי ממזרח לכינרת ע"י מטר אבנים ואש רובים.</t>
  </si>
  <si>
    <t>Khan Yunis ; Nitzana area - a demilitarized zone between Israel and Egypt</t>
  </si>
  <si>
    <t>The demilitarized zone on the Egyptian border at Nitzana</t>
  </si>
  <si>
    <t>During the Egyptian border marking the Nitzana area, it was discovered that the Egyptians built two stationed in Israel. The withdrawal of Egyptian forces in the area was supposed to be demilitarized. Login force commanded by Meir Har-Zion to the area, taking over the headquarters of the UN observers and stopping power of the Egyptian guard who was there; Force led by Meir Har-Zion took over the headquarters of the UN observers in Auja. In return marked for evacuation Egyptians stationed unloaded.</t>
  </si>
  <si>
    <t>0000</t>
  </si>
  <si>
    <t>הסורים פתחו באש לעבר דייגים בכינרת, האש נמשכה כרבע שעה</t>
  </si>
  <si>
    <t>רימונים-&gt;</t>
  </si>
  <si>
    <t>ארבעה אזרחים ישראלים עובדי חברת תכנון המים לישראל, נרצחו ע"י כנופייה ירדנית שארבה להם בכביש מעין-יהב לבאר-מנוחה ונמלטה אח"כ</t>
  </si>
  <si>
    <t>הסורים פתחו באש לעבר דייגים ממגדל שהיו במרחק 203 מ' מהמוצבים הסורים</t>
  </si>
  <si>
    <t>0015</t>
  </si>
  <si>
    <t>10/22/1955</t>
  </si>
  <si>
    <t>Customs House operation ; Operation "hairy" customs house operation</t>
  </si>
  <si>
    <t>Nitzana ; Syria - Golan Heights</t>
  </si>
  <si>
    <t>Road Custom House at Gesher Benot Ya'akov ; Golan Heights</t>
  </si>
  <si>
    <t>Capture of Syrian soldiers in order to free the soldier Jacob Minsky, Nahal soldier who was kidnapped and prisoners of operation "cricket". Syrian army attack on a customs house and the attack on the outpost "Aorfiih" north of Gesher Benot Ya'akov. Apprehended four soldiers and an officer to release five Syrian intelligence soldiers who were captured while trying to take care of bugs in the Golan Heights.Customs raid on a house under the command of forces participated Tibi Shapiro, Leo Biro, work and Yoav Shaham After obtaining, on Aorfiih commanded forces took control of Meir Har-Zion, Danny Matt and Musa pencil. There is no exact number of soldiers</t>
  </si>
  <si>
    <t>אש מקלעים מעמדות סוריות נפתחה לעבר מטוס ישראלי שחג באזור קיבוץ דפנה,, הטייס נחת נחיתת אונס בקיבוץ ונפגע</t>
  </si>
  <si>
    <t>10/27/1955</t>
  </si>
  <si>
    <t>Operation Kuntilla ; Operation "bundle" Kuntilla operation.</t>
  </si>
  <si>
    <t>Katzrin; Egypt - Castle Kuntilla River area</t>
  </si>
  <si>
    <t xml:space="preserve">Police Kuntilla Sinai, on the road ; Kuntilla Castle </t>
  </si>
  <si>
    <t>Retaliatory action by the intrusion Egyptian army Nitzana area, occupying an IDF outpost near Be'erotayim, killing soldiers and capture of two others;Bankruptcy depth (20 km to enter Egyptian territory) in order to occupy the fortress Kuntilla and taking many prisoners as possible. The first action deep in Egypt in order to conquer the fortress Kuntilla (opposite the river Piran) and take many prisoners as possible. Forces under the command of Meir Har-Zion, Rafael Eitan, Musa pencil, Chaim Shapiro real and Tibi. There is no exact number of soldiers.</t>
  </si>
  <si>
    <t>אדם נהרג בביתו במושב נחום כאשר ניסה למנוע ממסתננים מלגנוב כבשים, הוא נורה ונהרג, במרדף אחר המסתננים נהרג אחד מהם.</t>
  </si>
  <si>
    <t>11/2/1955</t>
  </si>
  <si>
    <t>Faoltsbh'h ; "Operation Volcano" operation Tzavha</t>
  </si>
  <si>
    <t>River Piran ;Egyptian military posts in the demilitarized zone in Nitzana and an Egyptian outpost was built on Israeli territory</t>
  </si>
  <si>
    <t>Hsbh'h positions and positions Anokye had retained them in Sinai near the Nitzana</t>
  </si>
  <si>
    <t>Egyptians price collection for violating the armistice agreement signed with them, and the withdrawal of occupation forces positioned Egyptians built contrary to the agreement. Hsbh'h occupation positions and positions Anokye had retained them Egyptian. The first operation carried out by the 890 Infantry Battalion together with the Lebanese deer Command, commanded the Golani unit Uri Bar-will, Elisha's reserve company intact and novices of Musa pencil. 7 raid carried out by forces stationed paratroopers and Golani previously carried artillery shelling in view of the observations and intelligence data. Sharon commander and deputy commander Aharon Davidi commanded a paratrooper unit consisting of five companies and given the task to conquer and purify four outposts and Golani force consisting of four companies was required to purge and capture three outposts</t>
  </si>
  <si>
    <t>טייס</t>
  </si>
  <si>
    <t>אש מקלעים ומרגמות נורתה מהצד הירדני של הכפר ברטעה לעבר פקידי מכס ישראלים, 3 שוטרים שבאו לעזרתם נפגעו מהירי שנמשך לסרוגין כל אחה"צ.</t>
  </si>
  <si>
    <t>מוסטפה חסן-עכאד</t>
  </si>
  <si>
    <t>סלמן יחיא</t>
  </si>
  <si>
    <t>שלושה כלי רכב ישראלים הותקפו באש מקלעים ורימונים על כביש ואדי-ערה</t>
  </si>
  <si>
    <t>2345</t>
  </si>
  <si>
    <t>כנופיות הפדאיון ביצעו שרשרת תקיפות בדרום על ישובים אזרחיים, תחבורה ומכוני מים.</t>
  </si>
  <si>
    <t>מאיר פלאו</t>
  </si>
  <si>
    <t>חוליית פדאיון תקפה משק גלאון ברימונים ויריות, אישה נפצעה, ושני בתים במושב שפיר, ילד אחד ניפגע</t>
  </si>
  <si>
    <t>2350</t>
  </si>
  <si>
    <t>Faoltcinrt ; "Operation Olive Leaf" Operation Sea of ​​Galilee</t>
  </si>
  <si>
    <t>Nitzana ; Syria - Syrian army outposts north and east of Galilee</t>
  </si>
  <si>
    <t>מיכאל כפרי</t>
  </si>
  <si>
    <t>Syrian positions along the northeastern coast of the Sea of ​​Galilee; Syria - Syrian army outposts north and east of Galilee</t>
  </si>
  <si>
    <t>Leaders (political leadership) were not involved in the operation, therefore, did not approve it and the objectives. Occupation and Syrian positions explosion all over the eastern and northern Sea of ​​Galilee. Occupation and blast all the Syrian position north and east of Galilee. Forces attacked from various quarters, including the landing from the sea. The first action combined landing from the sea and artillery. Samuel Goldberg commanded the Givati ​​troops and complete the Nahal soldiers who were Elisha. Forces paratrooper regiment included 890, including fighters patrol, and the soldiers of Infantry Battalion of the Givati. It also took part naval forces landed the Company D of the 890th, artillery and air force helped coordinate forces.</t>
  </si>
  <si>
    <t>חוליות הפדאיון המשיכו בהתקפותיהן על תחבורה ישראלית וישובים ישראלים בדרום הארץ ובנגב. ישראלי אחד נהרג ושלושה נפצעו</t>
  </si>
  <si>
    <t>4 ילדים ומדריך נרצחו בשפריר, 16 נפצעו, בטבח שביצעה חוליית פדאיון בבית הכנסת בישוב, בבריחתם פגעו בדרך באוטובוס, מכונית משטרה ובית פרטי</t>
  </si>
  <si>
    <t>צבי שמיר</t>
  </si>
  <si>
    <t>חדר האוכל של מפעל מלט התמוטט ונשרף לאחר שמטען נפץ שהוטמן במקום התפוצץ, העקבות הן של אדם אחד שהובילו לגבול הירדני</t>
  </si>
  <si>
    <t>שמחה זילברשטרוך</t>
  </si>
  <si>
    <t>שני ירדנים חמושים פוצצו את צינור המים של קיבוץ להב ע"י חומר נפץ, הם הצליחו להמלט, אין נפגעים</t>
  </si>
  <si>
    <t>מסתננים מלבנון הניחו חומר נפץ בצינור המים של הבריכה במושב גורן ופוצצו אותו, לא היו נפגעים</t>
  </si>
  <si>
    <t>הסורים פתחו ביריות בודדות לעבר סירות דיג בכינרת, אין נפגעים</t>
  </si>
  <si>
    <t>מסתננים חדרו לשדות נחל-עוז וחבר משק שיצא להזהירם הותקף ע"י חיילים מיצרים שחיפו עליהם, הוא נחטף ונרצח</t>
  </si>
  <si>
    <t>0620</t>
  </si>
  <si>
    <t>מסתננים מירדן פוצצו בנין ציבורי עזוב במרחק 4 ק"מ מהגבול, ליד טול-כרם, אין נפגעים</t>
  </si>
  <si>
    <t>אליהו סוקניק</t>
  </si>
  <si>
    <t>59</t>
  </si>
  <si>
    <t>אש אוטומטית נורתה על מכונית ישראלית שהיתה בדרכה מרמת-כובש לכפר-סבא. איש לא נפגע. העקבות הובילו לקו שביתת הנשק עם ירדן</t>
  </si>
  <si>
    <t>רועי רוטברג</t>
  </si>
  <si>
    <t>סירת דיג ישראלית הותקפה מעמדה סורית. איש לא נפגע</t>
  </si>
  <si>
    <t>שני חברי משק גונן נפצעו מיריות מעמדה סורית לעבר קבוצת עובדים</t>
  </si>
  <si>
    <t>מסילת הברזל לב"ש פוצה בק"מ ה-20 ע"י חומר נפץ שהניחו חבלנים ירדנים, העקבות הובילו לגבול הירדני</t>
  </si>
  <si>
    <t>הרוג ופצוע קל בירושלים, שני בחורי ישיבה שניסו לכבות דליקה בשדה קוצים נורו ע"י הלגיון הערבי</t>
  </si>
  <si>
    <t>אברהם יוקנין</t>
  </si>
  <si>
    <t>24</t>
  </si>
  <si>
    <t>ירדנים פתחו באש בגזרת טול-כרם לעבר פועלים ישראלים שעבדו בסביבות יד-חנה סנש, הירי נמשך לסרוגין למעלה משלוש שעות, 2 נפצעו</t>
  </si>
  <si>
    <t>1720</t>
  </si>
  <si>
    <t>באקר מוחמד עלי</t>
  </si>
  <si>
    <t>קבוצה גדולה של מסתננים מסוריה, כ-20 איש, חצו את הגבול ליד קיבוץ דן, הציתו שדות תבואה וניסו לחטוף חבר קיבוץ אך חברים שראו את השריפה באו</t>
  </si>
  <si>
    <t>Comment on murder carried out by a squad of Fedayeen in the south. Since the cell is activated by Egyptian intelligence, decided to attack military base. Zoom secret entrance to the camp, carrying out acts of sabotage and damage to the unit in which the sitting. Force Battalion 88 of the Nahal Airborne that came shortly before the Paratroopers Brigade. Battalion lacked any experience in combat and therefore decided to take action to enable commanders "worn." Force consisted of 12 officers and carpenters Regiment</t>
  </si>
  <si>
    <t>8/30/1956</t>
  </si>
  <si>
    <t>Operation Qseimme</t>
  </si>
  <si>
    <t>שני מקרים של ירי, לפנות בוקר ירו מצרים לעבר נהג טרקטור מהמשק ניר-עוז, אחה"צ ירו ירדנים לעבר טרקטור באדמות מושב ירחיב, תקפו באפיקים</t>
  </si>
  <si>
    <t>מרדכי גלצר</t>
  </si>
  <si>
    <t>Operation A-Rhooh ; "Operation Thunderbolt", a function-Rhooh</t>
  </si>
  <si>
    <t>Qseimme ; Jordanian police building in Rhooh, near the Hebron - Beer Sheva</t>
  </si>
  <si>
    <t>A Police Building Shop southern Hebron hills, north of redundancyy; Rahwah</t>
  </si>
  <si>
    <t>Charging a price for the murder of six reserve soldiers and the wounding of three by the Jordanian Legion soldiers training area near the town Amazya currently before the operation;  Jordanian police raid, cleaning ditches, running blockades, gathering a variety of documents and police building explosion. Police raided the building, cleaning the ditches around the station and blocking Jordanian reinforcements because Dahariyya; Paratroopers Battalion 890 and Battalion 88 and paratroop commando unit</t>
  </si>
  <si>
    <t>מסתננים לבנונים פוצצו מבנים סמוכים לגבול, מהפיצוץ נהרג אדם אחד, לאחר מכן פתחו ביריות מהן נפגעו עוד 8 איש</t>
  </si>
  <si>
    <t>9/13/1956</t>
  </si>
  <si>
    <t>Arandal operation ; "Operation Gulliver" operation A'rdnl</t>
  </si>
  <si>
    <t>excessive ; Jordan - Legion Bardnl station (south road parallel to the prairie)</t>
  </si>
  <si>
    <t>Arandal police Jordan in the Arava border east of Mount Ya'alon ; Ardanel</t>
  </si>
  <si>
    <t>Collection Jordanian price ambush on a civilian bus on the Arava road on 08/16/1956, killing a woman and three paratroopers who escort vehicle, and charging a price for the murder of three Druze guards drilling in "Ein Ofarim" at Hazeva on 12/09/1956. Raiding, conquest and destruction of the Jordanian police Prairie was fortified and has three floors. Housed a company of "Desert Commandos" of the Legion. Conquest and destroying a police A'rdnl. Three troops from Battalion 890 and Battalion Detachment our NCO Course 88.</t>
  </si>
  <si>
    <t>לפנות בוקר פתחו המצרים באש מקלעים ורובים לעבר משק נירים, האש נמשכה במשך כשעה, לא היו נפגעים</t>
  </si>
  <si>
    <t>9/25/1956</t>
  </si>
  <si>
    <t>Operation Husan; "Lulav" act of Husan</t>
  </si>
  <si>
    <t>Mount Ya'alon ; Jordan - Husan police and border outposts of the Jordanian Legion in Bethlehem</t>
  </si>
  <si>
    <t>Police Husan, west of Bethlehem near Betar Illit ; Bethlehem</t>
  </si>
  <si>
    <t>Charging a price for the murder of four scientists archaeologists who took part in the conference at Kibbutz Ramat Rachel, wife murder and murder seat Aminadav agricultural Kibbutz Maoz Haim. The first divisional action with the participation of Battalion 890 Regiment 88, and auxiliary forces brigade. Police raided the building of Husan and three are stationed nearby. Police raided the building of Husan and border outposts, police fortress demolition and nearby structures. Six companies of paratroopers battalions 890 and 88 and paratroop commando unit.</t>
  </si>
  <si>
    <t>מס' צרורות מנשק אוטומטי נורו משטח ירדן לכיוון "מבשרת ירושלים". מול הישוב החדש נמצא שיכון של אנשי ליגיון ירדני. לא היו נפגעים</t>
  </si>
  <si>
    <t>10/10/1956</t>
  </si>
  <si>
    <t>Qalqilya operation ; "Operation Bank" operation in Qalqilya</t>
  </si>
  <si>
    <t>Beitar Illit ; Jordan - Castle Qalqilya police</t>
  </si>
  <si>
    <t>Police citadel north of the town of Qalqiliya ; Qalqilya</t>
  </si>
  <si>
    <t>שבעה אנשים מזוינים ברובים התקיפו שני עובדי "מחצבי ישראל" צפונית לחצבה, שני הנוסעים נהרגו</t>
  </si>
  <si>
    <t>Collection of aggravated murder of two workers from Even Yehuda orchard near Neveh Hadassah. Second divisional action with the participation of Battalion 890, Battalion 88, Battalion 332, a force from the Givati ​​Brigade and artillery batteries. The occupation of the fort, the elimination of legionnaires and the blowing up of police.. The goal of occupation and the bombing raid Qalqiliya police. Latest retaliation. The second action Paratroopers Brigade, commanded commander of the Paratrooper 202 Sharon six powers.</t>
  </si>
  <si>
    <t>חמד עבדול ראני</t>
  </si>
  <si>
    <t>כנופיה בת 4 ירדנים חמושים בנשק קל רצחה צעיר בן 25 ולאחר חצי שעה שיחררה את הצעירה שהיתה עימו</t>
  </si>
  <si>
    <t>2150</t>
  </si>
  <si>
    <t>פועל שעסק בפינוי ערימת אבנים נפצע כאשר רימון שהוטמן מתחת לאבנים התפוצץ, באותו הזמן נורו מס' יריות מעמדת הלגיון, לא היו נפגעים נוספים</t>
  </si>
  <si>
    <t>דייגים מטבריה הותקפו ביריות ע"י הסורים. לא היו נפגעים. האש נמשכה לסרוגין כ-15 דק'. בערב החלו יריות בודדות מהצד הסורי</t>
  </si>
  <si>
    <t>יוחנן גוטמן</t>
  </si>
  <si>
    <t>יריות נורו על הכפר יערה בקרבת גבול לבנון. העקבות הובילו ללבנון. לא היו נפגעים</t>
  </si>
  <si>
    <t xml:space="preserve">Date </t>
  </si>
  <si>
    <t>אריה גרובק</t>
  </si>
  <si>
    <t>Date - Translated</t>
  </si>
  <si>
    <t>אש נפתחה משטח ירדן לעבר קבוצת פועלים בגני ירושלים שבקסטל. במקום נתגלה חוט עם מוקש שהונח כ-100 מ' מקו שביתת הנשק. אין נפגעים</t>
  </si>
  <si>
    <t>Desciption</t>
  </si>
  <si>
    <t>Tactics</t>
  </si>
  <si>
    <t>ברוך קרסבין</t>
  </si>
  <si>
    <t>אש רובים ומקלעים משטח סוריה נפתחה לעבר פועלים מצפון לים החולה. אין נפגעים</t>
  </si>
  <si>
    <t>מסתננים מירדן חדרו לפנות בוקר למשק מעלה-החמישה והטילו רימון יד לבית הילדים. לא היו נפגעים. בדרכם חזרה ירו על אוטובוס ריק בחצר המשק</t>
  </si>
  <si>
    <t>כ-20 אנשי קומנדו ירדני התקיפו אוטובוס בכביש לאילת, נוסעת ו-3 חיילי צה"ל נהרגו ו-7 נוסעים ו-2 חיילים נפצעו</t>
  </si>
  <si>
    <t>1130</t>
  </si>
  <si>
    <t>מכונית משא אזרחית שהיתה בדרכה לב"ש עלתה על מוקש, 5 נפצעו מהם אחד קשה</t>
  </si>
  <si>
    <t>מסתננים מירדן הניחו לבני חבל על מסילת הברזל לב"ש, המסילה ניזוקה. המסתננים נמלטו</t>
  </si>
  <si>
    <t>מסתננים ירדנים תקפו בסכינים והרגו שלושה שומרים דרוזיים בעין-עופרים, צפונית מחצבה</t>
  </si>
  <si>
    <t>תרצה זרחי</t>
  </si>
  <si>
    <t>חיילי הליגיון הירדני ירו צרורות ממקלע לעבר המון שהיה בכינוס ארכיאולוגי, 3 נהרגו ו-19 נפצעו</t>
  </si>
  <si>
    <t>1630</t>
  </si>
  <si>
    <t>גדעון ויסמן</t>
  </si>
  <si>
    <t>כנופייה ירדנית מזוינת רצחה חמישה יהודים ואחד נפצע קשה, בהתקפה על 3 מכוניות בכביש סדום-ב"ש</t>
  </si>
  <si>
    <t>שני פועלים יהודים שעבדו בפרדסי אבן-יהודה נרצחו ע"י מסתננים ירדנים. הרוצחים כרתו אוזן מכל קורבן</t>
  </si>
  <si>
    <t>נואף אבו גאזי</t>
  </si>
  <si>
    <t>אנשי הפדאיון חדרו לאשקלון ופוצצו גשר מסילת ברזל וטרנספורמטור חשמלי, פגעו באוטובוס ופגע במכוני מים. היו גם חבלות בכביש והתקפה על תלמים</t>
  </si>
  <si>
    <t>חיה רם (גרוסמן)</t>
  </si>
  <si>
    <t>ליד עומר פוצץ מעביר מים והותקף ג'יפ, שנים מנוסעיו נפצעו, ליד טייבה נורו יריות על מכונית, אין נפגעים, ליד בית-קמה נורו יריות, אין נפגעי</t>
  </si>
  <si>
    <t>Anchorage test and Customs patrol boats and equipment and the structure of the breakwater. Stealth Two pairs of divers to the harbor. St"il, a torpedo boat and four fighters, several other soldiers is not known</t>
  </si>
  <si>
    <t>הפדאיון הניחו חומר נפץ בתנה בכפר-שמואל, פוצצו צינור מים במסילת-ציון ובאר מים בנתיב הל"ה, לא היו נפגעים</t>
  </si>
  <si>
    <t>יחיאל פינרו</t>
  </si>
  <si>
    <t>32</t>
  </si>
  <si>
    <t>חוליית פדאיון מירדן חיבלה במסילת הברזל לב"ש ב-3 מקומות, מהפיצוץ ניזוק קל מעביר המים של המסילה</t>
  </si>
  <si>
    <t>שמריה קורנמן</t>
  </si>
  <si>
    <t>46</t>
  </si>
  <si>
    <t>שני שומרי משק מסילות נרצחו ע"י 3 מסתננים שברחו לירדן, בגופותיהם ניכרו סימני התעללות</t>
  </si>
  <si>
    <t>עשרה פצועים</t>
  </si>
  <si>
    <t>שני רימונים הושלכו ע"י הפדאיון לתוך בית בכפר-הס, אין נפגעים</t>
  </si>
  <si>
    <t>4800</t>
  </si>
  <si>
    <t>חולית פדאיון חדרה מירדן לתל-מונד ופוצצה ע"י מטען נפץ בית בן שתי קומות, אדם נהרג ואשתו ובתו נפצעו, העקבות הובילו לקלנסואה במשולש הקטן</t>
  </si>
  <si>
    <t>2315</t>
  </si>
  <si>
    <t>עשרה מחבלים</t>
  </si>
  <si>
    <t>בנין קופ"ח ביקנעם חובל ע"י חומר נפץ עם מנגנון השהייה, אין נפגעים, העקבות הובילו לירדן</t>
  </si>
  <si>
    <t>שמעון ויק</t>
  </si>
  <si>
    <t>33</t>
  </si>
  <si>
    <t>חולית פדאיון הניחה מטען נפץ מתחת לבית בעין-וורד, ניסתה לחדור לשריד ופתחה באש מקלעים ורימונים על שומרי שריד ומושב פורת. לא היו נפגעים</t>
  </si>
  <si>
    <t>0745</t>
  </si>
  <si>
    <t>צינור מים פוצץ בסביבת מגדל-צדק, העקבות הוביו לגבול שביתת הנשק עם ירדן</t>
  </si>
  <si>
    <t>Syrian reward for incessant Htncoliot fishermen and incidents of fire in the area by demolishing outposts, vulnerable Syrian soldiers and destroying Syrian Fishing Boats.  Golani troops raid and Flotilla 13.  Golani Brigade, commanded by Mordechai Gur, 14 naval fighters under the command of Captain Enoch Manor.</t>
  </si>
  <si>
    <t>אש רובים ומקלעים סורית נורתה לבר שני חברי משק גונן שיצאו לציד חזירי בר, 1 נפצע קל</t>
  </si>
  <si>
    <t xml:space="preserve">Introductions more </t>
  </si>
  <si>
    <t>שני פיצוצים בצינור המים נתגלו בקרבת גבעת-עוז, עקבות של 3 אנשים הובילו לקו שביתת הנשק עם ירדן</t>
  </si>
  <si>
    <t>צעיר נפצע מירי הצבא הסורי שעה שטייל עם חבריו ליד דרדרה, בצפון עמק החולה</t>
  </si>
  <si>
    <t xml:space="preserve">Armed Bedouin tribe expulsion Azzama penetrate Israel. Check on vehicles camouflaged expulsion of Bedouins who are convinced that remain deployed along the Egyptian border in the Sinai. The modus operandi is unknown. </t>
  </si>
  <si>
    <t>יריות נורו ע"י הסורים לעבר סירת דייגים מטבריה בגדה המזרחית של הכינרת, הדייג נפצע קל</t>
  </si>
  <si>
    <t>08/00/953</t>
  </si>
  <si>
    <t>Retaliation for throwing grenades to children in Kiryat Yearim. Tour violent</t>
  </si>
  <si>
    <t>יעקב סנדרוב</t>
  </si>
  <si>
    <t>08/00/1954</t>
  </si>
  <si>
    <t>The return of a captive operation Azzun village, Warrior Yitzhak Gibli.. Capture of Jordanian soldiers and replacing them Gibli. Squads under the command of Ariel Sharon, Meir Har-Zion and Aharon Davidi.</t>
  </si>
  <si>
    <t>סירות דיג של משק עין-גב וגינוסר שימשו מטרה להתקפת ירי ממושכת מצד המוצבים הסורים לאורך החוף הצפוני-מזרחי של הכינרת, אין נפגעים</t>
  </si>
  <si>
    <t>Egyptian frigate moored injury occasionally in the Gulf of Taba, after opening fire on Israeli aircraft and was part of the Egyptian forces intended to impose a blockade on Eilat. Rowing Bkiaikim the key intention of bay frigate.  A group of fighters - an unknown number.</t>
  </si>
  <si>
    <t>יובל נופר</t>
  </si>
  <si>
    <t>17</t>
  </si>
  <si>
    <t>רועה מקיבוץ בית גוברין נורה ונרצח ע"י מסתננים מירדן. עקבות של שני אנשים הובילו לשטח ירדן</t>
  </si>
  <si>
    <t>Htncoliot reward for incessant Syrian and Israeli fishermen in fire incidents. Infantry forces raid the outposts. Paratroopers and Givati, two fishing boats and rubber boats for transporting troops.</t>
  </si>
  <si>
    <t>נעים אזאוולוס</t>
  </si>
  <si>
    <t>Injury Egyptian frigate moored in the Gulf; Drop fighters and motorized planes Dakota kayaking, rowing, swimming and laying mines frigate and collection by motor boat armed after the action. Dakota and 13 naval fighters - an unknown number</t>
  </si>
  <si>
    <t>Egyptian intelligence officials Perception. Mounted patrol and legs.  Command car, warriors and scouts commanded Amos Yarkoni.</t>
  </si>
  <si>
    <t xml:space="preserve">Erez Industrial Zone </t>
  </si>
  <si>
    <t>0045</t>
  </si>
  <si>
    <t>Update Maps; Horseback Tour; The two command cars with fighters and scouts led by David Ben-Hur, a plane and a helicopter rescue.</t>
  </si>
  <si>
    <t>הסורים ירו לעבר אשמורה, מזרחית להחולה, לא היו נפגעים</t>
  </si>
  <si>
    <t>Elimination and capture of Egyptian intelligence officials; Mounted patrol and legs. Command car with fighters and scouts led by Uri Fishing.</t>
  </si>
  <si>
    <t>שלמה אמסלם</t>
  </si>
  <si>
    <t>טרקטור שעבד בשדה בשטח ישראל ליד נווה-ימין נורה ע"י ירדנים</t>
  </si>
  <si>
    <t>דן גלעד</t>
  </si>
  <si>
    <t>הסורים ירו בשעות הבוקר יריות לעבר כפר סולד, לא היו נפגעים</t>
  </si>
  <si>
    <t xml:space="preserve">Searching for paratroop reconnaissance, Yair Peled, who went missing during the training navigation; Walking tour ; Hfios squad commanded by Nissan Sheeran. </t>
  </si>
  <si>
    <t>9/00/1959</t>
  </si>
  <si>
    <t>Egyptian intelligence officials Perception; Mounted patrol and legs;  Warriors led by Nissan Sheeran.</t>
  </si>
  <si>
    <t>11/00/1959</t>
  </si>
  <si>
    <t>Egyptian intelligence officials Perception; chase; A team led by Dov Strlitz</t>
  </si>
  <si>
    <t>12/00/1959</t>
  </si>
  <si>
    <t>Egyptian intelligence officials Perception; chase; A team of five soldiers under the command of Amos Yarkoni, Dov Strlitz + helicopter.</t>
  </si>
  <si>
    <t>הקומנדו המדברי הירדני ביצע 3 תקיפות על כלי רכב באזור באר-מנוחה, אדם אחד נהרג ו-3 נפצעו בהם אחד קשה</t>
  </si>
  <si>
    <t>1815</t>
  </si>
  <si>
    <t>חבר משק גדות נפצע בשעה שעלה עם הטרקטור על מוקש כקילומטר אחד מהגבול הסורי</t>
  </si>
  <si>
    <t>Perception four infiltrators, whose consequences were identified; Chase mounted and legs; Both teams had their command cars, commanded by Ori Ami risk and fishing, to force also joined Amos Yarkoni first operational activities since being wounded in battle, followed by one of his hands cut off.</t>
  </si>
  <si>
    <t>יחזקאל בן סלאח</t>
  </si>
  <si>
    <t>מהנדס מים ממנהל המים בטבריה נרצח ביריות צלף סורי בשעה שהיה בשטח ישראל</t>
  </si>
  <si>
    <t>The perception of a terrorist cell Shrghcmh hours earlier, an Israeli motorist traveling on the Arava Road;  And dealt to draw cells to block and ambush; Three squads heated.</t>
  </si>
  <si>
    <t>מכונית ישראלית עלתה על מוקש שהונח בסביבות דקל אשר מול רצועת עזה. 2 מהנוסעים נפצעו והמכונית ניזוקה, העקבות הובילו לגבול רצועת עזה</t>
  </si>
  <si>
    <t>06/00/1961</t>
  </si>
  <si>
    <t>Injury infiltrators; Chase accordance with footprints on the ground; Tour teams under the command of Amos Yarkoni, who was then commander of the unit. Combine jeweler force of Kibbutz flashes.</t>
  </si>
  <si>
    <t>0315</t>
  </si>
  <si>
    <t>ישראל רוטמן</t>
  </si>
  <si>
    <t>Injury infiltrators, whose consequences were identified Bazior even two weeks earlier; Chase accordance with footprints on the ground;  tour</t>
  </si>
  <si>
    <t>שישה חיילים סורים פתחו באש על כפר סולד, אדם שעבד במשק נפצע ברגלו</t>
  </si>
  <si>
    <t>יצחק בורשטיין</t>
  </si>
  <si>
    <t>Pursuit and ambush; Both teams under the command of Amos Yarkoni.</t>
  </si>
  <si>
    <t>ספטמבר 1952</t>
  </si>
  <si>
    <t>עמדות סוריות פתחו לפנות ערב באש מקלעים לעבר משטרת משמר הירדן ומשק גדות, חברת המשק נפצעה</t>
  </si>
  <si>
    <t>משה פקטורי</t>
  </si>
  <si>
    <t>שבעה אנשי משמר הגבול נפצעו ואזרח אחד נהרג בהתקפת יריות ממוצבים סורים שנמשכה קרוב ל-10 שעות</t>
  </si>
  <si>
    <t>Current security</t>
  </si>
  <si>
    <t>Jerusalem Corridor</t>
  </si>
  <si>
    <t>Battalion 890 under the command of Yehuda Harari made tours, observation, infiltration across the border quiet, sniping and ambushes.</t>
  </si>
  <si>
    <t>00/08/1953</t>
  </si>
  <si>
    <t>8/00/1953</t>
  </si>
  <si>
    <t>הסורים חידשו את ירי המקלעים לעבר משק להבות הבשן ופגעו בטרקטוריסט שעבד בשדות משק דן, ישראל לא השיבה אש</t>
  </si>
  <si>
    <t>She Abu abdominal operation</t>
  </si>
  <si>
    <t>Tarqumya</t>
  </si>
  <si>
    <t>Belly tour the village gods Abu she. The only discovered too soon. Served as a basis for action and operational model for future investigation.</t>
  </si>
  <si>
    <t>Bedouin deportation action</t>
  </si>
  <si>
    <t>Beit Mirsim</t>
  </si>
  <si>
    <t>Nitzana area Beerotayim</t>
  </si>
  <si>
    <t>יום טוב גריבא</t>
  </si>
  <si>
    <t>Unit 101. The expulsion of the Bedouin tribe from the area of ​​Nitzana Azzama into Chinese</t>
  </si>
  <si>
    <t>Sioriaomk</t>
  </si>
  <si>
    <t>Be'erotayim</t>
  </si>
  <si>
    <t>במשך שעות הבוקר פתחו הסורים מס' פעמים ביריות בודדות אל תוך שטח ישראל, לא היו נפגעים ולא הושבה אש</t>
  </si>
  <si>
    <t>Travel violence in the Kidron Valley, Jerusalem Ramallah road, east of the top of the eye, a camp of Beit Horon, Beit Surif, Tarqumya.</t>
  </si>
  <si>
    <t>Qalqiliya</t>
  </si>
  <si>
    <t>Second divisional action with the participation of Battalion 890, Battalion 88, Battalion 332, a force from the Givati ​​Brigade and artillery batteries. The goal of occupation and the bombing raid Qalqiliya police. Latest retaliation</t>
  </si>
  <si>
    <t>מסתננים שבאו מעבר לגבול הלבנוני חיבלו באחד ממכוני המים במשק כפר גלעדי</t>
  </si>
  <si>
    <t>תמוז עטייה</t>
  </si>
  <si>
    <t>חבר קיבוץ דן נפצע מאש רובים סורית ממעבר לגבול</t>
  </si>
  <si>
    <t>סורים חמושים חדרו לשטח ישראל ופתחו באש שנמשכה כ-4 שעות לסרוגין, על טרקטוריסטים שחרשו בשטח, סורי אחד נהרג בחילופי האש</t>
  </si>
  <si>
    <t>פצצה הוטלה ע"י מסתננים מלבנון ליד בית במעונה ונעשה ניסיון לפוצץ בנין שבניתו טרם הושלמה ליד תרשיחא בשיכון העולים "מעלות"</t>
  </si>
  <si>
    <t xml:space="preserve">Ruhama </t>
  </si>
  <si>
    <t>משה כהן</t>
  </si>
  <si>
    <t>תקריות גבול קלות, ובכללן מיקוש טרקטור, הסתיימו ללא פגיעות רציניות</t>
  </si>
  <si>
    <t>0900</t>
  </si>
  <si>
    <t>0400</t>
  </si>
  <si>
    <t>טרקטור של משק דן עלה על מוקש שהוטמן בשדה, הנהג נפצע</t>
  </si>
  <si>
    <t>שוטר ישראלי נהרג ופועל נפצע קשה מאש שנפתחה לעברם בצהריים ממוצבים סורים בדרום מזרח הכינרת סמוך למשק בית קציר</t>
  </si>
  <si>
    <t>0800</t>
  </si>
  <si>
    <t>שתי קבוצות של ירדנים מזוינים ניסו בשעות הבוקר לפגוע בטרקטוריסטים ישראלים ולחטוף אותם. שני הניסיונות סוכלו</t>
  </si>
  <si>
    <t>ירדנים מזוינים שחדרו לישראל דרומית לקלקיליה פתחו באש על 3 פועלים ישראלים ניסו לחטוף פועלים ונכשלו, אין קורבנות</t>
  </si>
  <si>
    <t>שוטר</t>
  </si>
  <si>
    <t>חבר מושב שאר ישוב נהרג מאש כוחות סורים שנורתה לעבר פועלים ישראלים</t>
  </si>
  <si>
    <t>הסורים והירדנים ביצעו מעשי התגרות לאורך הגבול, בצפון פתחו מוצבים סורים באש לעבר שישה פועלים משאר-ישוב</t>
  </si>
  <si>
    <t>כעשרים חיילים</t>
  </si>
  <si>
    <t>יוסף בן חיים</t>
  </si>
  <si>
    <t>שישה חיילים סורים חדרו לשטח ישראל סמוך לכביש שבין שמיר לכפר סולד ופתחו באש על חברי משק, לא היו נפגעים</t>
  </si>
  <si>
    <t>קרב יריות עם מסתננים ירדנים שתקפו את שומרי חבל עדולם הסתיים בנסיגת התוקפים, אחד השומרים נפצע קל</t>
  </si>
  <si>
    <t>בשעות הבוקר פתחו הירדנים באזור קלקיליה באש לעבר 3 תושבי ירחיב שיבדו בשדה צפונית-מזרחית מהמשק</t>
  </si>
  <si>
    <t>סורים ממוצבים לאורך הגדה הצפונית-מזרחית של הכינרת פתחו באש על דייגים ישראלים. אין נפגעים.</t>
  </si>
  <si>
    <t>שומר</t>
  </si>
  <si>
    <t>דייגי טבריה הותקפו ביריות ממוצבים סורים לסרוגין. אין נפגעים</t>
  </si>
  <si>
    <t>מוצבים סורים לאורך החוף הצפוני-מזרחי של הכינרת התקיפו דייגים ששהו במקום. אין נפגעים</t>
  </si>
  <si>
    <t>יחידת צבא סורית שמנתה 40-50 איש נכנסה לתוך השטח המפורז והחלה להמטיר אש על שוטרים ישראלים ואנשי משק דן תוך חיפוי אש ממוצבים סורים.</t>
  </si>
  <si>
    <t>1515</t>
  </si>
  <si>
    <t>סורים ירו אש נגד מטוסים לעבר מטוס ישראלי קל מעל קיבוץ דן. המטוס לא נפגע.</t>
  </si>
  <si>
    <t>אש רובים סורית נפתחה לעבר קבוצת מטיילים ישראלית בסביבות קיבוץ עין-גב. אין נפגעים ולא הושבה אש.</t>
  </si>
  <si>
    <t>0230</t>
  </si>
  <si>
    <t>קבוצה של סורים מזויינים פתחה באש רובים על רועים ישראלים ממשק שמיר. אין נפגעים</t>
  </si>
  <si>
    <t>מסתננים מירדן רצחו ממארב תושב ינוב בעת שהיה בדרכו לביתו ונורה בגבו. העקבות הובילו לטול-כרם</t>
  </si>
  <si>
    <t>הסורים פתחו באש ממוצב תל-חילל המרוחק כ-300-400 מ' מהגבול לעבר פועלים ישראלים שעבדו צפונית-מערבית לדרדרה בעמק החולה</t>
  </si>
  <si>
    <t>חולייה בת 5 חיילים סורים הציבה מארב מעבר לקו שביתת הנשק ופתחה באש רובים על שני רועים ממעין-ברוך שרעו סמוך לגבול. לא היו נפגעים.</t>
  </si>
  <si>
    <t>בשעות הצהריים פתחו עמדות סוריות מספר פעמים באש לעבר עובדים ישראלים בשטח ישראל בדרום החולה. לא היו נפגעים</t>
  </si>
  <si>
    <t>זמוס נגר</t>
  </si>
  <si>
    <t>הסורים חידשו הפרעותיהם לעבודות הניקוז וירו לסרוגין על הפועלים. המשטרה השיבה אש וחילופי האש נמשכו כל שעות אחה"צ לסרוגין</t>
  </si>
  <si>
    <t>הסורים חידשו את התקפתם וניהלו קרב ממושך עם צה"ל. אש פגזים כוונה לעבר משקים ישראלים הסמוכים לגבול. לא היו נפגעים, אך נזק נגרם לרכוש</t>
  </si>
  <si>
    <t xml:space="preserve">Flare, Road and Wadi Ara, </t>
  </si>
  <si>
    <t>שני אזרחים ישראלים נרצחו ביריות ירדנים כאשר נסעו בג'יפ בשטח ישראל ליד תל לכיש בדרום. העקבות הובילו לגבול הירדני</t>
  </si>
  <si>
    <t>דייג ישראלי נהרג ודייג נוסף נעלם במפרץ אילת לאחר שסירה ירדנית פתחה עליהם באש בים הפתוח, לאחר שיצאו לחפש אחר סירה שנעלמה.</t>
  </si>
  <si>
    <t>אש נפתחה משטח סוריה בסביבות הכפר עין אל-טינה לעבר שני מודדים ישראלים שעבדו בשטח ישראל בצפון-מזרח החולה. חוליית האבטחה השיבה אש.</t>
  </si>
  <si>
    <t>בנזמין גריגר</t>
  </si>
  <si>
    <t>אש מהשטח הסורי נורתה לעבר מחפר שעבד בעבודות ניקוז בצפון-מזרח החולה. כוחותינו השיבו אש. לא היו נפגעים</t>
  </si>
  <si>
    <t>אברהם זאבי</t>
  </si>
  <si>
    <t>בשעות הערב נפתחה אש אוטומטית חזקה משטח סורי לכיוון אשמורה ופרדס חורי. לא הושבה אש. לא היו נפגעים.</t>
  </si>
  <si>
    <t>אלדד רקח</t>
  </si>
  <si>
    <t>אש מקלעים שוטפת נפתחה בצהריים ממוצבי עין אל-טינה לעבר טרקטוריסטים שעסקו בהכשרת אדמות 200 מ' מהגבול</t>
  </si>
  <si>
    <t>חיילים סורים פתחו באש מקלעים חזקה לעבר קב' חוקרים, קציני או"ם ונציגים ישראלים, בוע' שביתת הנשק הישראלית-סורית שבאו לחקור תלונה.</t>
  </si>
  <si>
    <t>סורים פתחו באש רובים ממוצביהם לעבר קבוצת חברים מקיבוץ גונן שיצאו לבדיקת השדות בקירבת הגבול הסורי. הם השיבו אש. איש לא נפגע</t>
  </si>
  <si>
    <t>מסתננים סורים חדרו לשטח ישארל וגנבו עדר צאן ממשק מחניים, נמצאו עקבות שני אנשים שהובילו לגבול הסורי</t>
  </si>
  <si>
    <t>שם הפעולה</t>
  </si>
  <si>
    <t>מסתננים סורים חדרו לשטח ישראל, פתחו באש על חבר משק גדות ופצעו אותו</t>
  </si>
  <si>
    <t>מקום</t>
  </si>
  <si>
    <t>תאור</t>
  </si>
  <si>
    <t>Name of operation</t>
  </si>
  <si>
    <t>בטחון שוטף</t>
  </si>
  <si>
    <t xml:space="preserve">Growing sector </t>
  </si>
  <si>
    <t>פרוזדור ירושלים</t>
  </si>
  <si>
    <t>גדוד 890 בפיקוד יהודה הררי ביצע סיורים, תצפיות, חדירות שקטות מעבר לגבול, צליפות ומארבים.</t>
  </si>
  <si>
    <t>25/01/1953</t>
  </si>
  <si>
    <t>נזק חמור נגרם למבני משק ומגורים בישובי עמק החולה בהפגזה סורית כבדה של תותחים ומרגמות. אין נפגעים</t>
  </si>
  <si>
    <t>מבצע עופרה</t>
  </si>
  <si>
    <t>פעולת אידנה 1</t>
  </si>
  <si>
    <t>אמציה</t>
  </si>
  <si>
    <t>כפר אידנה ליד אמציה</t>
  </si>
  <si>
    <t>שתי פלוגות מגדוד 890 בפיקוד יהודה הררי תוקפות את הכפר אידנה. לצה"ל חייל הרוג וחייל נעדר.</t>
  </si>
  <si>
    <t>מוצבים סורים פתחו באש מקלעים ורובים לעבר שטח ישראל והפגיזו את אזור החולה סמוך לגבול הסורי. חילופי הירי עם הכוח הישראלי נמשכו כשעה</t>
  </si>
  <si>
    <t>28/01/1953</t>
  </si>
  <si>
    <t>מבצע עפר ואפר</t>
  </si>
  <si>
    <t>פעולת רנתיס</t>
  </si>
  <si>
    <t>רנתיס</t>
  </si>
  <si>
    <t>צפון מזרח לשוהם ליד עופרים</t>
  </si>
  <si>
    <t>פלוגה בפיקוד המג"ד הררי כוללת כח בפיקודו של אריק רגב חדרה לרנטיס ופוצצה בית ובאר.</t>
  </si>
  <si>
    <t>Operation Rantis</t>
  </si>
  <si>
    <t>Mountain battalion command company includes power under the command of Arik Regev room Rantissi and blew up a house and a well.</t>
  </si>
  <si>
    <t>Amazya</t>
  </si>
  <si>
    <t>Northeast Shoham near Ofarim</t>
  </si>
  <si>
    <t>18/05/1953</t>
  </si>
  <si>
    <t>מבצעי שפיפון עלי דרך</t>
  </si>
  <si>
    <t>שרשרת פעולות</t>
  </si>
  <si>
    <t>בית סירא</t>
  </si>
  <si>
    <t>בית סירא בית נובא בית ליקיא חוסאן</t>
  </si>
  <si>
    <t>גדוד 890 בפיקוד הררי מבצע שלוש פעולות רצופות. 1. פשיטה על בית סירא 18/5/1953. 2. פשיטה על חוסאן 19/5/1953. 3. פשיטה על בית נובא ובית ליקיא 20/5/1953.</t>
  </si>
  <si>
    <t>Chain Operations</t>
  </si>
  <si>
    <t>Rantis</t>
  </si>
  <si>
    <t>Beit Sira, Beit Nuba Home Liqiya Husan</t>
  </si>
  <si>
    <t>מבצע של מייסדי יחידה 101</t>
  </si>
  <si>
    <t>מוצבים סורים פתחו באש רובים ומקלעים לתוך שטח ישראל בכיוון אדמות חולתא. לא היו נפגעים</t>
  </si>
  <si>
    <t>נבי סמואל</t>
  </si>
  <si>
    <t>נבי סמואל מצפון לירושלים</t>
  </si>
  <si>
    <t>פיצוץ בביתו של הרוצח מוסטפה סמואלי. הפעולה לא הצליחה, אך דרבנה את הקמתה של יחידה 101 אשר הוקמה בתחילת חודש אוגוסט 1953.</t>
  </si>
  <si>
    <t>Killer blast at the home of Mustafa Samuel. The action failed, but spurred the creation of Unit 101, which was established at the beginning of August 1953.</t>
  </si>
  <si>
    <t>מבצע נקם ושילם</t>
  </si>
  <si>
    <t>פעולת אידנה 2</t>
  </si>
  <si>
    <t>תרקומיה</t>
  </si>
  <si>
    <t>אידנה ותרקומיה מדרום מזרח לבית גוברין</t>
  </si>
  <si>
    <t>תקיפת הסחה על הכפר אידנה בפיקודו של הסמג"ד אריה אפרת וחסימת הדרך לתרקומיה בפיקודו של קלמן מגן.</t>
  </si>
  <si>
    <t>Operation of Idna 2</t>
  </si>
  <si>
    <t>Diversionary attack on the village of Idna led by deputy commander lion blocking the way to Efrat Tarqumya led by Kalman Shield.</t>
  </si>
  <si>
    <t>Nebi Samuel</t>
  </si>
  <si>
    <t>Eden Tarqumya southeast of Beit Guvrin</t>
  </si>
  <si>
    <t>מבצע של יחידה 101</t>
  </si>
  <si>
    <t>פעולת בטן אבו לחיא</t>
  </si>
  <si>
    <t>אבו לחיא</t>
  </si>
  <si>
    <t>דב רוזנדאל</t>
  </si>
  <si>
    <t>סיור אלים בכפר בטן אבו לחיא. היחידה נתגלתה מוקדם מדי. הפעולה שימשה כבסיס ומודל לתחקיר מבצעי לעתיד.</t>
  </si>
  <si>
    <t>המוצבים סורים בדרום החולה, ג'לבינה ודוריג'את פתחו באש מקלעים ופגזי תותחים ומרגמת לעבר רועים ישראלים במשק גונן והרגו אדם אחד ופצעו שלוש</t>
  </si>
  <si>
    <t>31/08/1953</t>
  </si>
  <si>
    <t>פעולת אל בורג'</t>
  </si>
  <si>
    <t>אל בורג'</t>
  </si>
  <si>
    <t>1215</t>
  </si>
  <si>
    <t>רצועת עזה</t>
  </si>
  <si>
    <t>פשיטה על אל-בורג' ברצועה במטרה לפגוע ברכוזי פדאינים. ליחידה פצוע אחד לערבים 15 הרוגים.</t>
  </si>
  <si>
    <t>Action to Bourges</t>
  </si>
  <si>
    <t>A raid on the al-Bureij in the Gaza Strip in order to harm centering Fdainim. One casualty unit 15 Arabs dead.</t>
  </si>
  <si>
    <t>Abu she</t>
  </si>
  <si>
    <t>פעולת בית מירסים</t>
  </si>
  <si>
    <t>בית מירסים</t>
  </si>
  <si>
    <t>דרום מערב הר חברון</t>
  </si>
  <si>
    <t>פשיטה על בית מירסים, מתקן צבאי בין דורה לדהריה</t>
  </si>
  <si>
    <t>A raid on Beit Mirsim, a military installation between Dora Dahariyya</t>
  </si>
  <si>
    <t>Al Burj</t>
  </si>
  <si>
    <t>South West Mount Hebron</t>
  </si>
  <si>
    <t>פעולת גירוש בדואים</t>
  </si>
  <si>
    <t>בארותיים</t>
  </si>
  <si>
    <t>איזור ניצנה בארותיים</t>
  </si>
  <si>
    <t>יחידה 101. גירוש הבדווים משבט העזזמה מאיזור ניצנה לתוך סיני</t>
  </si>
  <si>
    <t>סיוריעומק</t>
  </si>
  <si>
    <t>בית חורון</t>
  </si>
  <si>
    <t>מוצבים סורים פתחו באש רובים, מקלעים, מרגמות ופגזים בגזרת דרום החולה. כוחות ישראל לא הגיבו באש. אין נפגעים</t>
  </si>
  <si>
    <t>סיורים אלימים בנחל קדרון, בכביש ירושלים רמאלה, מזרחית לראש העין, מחנה בית חורון, בית צוריף, תרקומיה.</t>
  </si>
  <si>
    <t>מזרחית למכבים רעות</t>
  </si>
  <si>
    <t>יחידה 101. פעולת בית סירא פגיעה בתחבורה פעולת תגמול על רצח ישראלים ליד לוד.</t>
  </si>
  <si>
    <t>Unit 101. The operation of Beit Sira damage to transport retaliation for the murder of Israelis near Lod.</t>
  </si>
  <si>
    <t>Beit Horon</t>
  </si>
  <si>
    <t>East of the Maccabees bad</t>
  </si>
  <si>
    <t>14/10/1953</t>
  </si>
  <si>
    <t>מבצע שושנה</t>
  </si>
  <si>
    <t>פעולת קיביה</t>
  </si>
  <si>
    <t>מזרחית לשוהם ובית נחמיה</t>
  </si>
  <si>
    <t>פעולת תגמול על רצח הילדה שושנה ביהוד. פעולה משותפת ראשונה של גדוד 890 ויחידה 101 בפיקודו של אריק שרון. נהרסו בתים רבים ונהרגו בשוגג 69 אזרחים.</t>
  </si>
  <si>
    <t>Operation Cuvier</t>
  </si>
  <si>
    <t>Retaliation for the murder of the girl rose in Yehud. The first joint action of Battalion 890 and Unit 101 under the command of Ariel Sharon. Many houses were destroyed and 69 civilians were accidentally killed.</t>
  </si>
  <si>
    <t>18/12/1953</t>
  </si>
  <si>
    <t>פעולת בריכותשלמה</t>
  </si>
  <si>
    <t>בריכות שלמה</t>
  </si>
  <si>
    <t>כביש חברון בית לחם</t>
  </si>
  <si>
    <t>מארב בשלג ליד בריכות שלמה, הריגת קצין רפואה של הלגיון. תגמול על רצח החיילים בבית גוברין</t>
  </si>
  <si>
    <t>Operation Bricotslmh</t>
  </si>
  <si>
    <t>Ambush in the snow near Solomon's Pools, killing a medical officer of the Legion. Retaliation for the murder of soldiers at Beit Guvrin</t>
  </si>
  <si>
    <t>19/12/1953</t>
  </si>
  <si>
    <t>פעולת בית אומר</t>
  </si>
  <si>
    <t>גוש עציון</t>
  </si>
  <si>
    <t>חוליית חיילים סורים חדרו לשטח ישראל ופתחו ביריות על רועים ישראלים</t>
  </si>
  <si>
    <t>דרום מערב לגוש עציון</t>
  </si>
  <si>
    <t>סיור למפקדות הלגיון בבית אומר וצוריף</t>
  </si>
  <si>
    <t>The operation means</t>
  </si>
  <si>
    <t>Legion headquarters in tour and says Tzofin</t>
  </si>
  <si>
    <t>Solomon's Pools</t>
  </si>
  <si>
    <t>South West Gush Etzion</t>
  </si>
  <si>
    <t>21/12/1953</t>
  </si>
  <si>
    <t>מבצע שלח</t>
  </si>
  <si>
    <t>פעולת תרקומיה</t>
  </si>
  <si>
    <t>דרום מזרח לבית גוברין</t>
  </si>
  <si>
    <t>"מבצע שלח" פשיטה על תרקומיה ובית אנשי הכנופיות המזוינות</t>
  </si>
  <si>
    <t>Operation Tarqumya</t>
  </si>
  <si>
    <t>"Operation Send 'raid on Tarqumya and the members of the armed gangs</t>
  </si>
  <si>
    <t>Southeast Beit Guvrin</t>
  </si>
  <si>
    <t>מבצע כפפות משי</t>
  </si>
  <si>
    <t>פעולת חברון</t>
  </si>
  <si>
    <t>חברון</t>
  </si>
  <si>
    <t>חברון.</t>
  </si>
  <si>
    <t>"מבצע כפפות משי" פשיטת עומק דרך חלחול עד לפרברי חברון. פיצוץ בית.</t>
  </si>
  <si>
    <t>Operation Hebron</t>
  </si>
  <si>
    <t>"Operation silk gloves" Bankruptcy depth through seepage to the outskirts of Hebron. Home explosion.</t>
  </si>
  <si>
    <t>Hebron.</t>
  </si>
  <si>
    <t>24/12/1953</t>
  </si>
  <si>
    <t>פעולת גוש עציון</t>
  </si>
  <si>
    <t>גוש עציון.</t>
  </si>
  <si>
    <t>סיור למחנה הלגיון בגוש עציון</t>
  </si>
  <si>
    <t>Operation Gush Etzion</t>
  </si>
  <si>
    <t>Tour Legion camp in Gush Etzion</t>
  </si>
  <si>
    <t>ניסיון לחטוף דייגין בכינרת סוכל ע"י המשמר הימי</t>
  </si>
  <si>
    <t>Gush Etzion.</t>
  </si>
  <si>
    <t>מבצעי שוט</t>
  </si>
  <si>
    <t>שרשרת פעולות שבוצעו ע"י חוליות תגמול.</t>
  </si>
  <si>
    <t>בשל פעולת קיביה התנגדו בממשלה לפעולה גדולה וצה"ל עבר לפעולות קטנות של חוליות תגמול.</t>
  </si>
  <si>
    <t>שעות הערב</t>
  </si>
  <si>
    <t>28/03/1954</t>
  </si>
  <si>
    <t>מבצע אריה</t>
  </si>
  <si>
    <t>פעולת נחלין</t>
  </si>
  <si>
    <t>בית-לחם</t>
  </si>
  <si>
    <t>דרום מערב לבית לחם צפונית לגוש עציון.</t>
  </si>
  <si>
    <t>כח בפיקודו של הסמג"ד דוידי פושט על נחלין, פוגע במוכתר והורס בתים. לראשונה נתקל כח במארב, מסתער עליו ומחסלו.</t>
  </si>
  <si>
    <t>Operation Nahlin</t>
  </si>
  <si>
    <t>Force led by deputy commander David raiding Nahlin, Mukhtar hits and destroys homes. Initially encountered an ambush force, charges at him and kill him.</t>
  </si>
  <si>
    <t>South West Bethlehem north to Gush Etzion.</t>
  </si>
  <si>
    <t>מבצע סיגריה</t>
  </si>
  <si>
    <t>תפישת חיילים מצרים</t>
  </si>
  <si>
    <t>מארב ליד רפיח ופשיטה על מוצב מול עזה</t>
  </si>
  <si>
    <t>מבצע שנועד לתפוש שבויים מצריים לצורך החלפתם בחייל ישראלי שנחטף ב- 25/3/1954.</t>
  </si>
  <si>
    <t>Perception of Egyptian soldiers</t>
  </si>
  <si>
    <t>Operation designed to catch Egyptian prisoners for the purpose of replacing the Israeli soldier kidnapped on 25/03/1954.</t>
  </si>
  <si>
    <t>אסף פילר</t>
  </si>
  <si>
    <t>29/06/1954</t>
  </si>
  <si>
    <t>מבצעי ברוך</t>
  </si>
  <si>
    <t>פעולת עזון</t>
  </si>
  <si>
    <t>עזון</t>
  </si>
  <si>
    <t>מזרחית לקלקיליה בין אלפי מנשה למעלה שומרון ליד הכפר עזון</t>
  </si>
  <si>
    <t>כח בפיקודו של דויידי פושט על מחנה צבאי ירדני ליד הכפר עזון. ג'יבלי נפצע והושאר בשטח. ראה עדותו שלגלעד ג'רי הראל.</t>
  </si>
  <si>
    <t>Operation Azun</t>
  </si>
  <si>
    <t>Power under Doiidi raid the Jordanian army base near the village of Azzun. Gibli was wounded and left on the ground. See testimony Slglad Jerry Harel.</t>
  </si>
  <si>
    <t>שני צעירים מכפר-בלום נחטפו ע"י חולייה סורית מטר מהגבול בשטח ישראל ושוחררו לאחר שהתברר כי יש להם אזרחות אמריקאית</t>
  </si>
  <si>
    <t>מבצע עין תחת עין</t>
  </si>
  <si>
    <t>פעולת כיסופים</t>
  </si>
  <si>
    <t>כיבוש מוצב 79 מצפון לחאן יונס</t>
  </si>
  <si>
    <t>פעולת הצנחנים הראשונה לכיבוש מוצב צבאי מצרי מבוצרבגדרות, תעלות ושדות מוקשים. אריקשרוןנפצע והועלהבדרגה</t>
  </si>
  <si>
    <t>The act of longing</t>
  </si>
  <si>
    <t>The first act of paratroopers stationed Egyptian military occupation Mbotzrbgdrot, trenches and minefields. Ariksronnftza and Hoalhbdrgh</t>
  </si>
  <si>
    <t>שעות הצהריים</t>
  </si>
  <si>
    <t>Occupation stationed north of Khan Younis 79</t>
  </si>
  <si>
    <t>מבצעי גיל</t>
  </si>
  <si>
    <t>גיל (ג'יבלי יצחק לחופש)</t>
  </si>
  <si>
    <t>ביתונייה</t>
  </si>
  <si>
    <t>ביתוניה, עקבה, ג'נין, בית ליקיא ובית סיכה.</t>
  </si>
  <si>
    <t>סדרת פעולות ללכידת חיילים ירדנים ל "פדיון שבויים" של יצחק ג'יבלי. חוליות בפיקודם של אריק, הר-ציון ודוידי וסופפו לכדו חיילים ושוטרים ירדנים וג'יבלי שוחרר.</t>
  </si>
  <si>
    <t>14/08/1954</t>
  </si>
  <si>
    <t>מבצע מים</t>
  </si>
  <si>
    <t>פעולת מכון המים</t>
  </si>
  <si>
    <t>מכון המים שבין ג'בליה לעזה</t>
  </si>
  <si>
    <t>פלוגה ב' הותיקה בפיקודו של משה ינוקא פשטה על מכון המים של עזה ופוצצה אותו.</t>
  </si>
  <si>
    <t>Operation Water Institute</t>
  </si>
  <si>
    <t>Company B, commanded by Moses veteran Nascent raided Gaza's Water Institute and detonated it.</t>
  </si>
  <si>
    <t>Bitoniih</t>
  </si>
  <si>
    <t>Water Institute from Jabaliya in Gaza</t>
  </si>
  <si>
    <t>30/08/1954</t>
  </si>
  <si>
    <t>חירבת סיכה</t>
  </si>
  <si>
    <t>סורים רצחו רועה צאן במארב מתוכנן, רועה נוסף שהיה עימו לא ניפגע.</t>
  </si>
  <si>
    <t>פעולת גי"ל 3 חירבת סיכה</t>
  </si>
  <si>
    <t>סדרת פעולות ללכידת חיילים ירדנים כדי להחליפם בג'יבלי. חוליות בפיקודם של הר-ציון, דוידי, מוטה גור, וסופאפו לכדו חיילים ושוטרים. ג'יבלי הוחזר לישראל.</t>
  </si>
  <si>
    <t>מבצע בנימין ב'</t>
  </si>
  <si>
    <t>פעולת בית ליקיא</t>
  </si>
  <si>
    <t>בית ליקיא</t>
  </si>
  <si>
    <t>מזרחית למודיעין וצפונית למבוא חורון</t>
  </si>
  <si>
    <t>פעולה גדודית ראשונה נגד גדוד 7 של הלגיון בבית עור א-תחתא ובבית ליקיא. סדר הכוחות: סיירת - מאיר הר ציון; פלוגה א' - שלמה באום; פל' ב' - דוידי ואלישע; פל' ג' - מרסל טוביאס; פל' ד' - מוטה גור. חסימות בכל הצירים בשיטת "המארב הכפול" היתקלויות יזומות עם הלגיון , לכידת שבויים.</t>
  </si>
  <si>
    <t>The operation Liqiya</t>
  </si>
  <si>
    <t>The first battalion of action against the Legion's 7th Battalion at Ur a-Tahta and Beit Liqiya. The order of battle: reconnaissance - Meir Har Zion; Company A - Shlomo Baum; FL B - David and Elisha; FL-III - Marcel Tobias; Pal D - Motta Gur. Blocks all hinges on the "double ambush" initiated encounters with the Legion, capturing prisoners.</t>
  </si>
  <si>
    <t>Khirbet pin</t>
  </si>
  <si>
    <t>Intelligence and north-east of Mevo Horon</t>
  </si>
  <si>
    <t>מבצע חצר אדר</t>
  </si>
  <si>
    <t>פעולת עין קדיס</t>
  </si>
  <si>
    <t>ליד קסיימה במצריים</t>
  </si>
  <si>
    <t>Cadiz eye operation</t>
  </si>
  <si>
    <t>The Liqiya</t>
  </si>
  <si>
    <t>At Qseimme Egypt</t>
  </si>
  <si>
    <t>28/02/1955</t>
  </si>
  <si>
    <t>מבצע חץ שחור</t>
  </si>
  <si>
    <t>פעולת עזה</t>
  </si>
  <si>
    <t>תחנת הרכבת מצפון לעיר עזה</t>
  </si>
  <si>
    <t>כיבוש והריסת מחנה צבאי מצרי. פיצוץ מכון מים ופגיעה בתחנת רכבת כולל מארבים וחיסול תגבורות. פעולה מורכבת עם מספר יעדים.</t>
  </si>
  <si>
    <t>Gaza Raid</t>
  </si>
  <si>
    <t>Occupation and destruction of an Egyptian military camp. Institute explosion and water damage to a railway station including ambushes and eliminating reinforcements. A complex operation with multiple destinations.</t>
  </si>
  <si>
    <t>The train station north of Gaza City</t>
  </si>
  <si>
    <t>מבצע פלשת</t>
  </si>
  <si>
    <t>פעולת רפיח</t>
  </si>
  <si>
    <t>בסיס צבאי ליד רפיח בדרום רצועת עזה</t>
  </si>
  <si>
    <t>פשיטה פלוגתית לעומק הרצועה, פגיעה במחנה הצבא המצרי ברפיח</t>
  </si>
  <si>
    <t>Rafah operation</t>
  </si>
  <si>
    <t>Raiding his company deep into the Gaza Strip, damaging the Egyptian army camp in Rafah</t>
  </si>
  <si>
    <t>Military base near Rafah in southern Gaza Strip</t>
  </si>
  <si>
    <t>31/08/1955</t>
  </si>
  <si>
    <t>מבצע אלקיים</t>
  </si>
  <si>
    <t>פעולת חאן-יונס</t>
  </si>
  <si>
    <t xml:space="preserve">Village of Illar </t>
  </si>
  <si>
    <t>חאן-יונס</t>
  </si>
  <si>
    <t>משטרת חאן-יונס ברצועת עזה ומוצב 132 בכפר עבסאן</t>
  </si>
  <si>
    <t>פעולה ראשונה על גבי זחלמים לכבוש ופיצוץ בנין משטרה (נושא לחימה חדש). בוצע ע"י הכוחות של מוטה, רפול, לוי, טיבי, סטמפל, חגי, ירמי, דורון, דוידי ועובד לדיז'ינסקי.</t>
  </si>
  <si>
    <t>Operation Khan Younis</t>
  </si>
  <si>
    <t>The first action to take on half-tracks and blowing up a police building (new martial theme). Carried out by the forces of biased, Eitan Levi, Tibi, Stempel, holidays, Jeremy, Doron, David and works Ldiz'inski.</t>
  </si>
  <si>
    <t>Police Khan Yunis in the Gaza Strip and placed in 132 village Absan</t>
  </si>
  <si>
    <t>22/09/1955</t>
  </si>
  <si>
    <t>מבצע גפן</t>
  </si>
  <si>
    <t>פעולת ניצנה</t>
  </si>
  <si>
    <t>האזור המפורז בניצנה בגבול מצרים</t>
  </si>
  <si>
    <t>במהלך סימון הגבול המצרי באיזור ניצנה, התגלה שהמצרים בנו 2 מוצבים בשטח ישראל. כח בפיקודו של מאיר הר ציון השתלט על מטה משקיפי האו"ם בעוג'ה. בתמורה לפנוי, פרקו המצרים את המוצבים.</t>
  </si>
  <si>
    <t>Operation Nitzana</t>
  </si>
  <si>
    <t>During the Egyptian border marking the Nitzana area, it was discovered that the Egyptians built two stationed in Israel. Force led by Meir Har-Zion took over the headquarters of the UN observers in Auja. In return marked for evacuation Egyptians stationed unloaded.</t>
  </si>
  <si>
    <t>Khan Yunis</t>
  </si>
  <si>
    <t>22/10/1955</t>
  </si>
  <si>
    <t>מבצע שעיר</t>
  </si>
  <si>
    <t>פעולת בית המכס</t>
  </si>
  <si>
    <t>קצרין</t>
  </si>
  <si>
    <t>כביש בית המכס ליד גשר בנות יעקב</t>
  </si>
  <si>
    <t>נתפשו 4 חיילים וקצין סורי כדי לשחרר 5 חיילי מודיעין שנשבו בעת נסיון לטפל במכשיר האזנה ברמת הגולן.</t>
  </si>
  <si>
    <t>Customs House operation</t>
  </si>
  <si>
    <t>Apprehended four soldiers and an officer to release five Syrian intelligence soldiers who were captured while trying to take care of bugs in the Golan Heights.</t>
  </si>
  <si>
    <t>Road Custom House at Gesher Benot Ya'akov</t>
  </si>
  <si>
    <t>27/10/1955</t>
  </si>
  <si>
    <t>מבצע אגד</t>
  </si>
  <si>
    <t>פעולת כונתילה</t>
  </si>
  <si>
    <t>נחל פיראן</t>
  </si>
  <si>
    <t>משטרת כונתילה בסיני, על אם הדרך</t>
  </si>
  <si>
    <t>פעולה ראשונה בעומק מצרים במטרה לכבוש את מצודת כונתילה (מול נחל פיראן) ולקחת שבויים רבים ככל האפשר.</t>
  </si>
  <si>
    <t>Operation Kuntilla</t>
  </si>
  <si>
    <t>The first action deep in Egypt in order to conquer the fortress Kuntilla (opposite the river Piran) and take many prisoners as possible.</t>
  </si>
  <si>
    <t>Katzrin</t>
  </si>
  <si>
    <t>Police Kuntilla Sinai, on the road</t>
  </si>
  <si>
    <t>מבצע הר-געש</t>
  </si>
  <si>
    <t>פעולתסבח'ה</t>
  </si>
  <si>
    <t>מוצבי הסבח'ה ומוצבי סירם בסיני ליד ניצנה</t>
  </si>
  <si>
    <t>כיבוש מוצבי הסבח'ה ומוצבי סירם המצריים. פעולה ראשונה שנעשתה ע"י 890 ביחד עם פלוגת נח"ל בפיקוד צבי לבנון, יחידת גולני בפיקוד אורי בר-רצון, פלוגת מילואים של אלישע שלם וטירונים של מוסה עפרון.</t>
  </si>
  <si>
    <t>Faoltsbh'h</t>
  </si>
  <si>
    <t>Hsbh'h occupation positions and positions Anokye had retained them Egyptian. The first operation carried out by the 890 Infantry Battalion together with the Lebanese deer Command, commanded the Golani unit Uri Bar-will, Elisha's reserve company intact and novices of Musa pencil.</t>
  </si>
  <si>
    <t>River Piran</t>
  </si>
  <si>
    <t>מבצע עלי-זית</t>
  </si>
  <si>
    <t>פעולתכינרת</t>
  </si>
  <si>
    <t>כינרת</t>
  </si>
  <si>
    <t xml:space="preserve">Came to the Sharqiya </t>
  </si>
  <si>
    <t>מוצבים סוריים לאורך החוף הצפוני מזרחי של הכינרת</t>
  </si>
  <si>
    <t>כיבוש ופיצוץ כל המוצבים הסורים מעל מזרח וצפון הכינרת. פעולה ראשונה בשילוב נחיתה מהים וסיוע ארטילרי. שמואל גולדברג פיקד על חיילי גבעתי ואלישע שלם על הנחלאים.</t>
  </si>
  <si>
    <t>Faoltcinrt</t>
  </si>
  <si>
    <t>Occupation and Syrian positions explosion all over the eastern and northern Sea of ​​Galilee. The first action combined landing from the sea and artillery. Samuel Goldberg commanded the Givati ​​troops and complete the Nahal soldiers who were Elisha.</t>
  </si>
  <si>
    <t>Syrian positions along the northeastern coast of the Sea of ​​Galilee</t>
  </si>
  <si>
    <t>30/08/1956</t>
  </si>
  <si>
    <t>מבצע קורנס</t>
  </si>
  <si>
    <t>פעולת קסיימה</t>
  </si>
  <si>
    <t>קסיימה</t>
  </si>
  <si>
    <t>מבצע יהונתן</t>
  </si>
  <si>
    <t>פעולת א-רהווה</t>
  </si>
  <si>
    <t>יתיר</t>
  </si>
  <si>
    <t>בנין משטרת א-ראווה בדרום הר חברון, צפונית ליתיר.</t>
  </si>
  <si>
    <t>פשיטה על המשטרה הירדנית, טיהור התעלות, הפעלת חסימות, איסוף שלל מסמכים ופיצוץ בנין המשטרה.</t>
  </si>
  <si>
    <t>Operation A-Rhooh</t>
  </si>
  <si>
    <t>Jordanian police raid, cleaning ditches, running blockades, gathering a variety of documents and police building explosion.</t>
  </si>
  <si>
    <t>Qseimme</t>
  </si>
  <si>
    <t>A Police Building Shop southern Hebron hills, north of redundancy.</t>
  </si>
  <si>
    <t>13/09/1956</t>
  </si>
  <si>
    <t>מבצע גוליבר</t>
  </si>
  <si>
    <t>פעולת ע'רנדל</t>
  </si>
  <si>
    <t>הר יעלון</t>
  </si>
  <si>
    <t>משטרת ע'רנדל בגבול ירדן בערבה מזרחית להר יעלון</t>
  </si>
  <si>
    <t>פשיטה, כיבוש והריסת המשטרה הירדנית בערבה שהיתה מבוצרת ובעלת 3 קומות. בו שכנה פלוגת "הקומנדו המדברי" של הליגיון.</t>
  </si>
  <si>
    <t>Arandal operation</t>
  </si>
  <si>
    <t>Raiding, conquest and destruction of the Jordanian police Prairie was fortified and has three floors. Housed a company of "Desert Commandos" of the Legion.</t>
  </si>
  <si>
    <t>excessive</t>
  </si>
  <si>
    <t>Arandal police Jordan in the Arava border east of Mount Ya'alon</t>
  </si>
  <si>
    <t>25/09/1956</t>
  </si>
  <si>
    <t>מבצע לולב</t>
  </si>
  <si>
    <t>פעולת חוסאן</t>
  </si>
  <si>
    <t>בית"ר עלית</t>
  </si>
  <si>
    <t xml:space="preserve">Village render, Northern Samaria </t>
  </si>
  <si>
    <t>משטרת חוסאן ממערב לבית לחם ליד ביתר עילית</t>
  </si>
  <si>
    <t>פעולה חטיבתית ראשונה בהשתתפות גדוד 890 גדוד 88, וכוחות עזר חטיבתיים. פשיטה על בנין משטרת חוסאן ועל שלושה מוצבים סמוכים.</t>
  </si>
  <si>
    <t>Operation Husan</t>
  </si>
  <si>
    <t>The first divisional action with the participation of Battalion 890 Regiment 88, and auxiliary forces brigade. Police raided the building of Husan and three are stationed nearby.</t>
  </si>
  <si>
    <t>Mount Ya'alon</t>
  </si>
  <si>
    <t>Police Husan, west of Bethlehem near Betar Illit</t>
  </si>
  <si>
    <t>מבצע שומרון</t>
  </si>
  <si>
    <t>פעולת קלקיליה</t>
  </si>
  <si>
    <t>קלקילייה</t>
  </si>
  <si>
    <t>מצודת משטרה מצפון לעיירה קלקיליה</t>
  </si>
  <si>
    <t>פעולה חטיבתית שניה בהשתתפות גדוד 890, גדוד 88, גדוד 332, כוח מחטיבת גבעתי וסוללות תותחנים. המטרה פשיטה כיבוש ופיצוץ משטרת קלקיליה. פעולת התגמול האחרונה</t>
  </si>
  <si>
    <t>Qalqilya operation</t>
  </si>
  <si>
    <t>Beitar Illit</t>
  </si>
  <si>
    <t>Police citadel north of the town of Qalqiliya</t>
  </si>
  <si>
    <t>יעקב ניר</t>
  </si>
  <si>
    <t>38</t>
  </si>
  <si>
    <t>פלאחים סורים שחדרו לשטח ישראל פתחו באש רובים לעבר משמר ישראלי. לא היו נפגעים</t>
  </si>
  <si>
    <t>סורים בחוף המזרחי של הכינרת פתחו באש לעבר דייג ישראלי שעבר במקום ופצעו אותו באורח קל</t>
  </si>
  <si>
    <t>תומס פלקי</t>
  </si>
  <si>
    <t>ארבעה צעירים ישראלים שטיילו במעיין בלידה נחטפו ע"י 3 חיילים לבנונים. לאחר שבוע הם הוחזרו לישראל</t>
  </si>
  <si>
    <t>7- ימים</t>
  </si>
  <si>
    <t>שלום ממן</t>
  </si>
  <si>
    <t>מוצבים סורים פתחו באש מקלעים לעבר טרקטוראי ממשק תל-קציר ולאחר כ-3 שעות לעבר משקיפי או"ם שבאו לבדוק את תלונת ישראל</t>
  </si>
  <si>
    <t>0530</t>
  </si>
  <si>
    <t>יוסף בוסי</t>
  </si>
  <si>
    <t>עולה חדש מארה"ב נורה ע"י חייל ירדני כאשר חצה את קו שביתת הנשק מול טול-כרם</t>
  </si>
  <si>
    <t>אליהו חדידה</t>
  </si>
  <si>
    <t>ישיש בן 75 נרצח באכזריות ע"י חיילים ירדנים בירושלים. על גופתו שהוחזרה מאוחר יותר לישראל נמצאו סימני חבלה קשים</t>
  </si>
  <si>
    <t>ומי מלול</t>
  </si>
  <si>
    <t>יריות ממקלעים נורו לעבר נהג טרקטור ממוצבים סורים שעה שחרש את שדות המשק מזרחית לתל-קציר. הנהג נפצע באורח בינוני. תלונה הוגשה.</t>
  </si>
  <si>
    <t>אש מקלעים סורית משלושה מוצבים שונים נפתחה לעבר קבוצת עובדים של המכון הגיאופיסי שערכו בדיקות דרומית לתל-קציר</t>
  </si>
  <si>
    <t>0645</t>
  </si>
  <si>
    <t>הארי סטון</t>
  </si>
  <si>
    <t>63</t>
  </si>
  <si>
    <t>מסתננים מסוריה שחדרו לישראל פתחו באש מנשק אוטומטי לעבר בדואי ישראלי בשדות טבחה.</t>
  </si>
  <si>
    <t>דויד מורדכי</t>
  </si>
  <si>
    <t>75</t>
  </si>
  <si>
    <t>חיילים סורים פתחו באש מנשק אוטומטי לעבר שני דייגים בחוף המזרחי של הכינרת ופצעו אחד מהם באורח בינוני. משקיפי האו"ם גבו עדות מהדייג</t>
  </si>
  <si>
    <t>יוסי קנטור</t>
  </si>
  <si>
    <t>חיילים ירדנים פצעו אישה באורח קל כאשר זרקו על ביתה אבנים מתוך עמדתם הסמוכה לבית האישה. הוגשה תלונה לועדת שביתת הנשק</t>
  </si>
  <si>
    <t>קבוצת מסתננים נתפסה בדרכה לארץ לבצע פיגוע כשבידיה רימוני יד ומקלעים. במהלך התקרית נהרג מסתנן אחד, שני נפצע ושלישי נמלט</t>
  </si>
  <si>
    <t>יחידה של 4 ירדנים מצויידים בתת-מקלעים תקפה רועה צאן ושדדה את עדרו</t>
  </si>
  <si>
    <t>דויד עבי</t>
  </si>
  <si>
    <t>טרקטור של קיבוץ שער הגולן עלה על מוקש שהוטמן זמן קצר לפני כן</t>
  </si>
  <si>
    <t>אסתא עזרא</t>
  </si>
  <si>
    <t>אש סורית על פועלים של קק"ל שעסקו בהכשרת דרך עפר. מחילופי האש נפצע איש אבטחה ישראלי.</t>
  </si>
  <si>
    <t>1245</t>
  </si>
  <si>
    <t>שמואל טביצינסקי</t>
  </si>
  <si>
    <t>מדריך בצופים נורה בזמן טיול באיזור עין-גדי כמאה מטר מהגבול הירדני, כנראה מאש צלף ירדני. המדריך נפצע באורח בינוני</t>
  </si>
  <si>
    <t>חיים נחמינוביץ</t>
  </si>
  <si>
    <t>אש סורית מהמוצב תל-עזאזית נורתה לעבר טרקטוריסטים ישראלים מזרחית לשאר-ישוב שלוש פעמים ב-10 שעות. אין נפגעים</t>
  </si>
  <si>
    <t>חיילים סורים ירו שוב לעבר טרקטוריסט שעסק בהכשרת קרקעות מזרחית לשאר-ישוב. איש לא נפגע. הוגשה תלונה לאו"ם</t>
  </si>
  <si>
    <t>מספר דקות</t>
  </si>
  <si>
    <t>מוחמד</t>
  </si>
  <si>
    <t>חיילים סורים ממוצב תל-הלאל, מזרחית לאגם החולה, פתחו באש לעבר טרקטוריסטים שעסקו בהכשרת קרקעות. תלונה הוגשה לועדת שביתת הנשק</t>
  </si>
  <si>
    <t>חיילים סורים פתחו באש לעבר משקיפי או"ם, כבאים וחברי קיבוץ דן שיצאו לכבות שריפה ליד תל-אל</t>
  </si>
  <si>
    <t>הסורים פתחו באש לעבר קיבוץ גדות. בתי המשק ניזוקו קשות ובינהם בניין ביתה"ס שישנו בו באותה עת ילדים. לא היו נפגעים</t>
  </si>
  <si>
    <t>2405</t>
  </si>
  <si>
    <t>עמוס מסיקה</t>
  </si>
  <si>
    <t>שני טרקטוריסטים ישראלים נפצעו לאחר שהותקפו ממארב בלכיש</t>
  </si>
  <si>
    <t>שני טרקטוריסטים ישראלים נפצעו באורח בינוני מאש מקלעים שנפתחה לעברם ממארב ירדני בלכיש</t>
  </si>
  <si>
    <t>Date - Updated (SG)</t>
  </si>
  <si>
    <t>מסתנן ירדני מצוייד ברובה חדר לישראל ליד מושב עומר, שדד עדר וחטף נער בן 14. לא ידוע מה עלה בגורל הנער</t>
  </si>
  <si>
    <t>Date - Organized By SG</t>
  </si>
  <si>
    <t>אש מקלעים סורית נפתחה על איזור תל-קציר. לר דווח על נפגעים ולא נגרם נזק</t>
  </si>
  <si>
    <t>שני שוטרים נפצעו מאש סורית בחוף הצפוני-מזרחי של הכינרת. האחד במצב קל והשני בינוני</t>
  </si>
  <si>
    <t>מטח יריות ניתך מעמדות הליגיון בעיר העתיקה לעבר חוליית סיור. במקביל נפתחה אש מקלעים לעבר שכונת הספר במזרח העיר. 3 נפצעו</t>
  </si>
  <si>
    <t>1835</t>
  </si>
  <si>
    <t>חיים נחמנוביץ</t>
  </si>
  <si>
    <t>אש מקלעים נפתחה לעבר השכונות הדרומיות של ירושלים. חילופי אש התפתחו בין הצדדים מהם נפצעו חייל ושני אזרחים ושני חיילים נהרגו</t>
  </si>
  <si>
    <t>מוצבים סורים בחירבת תאופיק פתחו באש לעבר תל-קציר. אין נפגעים, אך  התפרצה דליקה שנמשכה עד הבוקר וכ-300 דונם נשרפו.</t>
  </si>
  <si>
    <t>5/18/1953</t>
  </si>
  <si>
    <t>רועה ערבי בן 17 נחטף עם עדרו ע"י ירדנים שחדרו לישראל סמוך לכפר-קאסם. ישראל הגישה תלונה לועדת שביתת הנשק</t>
  </si>
  <si>
    <t xml:space="preserve">Streets </t>
  </si>
  <si>
    <t>8/12/1953</t>
  </si>
  <si>
    <t>מוצבים סורים פתחו באש מקלעים ומרגמות לעבר ספינת משמר ישראלית ולאחר מכן תקפו טרקטוריסט של קיבוץ האון, אך הוא יצא ללא פגע</t>
  </si>
  <si>
    <t>0650</t>
  </si>
  <si>
    <t>8/31/1953</t>
  </si>
  <si>
    <t>דוד חובב</t>
  </si>
  <si>
    <t>51</t>
  </si>
  <si>
    <t>אש מקלעים סורית נורתה לעבר תל-קציר וקיבוץ האון. לא היו נפגעים. ישראל פנתה בתלונה לאו"ם</t>
  </si>
  <si>
    <t>0330</t>
  </si>
  <si>
    <t>דויד חודה</t>
  </si>
  <si>
    <t>התקפה נוספת של אש מקלעים סורית לעבר האון ותל-קציר בתוך פחות מ-24 שעות. אין נפגעים. ישראל פנתה לאו"ם</t>
  </si>
  <si>
    <t xml:space="preserve">Kibbutz branches, Maoz Haim </t>
  </si>
  <si>
    <t>אש מקלעים סורית נורתה ממוצבי תאופיק לעבר טרקטוריסטים שעבדו באדמות תל-קציר. הטרקטור נפגע והנהג הצליח לתפוס מחסה וניצל</t>
  </si>
  <si>
    <t>10/14/1953</t>
  </si>
  <si>
    <t>עבדול לטיף</t>
  </si>
  <si>
    <t>שני חיילים ירדנים ירו מנשק קל לעבר אחראי להפעלת מכון המים בירמוך ופצעו אותו פצעים אנושים. היורים נמלטו</t>
  </si>
  <si>
    <t>מוצבים סורים פתחו באש מנשק אוטומטי לעבר חוליית עבודה ממטולה שעבדה באגם החולה. אין נפגעים</t>
  </si>
  <si>
    <t>התקפה סורית חסרת תקדים על הקיבוצים תל-קציר והאון. נזק כבד נגרם לרכוש. 2 טרקטוריסטים נפצעו קל מהאש וחולצו תחת האש שנמשכה 5 שעות</t>
  </si>
  <si>
    <t>אש מקלעים סורית נפתחה לעבר דייגים בחוף הצפוני של הכינרת, אין נפגעים.</t>
  </si>
  <si>
    <t>חבר משק אייל נפצע כאשר מסתננים ירו לעברו ליד לול הקיבוץ</t>
  </si>
  <si>
    <t>אברהם בן דוב</t>
  </si>
  <si>
    <t>שומר פרדסים שהיה בתפקיד נורה ונפצע באורח בינוני כשזיהה חוליית מסתננים אשר פתחה לעברו באש</t>
  </si>
  <si>
    <t>8/14/1954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</si>
</sst>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h:mm\ AM/PM"/>
    <numFmt numFmtId="165" formatCode="#,##0.0"/>
    <numFmt numFmtId="166" formatCode="#,##0.000"/>
    <numFmt numFmtId="167" formatCode="[$-409]d\-mmm\-yy"/>
  </numFmts>
  <fonts count="41">
    <font>
      <sz val="10"/>
      <color rgb="FF000000"/>
      <name val="Arial"/>
    </font>
    <font>
      <sz val="10"/>
      <name val="Arial"/>
      <family val="2"/>
    </font>
    <font>
      <sz val="10"/>
      <name val="Arial"/>
      <family val="2"/>
    </font>
    <font>
      <sz val="10"/>
      <color rgb="FF000000"/>
      <name val="Arial"/>
      <family val="2"/>
    </font>
    <font>
      <sz val="12"/>
      <name val="Arial"/>
      <family val="2"/>
    </font>
    <font>
      <sz val="10"/>
      <color rgb="FF000000"/>
      <name val="Sans-serif"/>
    </font>
    <font>
      <b/>
      <sz val="10"/>
      <name val="Arial"/>
      <family val="2"/>
    </font>
    <font>
      <sz val="12"/>
      <color rgb="FF000000"/>
      <name val="Arial"/>
      <family val="2"/>
    </font>
    <font>
      <sz val="14"/>
      <color rgb="FF000000"/>
      <name val="Arial"/>
      <family val="2"/>
    </font>
    <font>
      <sz val="14"/>
      <name val="Arial"/>
      <family val="2"/>
    </font>
    <font>
      <b/>
      <sz val="14"/>
      <color rgb="FFFFFFFF"/>
      <name val="Arial"/>
      <family val="2"/>
    </font>
    <font>
      <b/>
      <sz val="14"/>
      <name val="Arial"/>
      <family val="2"/>
    </font>
    <font>
      <b/>
      <sz val="14"/>
      <color rgb="FF000000"/>
      <name val="Arial"/>
      <family val="2"/>
    </font>
    <font>
      <sz val="14"/>
      <color rgb="FF000000"/>
      <name val="Sans-serif"/>
    </font>
    <font>
      <sz val="10"/>
      <color rgb="FF000000"/>
      <name val="Lora"/>
    </font>
    <font>
      <sz val="14"/>
      <name val="Arial"/>
      <family val="2"/>
    </font>
    <font>
      <b/>
      <sz val="11"/>
      <name val="Arial"/>
      <family val="2"/>
    </font>
    <font>
      <b/>
      <sz val="11"/>
      <color rgb="FF000000"/>
      <name val="Arial"/>
      <family val="2"/>
    </font>
    <font>
      <b/>
      <sz val="11"/>
      <name val="Arial"/>
      <family val="2"/>
    </font>
    <font>
      <sz val="11"/>
      <name val="Arial"/>
      <family val="2"/>
    </font>
    <font>
      <sz val="11"/>
      <color rgb="FF000000"/>
      <name val="Arial"/>
      <family val="2"/>
    </font>
    <font>
      <sz val="11"/>
      <name val="Arial"/>
      <family val="2"/>
    </font>
    <font>
      <b/>
      <sz val="10"/>
      <color rgb="FFFFFFFF"/>
      <name val="Arial"/>
      <family val="2"/>
    </font>
    <font>
      <sz val="10"/>
      <color rgb="FFFFFFFF"/>
      <name val="Arial"/>
      <family val="2"/>
    </font>
    <font>
      <sz val="11"/>
      <color rgb="FF000000"/>
      <name val="Calibri"/>
      <family val="2"/>
    </font>
    <font>
      <sz val="11"/>
      <name val="Calibri"/>
      <family val="2"/>
    </font>
    <font>
      <b/>
      <sz val="11"/>
      <color rgb="FFFF0000"/>
      <name val="Arial"/>
      <family val="2"/>
    </font>
    <font>
      <b/>
      <sz val="8"/>
      <color rgb="FFFFFFFF"/>
      <name val="Arial"/>
      <family val="2"/>
    </font>
    <font>
      <b/>
      <sz val="9"/>
      <color rgb="FFFFFFFF"/>
      <name val="Arial"/>
      <family val="2"/>
    </font>
    <font>
      <sz val="8"/>
      <name val="Calibri"/>
      <family val="2"/>
    </font>
    <font>
      <b/>
      <sz val="9"/>
      <color rgb="FFFF0000"/>
      <name val="Calibri"/>
      <family val="2"/>
    </font>
    <font>
      <sz val="8"/>
      <color rgb="FF0000FF"/>
      <name val="Calibri"/>
      <family val="2"/>
    </font>
    <font>
      <sz val="8"/>
      <color rgb="FF000000"/>
      <name val="Arial"/>
      <family val="2"/>
    </font>
    <font>
      <sz val="8"/>
      <color rgb="FF000000"/>
      <name val="Calibri"/>
      <family val="2"/>
    </font>
    <font>
      <b/>
      <sz val="9"/>
      <color rgb="FF000000"/>
      <name val="Calibri"/>
      <family val="2"/>
    </font>
    <font>
      <sz val="9"/>
      <color rgb="FF000000"/>
      <name val="Arial"/>
      <family val="2"/>
    </font>
    <font>
      <sz val="10"/>
      <color rgb="FF0000FF"/>
      <name val="Arial"/>
      <family val="2"/>
    </font>
    <font>
      <b/>
      <sz val="10"/>
      <name val="Arial"/>
      <family val="2"/>
    </font>
    <font>
      <sz val="10"/>
      <name val="Arial"/>
      <family val="2"/>
    </font>
    <font>
      <sz val="8"/>
      <name val="Arial"/>
      <family val="2"/>
    </font>
    <font>
      <b/>
      <sz val="9"/>
      <color rgb="FFFF0000"/>
      <name val="Arial"/>
      <family val="2"/>
    </font>
  </fonts>
  <fills count="14">
    <fill>
      <patternFill patternType="none"/>
    </fill>
    <fill>
      <patternFill patternType="gray125"/>
    </fill>
    <fill>
      <patternFill patternType="solid">
        <fgColor rgb="FFFFFFFF"/>
        <bgColor rgb="FFFFFFFF"/>
      </patternFill>
    </fill>
    <fill>
      <patternFill patternType="solid">
        <fgColor rgb="FFFFFF00"/>
        <bgColor rgb="FFFFFF00"/>
      </patternFill>
    </fill>
    <fill>
      <patternFill patternType="solid">
        <fgColor rgb="FF00FF00"/>
        <bgColor rgb="FF00FF00"/>
      </patternFill>
    </fill>
    <fill>
      <patternFill patternType="solid">
        <fgColor rgb="FFF0F0F0"/>
        <bgColor rgb="FFF0F0F0"/>
      </patternFill>
    </fill>
    <fill>
      <patternFill patternType="solid">
        <fgColor rgb="FFE06666"/>
        <bgColor rgb="FFE06666"/>
      </patternFill>
    </fill>
    <fill>
      <patternFill patternType="solid">
        <fgColor rgb="FFFF9C00"/>
        <bgColor rgb="FFFF9C00"/>
      </patternFill>
    </fill>
    <fill>
      <patternFill patternType="solid">
        <fgColor rgb="FF5B9BD5"/>
        <bgColor rgb="FF5B9BD5"/>
      </patternFill>
    </fill>
    <fill>
      <patternFill patternType="solid">
        <fgColor rgb="FFFF9900"/>
        <bgColor rgb="FFFF9900"/>
      </patternFill>
    </fill>
    <fill>
      <patternFill patternType="solid">
        <fgColor rgb="FFFF0000"/>
        <bgColor rgb="FFFF0000"/>
      </patternFill>
    </fill>
    <fill>
      <patternFill patternType="solid">
        <fgColor rgb="FF000000"/>
        <bgColor rgb="FF000000"/>
      </patternFill>
    </fill>
    <fill>
      <patternFill patternType="solid">
        <fgColor rgb="FF70AD47"/>
        <bgColor rgb="FF70AD47"/>
      </patternFill>
    </fill>
    <fill>
      <patternFill patternType="solid">
        <fgColor rgb="FFFFC000"/>
        <bgColor rgb="FFFFC000"/>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5B9BD5"/>
      </left>
      <right/>
      <top style="thin">
        <color rgb="FF5B9BD5"/>
      </top>
      <bottom/>
      <diagonal/>
    </border>
    <border>
      <left/>
      <right style="thin">
        <color rgb="FF5B9BD5"/>
      </right>
      <top style="thin">
        <color rgb="FF5B9BD5"/>
      </top>
      <bottom/>
      <diagonal/>
    </border>
    <border>
      <left/>
      <right/>
      <top/>
      <bottom/>
      <diagonal/>
    </border>
    <border>
      <left/>
      <right/>
      <top/>
      <bottom style="thin">
        <color rgb="FF000000"/>
      </bottom>
      <diagonal/>
    </border>
    <border>
      <left style="thin">
        <color rgb="FF5B9BD5"/>
      </left>
      <right/>
      <top style="thin">
        <color rgb="FF5B9BD5"/>
      </top>
      <bottom style="thin">
        <color rgb="FF000000"/>
      </bottom>
      <diagonal/>
    </border>
    <border>
      <left/>
      <right style="thin">
        <color rgb="FF5B9BD5"/>
      </right>
      <top style="thin">
        <color rgb="FF5B9BD5"/>
      </top>
      <bottom style="thin">
        <color rgb="FF5B9BD5"/>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45">
    <xf numFmtId="0" fontId="0" fillId="0" borderId="0" xfId="0" applyFont="1" applyAlignment="1"/>
    <xf numFmtId="0" fontId="1" fillId="0" borderId="0" xfId="0" applyFont="1" applyAlignment="1"/>
    <xf numFmtId="4" fontId="2" fillId="0" borderId="0" xfId="0" applyNumberFormat="1" applyFont="1" applyAlignment="1"/>
    <xf numFmtId="0" fontId="3" fillId="2" borderId="0" xfId="0" applyFont="1" applyFill="1" applyAlignment="1">
      <alignment horizontal="left"/>
    </xf>
    <xf numFmtId="3" fontId="2" fillId="0" borderId="0" xfId="0" applyNumberFormat="1" applyFont="1" applyAlignment="1"/>
    <xf numFmtId="0" fontId="4" fillId="0" borderId="1" xfId="0" applyFont="1" applyBorder="1" applyAlignment="1">
      <alignment vertical="top"/>
    </xf>
    <xf numFmtId="1" fontId="2" fillId="0" borderId="0" xfId="0" applyNumberFormat="1" applyFont="1" applyAlignment="1"/>
    <xf numFmtId="0" fontId="4" fillId="0" borderId="1" xfId="0" applyFont="1" applyBorder="1" applyAlignment="1">
      <alignment horizontal="left" vertical="top"/>
    </xf>
    <xf numFmtId="0" fontId="4" fillId="0" borderId="1" xfId="0" applyFont="1" applyBorder="1" applyAlignment="1"/>
    <xf numFmtId="14" fontId="2" fillId="0" borderId="0" xfId="0" applyNumberFormat="1" applyFont="1" applyAlignment="1"/>
    <xf numFmtId="0" fontId="4" fillId="0" borderId="1" xfId="0" applyFont="1" applyBorder="1" applyAlignment="1">
      <alignment vertical="top"/>
    </xf>
    <xf numFmtId="164" fontId="2" fillId="0" borderId="0" xfId="0" applyNumberFormat="1" applyFont="1" applyAlignment="1"/>
    <xf numFmtId="14" fontId="4" fillId="0" borderId="1" xfId="0" applyNumberFormat="1" applyFont="1" applyBorder="1" applyAlignment="1">
      <alignment horizontal="right" vertical="top"/>
    </xf>
    <xf numFmtId="4" fontId="2" fillId="0" borderId="0" xfId="0" applyNumberFormat="1" applyFont="1" applyAlignment="1"/>
    <xf numFmtId="14" fontId="4" fillId="0" borderId="1" xfId="0" applyNumberFormat="1" applyFont="1" applyBorder="1" applyAlignment="1"/>
    <xf numFmtId="49" fontId="2" fillId="0" borderId="0" xfId="0" applyNumberFormat="1" applyFont="1" applyAlignment="1"/>
    <xf numFmtId="0" fontId="4" fillId="0" borderId="1" xfId="0" applyFont="1" applyBorder="1" applyAlignment="1">
      <alignment horizontal="right" vertical="top"/>
    </xf>
    <xf numFmtId="49" fontId="2" fillId="0" borderId="0" xfId="0" applyNumberFormat="1" applyFont="1" applyAlignment="1"/>
    <xf numFmtId="4" fontId="2" fillId="0" borderId="0" xfId="0" applyNumberFormat="1" applyFont="1" applyAlignment="1"/>
    <xf numFmtId="165" fontId="2" fillId="0" borderId="0" xfId="0" applyNumberFormat="1" applyFont="1" applyAlignment="1"/>
    <xf numFmtId="0" fontId="5" fillId="2" borderId="0" xfId="0" applyFont="1" applyFill="1" applyAlignment="1">
      <alignment horizontal="left"/>
    </xf>
    <xf numFmtId="166" fontId="2" fillId="0" borderId="0" xfId="0" applyNumberFormat="1" applyFont="1" applyAlignment="1"/>
    <xf numFmtId="4" fontId="2" fillId="0" borderId="0" xfId="0" applyNumberFormat="1" applyFont="1" applyAlignment="1">
      <alignment horizontal="right"/>
    </xf>
    <xf numFmtId="0" fontId="4" fillId="3" borderId="1" xfId="0" applyFont="1" applyFill="1" applyBorder="1" applyAlignment="1">
      <alignment horizontal="right" vertical="top"/>
    </xf>
    <xf numFmtId="0" fontId="6" fillId="0" borderId="0" xfId="0" applyFont="1" applyAlignment="1"/>
    <xf numFmtId="4" fontId="2" fillId="0" borderId="0" xfId="0" applyNumberFormat="1" applyFont="1" applyAlignment="1">
      <alignment horizontal="right"/>
    </xf>
    <xf numFmtId="0" fontId="1" fillId="0" borderId="0" xfId="0" quotePrefix="1" applyFont="1" applyAlignment="1"/>
    <xf numFmtId="0" fontId="4" fillId="4" borderId="1" xfId="0" applyFont="1" applyFill="1" applyBorder="1" applyAlignment="1">
      <alignment vertical="top"/>
    </xf>
    <xf numFmtId="3" fontId="2" fillId="0" borderId="0" xfId="0" applyNumberFormat="1" applyFont="1" applyAlignment="1">
      <alignment horizontal="right"/>
    </xf>
    <xf numFmtId="0" fontId="7" fillId="5" borderId="0" xfId="0" applyFont="1" applyFill="1" applyAlignment="1">
      <alignment horizontal="left"/>
    </xf>
    <xf numFmtId="1" fontId="2" fillId="0" borderId="0" xfId="0" applyNumberFormat="1" applyFont="1" applyAlignment="1">
      <alignment horizontal="right"/>
    </xf>
    <xf numFmtId="0" fontId="4" fillId="6" borderId="1" xfId="0" applyFont="1" applyFill="1" applyBorder="1" applyAlignment="1">
      <alignment vertical="top"/>
    </xf>
    <xf numFmtId="0" fontId="7" fillId="4" borderId="0" xfId="0" applyFont="1" applyFill="1" applyAlignment="1"/>
    <xf numFmtId="0" fontId="7" fillId="2" borderId="0" xfId="0" applyFont="1" applyFill="1" applyAlignment="1">
      <alignment horizontal="left"/>
    </xf>
    <xf numFmtId="167" fontId="2" fillId="0" borderId="0" xfId="0" applyNumberFormat="1" applyFont="1" applyAlignment="1">
      <alignment horizontal="right"/>
    </xf>
    <xf numFmtId="164" fontId="2" fillId="0" borderId="0" xfId="0" applyNumberFormat="1" applyFont="1" applyAlignment="1"/>
    <xf numFmtId="0" fontId="7" fillId="3" borderId="0" xfId="0" applyFont="1" applyFill="1" applyAlignment="1"/>
    <xf numFmtId="165" fontId="2" fillId="0" borderId="0" xfId="0" applyNumberFormat="1" applyFont="1" applyAlignment="1">
      <alignment horizontal="right"/>
    </xf>
    <xf numFmtId="166" fontId="2" fillId="0" borderId="0" xfId="0" applyNumberFormat="1" applyFont="1" applyAlignment="1">
      <alignment horizontal="right"/>
    </xf>
    <xf numFmtId="164" fontId="2" fillId="0" borderId="0" xfId="0" applyNumberFormat="1" applyFont="1" applyAlignment="1">
      <alignment horizontal="right"/>
    </xf>
    <xf numFmtId="0" fontId="4" fillId="3" borderId="1" xfId="0" applyFont="1" applyFill="1" applyBorder="1" applyAlignment="1">
      <alignment vertical="top"/>
    </xf>
    <xf numFmtId="4" fontId="2" fillId="0" borderId="0" xfId="0" applyNumberFormat="1" applyFont="1" applyAlignment="1"/>
    <xf numFmtId="4" fontId="2" fillId="7" borderId="0" xfId="0" applyNumberFormat="1" applyFont="1" applyFill="1" applyAlignment="1"/>
    <xf numFmtId="14" fontId="8" fillId="0" borderId="0" xfId="0" applyNumberFormat="1" applyFont="1" applyAlignment="1">
      <alignment horizontal="left" readingOrder="1"/>
    </xf>
    <xf numFmtId="0" fontId="9" fillId="0" borderId="0" xfId="0" applyFont="1" applyAlignment="1">
      <alignment horizontal="center" vertical="top" readingOrder="1"/>
    </xf>
    <xf numFmtId="0" fontId="9" fillId="0" borderId="0" xfId="0" applyFont="1" applyAlignment="1">
      <alignment horizontal="right" vertical="top" readingOrder="1"/>
    </xf>
    <xf numFmtId="14" fontId="8" fillId="0" borderId="0" xfId="0" applyNumberFormat="1" applyFont="1" applyAlignment="1">
      <alignment horizontal="left" readingOrder="1"/>
    </xf>
    <xf numFmtId="4" fontId="9" fillId="0" borderId="0" xfId="0" applyNumberFormat="1" applyFont="1" applyAlignment="1">
      <alignment horizontal="right" readingOrder="1"/>
    </xf>
    <xf numFmtId="4" fontId="9" fillId="0" borderId="2" xfId="0" applyNumberFormat="1" applyFont="1" applyBorder="1" applyAlignment="1">
      <alignment horizontal="right" readingOrder="1"/>
    </xf>
    <xf numFmtId="4" fontId="9" fillId="0" borderId="3" xfId="0" applyNumberFormat="1" applyFont="1" applyBorder="1" applyAlignment="1">
      <alignment horizontal="right" readingOrder="1"/>
    </xf>
    <xf numFmtId="4" fontId="9" fillId="2" borderId="4" xfId="0" applyNumberFormat="1" applyFont="1" applyFill="1" applyBorder="1" applyAlignment="1">
      <alignment horizontal="right" readingOrder="1"/>
    </xf>
    <xf numFmtId="1" fontId="2" fillId="0" borderId="0" xfId="0" applyNumberFormat="1" applyFont="1" applyAlignment="1"/>
    <xf numFmtId="49" fontId="2" fillId="0" borderId="0" xfId="0" applyNumberFormat="1" applyFont="1" applyAlignment="1"/>
    <xf numFmtId="4" fontId="9" fillId="2" borderId="0" xfId="0" applyNumberFormat="1" applyFont="1" applyFill="1" applyAlignment="1">
      <alignment horizontal="right" readingOrder="1"/>
    </xf>
    <xf numFmtId="4" fontId="9" fillId="7" borderId="4" xfId="0" applyNumberFormat="1" applyFont="1" applyFill="1" applyBorder="1" applyAlignment="1">
      <alignment horizontal="right" readingOrder="1"/>
    </xf>
    <xf numFmtId="4" fontId="9" fillId="0" borderId="3" xfId="0" applyNumberFormat="1" applyFont="1" applyBorder="1" applyAlignment="1">
      <alignment horizontal="right" readingOrder="1"/>
    </xf>
    <xf numFmtId="0" fontId="10" fillId="8" borderId="5" xfId="0" applyFont="1" applyFill="1" applyBorder="1" applyAlignment="1"/>
    <xf numFmtId="3" fontId="2" fillId="0" borderId="0" xfId="0" applyNumberFormat="1" applyFont="1" applyAlignment="1"/>
    <xf numFmtId="0" fontId="11" fillId="8" borderId="6" xfId="0" applyFont="1" applyFill="1" applyBorder="1" applyAlignment="1"/>
    <xf numFmtId="0" fontId="12" fillId="8" borderId="0" xfId="0" applyFont="1" applyFill="1" applyAlignment="1"/>
    <xf numFmtId="14" fontId="8" fillId="0" borderId="2" xfId="0" applyNumberFormat="1" applyFont="1" applyBorder="1" applyAlignment="1">
      <alignment horizontal="left" readingOrder="1"/>
    </xf>
    <xf numFmtId="14" fontId="8" fillId="0" borderId="5" xfId="0" applyNumberFormat="1" applyFont="1" applyBorder="1" applyAlignment="1"/>
    <xf numFmtId="14" fontId="8" fillId="3" borderId="7" xfId="0" applyNumberFormat="1" applyFont="1" applyFill="1" applyBorder="1" applyAlignment="1">
      <alignment horizontal="left" readingOrder="1"/>
    </xf>
    <xf numFmtId="0" fontId="9" fillId="0" borderId="6" xfId="0" applyFont="1" applyBorder="1" applyAlignment="1"/>
    <xf numFmtId="0" fontId="8" fillId="0" borderId="0" xfId="0" applyFont="1" applyAlignment="1"/>
    <xf numFmtId="4" fontId="9" fillId="0" borderId="0" xfId="0" applyNumberFormat="1" applyFont="1" applyAlignment="1">
      <alignment horizontal="left" readingOrder="1"/>
    </xf>
    <xf numFmtId="0" fontId="9" fillId="0" borderId="0" xfId="0" applyFont="1" applyAlignment="1">
      <alignment horizontal="left" vertical="top" readingOrder="1"/>
    </xf>
    <xf numFmtId="0" fontId="8" fillId="2" borderId="0" xfId="0" applyFont="1" applyFill="1" applyAlignment="1"/>
    <xf numFmtId="0" fontId="9" fillId="0" borderId="0" xfId="0" applyFont="1" applyAlignment="1">
      <alignment horizontal="left" vertical="top" readingOrder="1"/>
    </xf>
    <xf numFmtId="0" fontId="8" fillId="9" borderId="0" xfId="0" applyFont="1" applyFill="1" applyAlignment="1"/>
    <xf numFmtId="0" fontId="8" fillId="2" borderId="0" xfId="0" applyFont="1" applyFill="1" applyAlignment="1">
      <alignment horizontal="left"/>
    </xf>
    <xf numFmtId="0" fontId="9" fillId="0" borderId="2" xfId="0" applyFont="1" applyBorder="1" applyAlignment="1">
      <alignment horizontal="left" vertical="top" readingOrder="1"/>
    </xf>
    <xf numFmtId="0" fontId="9" fillId="0" borderId="3" xfId="0" applyFont="1" applyBorder="1" applyAlignment="1">
      <alignment horizontal="right" vertical="top" readingOrder="1"/>
    </xf>
    <xf numFmtId="0" fontId="8" fillId="7" borderId="0" xfId="0" applyFont="1" applyFill="1" applyAlignment="1"/>
    <xf numFmtId="0" fontId="13" fillId="2" borderId="4" xfId="0" applyFont="1" applyFill="1" applyBorder="1" applyAlignment="1">
      <alignment horizontal="left" readingOrder="1"/>
    </xf>
    <xf numFmtId="4" fontId="2" fillId="7" borderId="0" xfId="0" applyNumberFormat="1" applyFont="1" applyFill="1" applyAlignment="1">
      <alignment horizontal="right"/>
    </xf>
    <xf numFmtId="4" fontId="9" fillId="0" borderId="4" xfId="0" applyNumberFormat="1" applyFont="1" applyBorder="1" applyAlignment="1">
      <alignment horizontal="right" readingOrder="1"/>
    </xf>
    <xf numFmtId="0" fontId="9" fillId="0" borderId="3" xfId="0" applyFont="1" applyBorder="1" applyAlignment="1">
      <alignment horizontal="left" vertical="top" readingOrder="1"/>
    </xf>
    <xf numFmtId="0" fontId="9" fillId="4" borderId="4" xfId="0" applyFont="1" applyFill="1" applyBorder="1" applyAlignment="1">
      <alignment horizontal="right" vertical="top" readingOrder="1"/>
    </xf>
    <xf numFmtId="0" fontId="8" fillId="5" borderId="4" xfId="0" applyFont="1" applyFill="1" applyBorder="1" applyAlignment="1">
      <alignment horizontal="left" readingOrder="1"/>
    </xf>
    <xf numFmtId="0" fontId="9" fillId="6" borderId="4" xfId="0" applyFont="1" applyFill="1" applyBorder="1" applyAlignment="1">
      <alignment horizontal="right" vertical="top" readingOrder="1"/>
    </xf>
    <xf numFmtId="0" fontId="9" fillId="4" borderId="4" xfId="0" applyFont="1" applyFill="1" applyBorder="1" applyAlignment="1">
      <alignment horizontal="right" readingOrder="1"/>
    </xf>
    <xf numFmtId="0" fontId="9" fillId="0" borderId="3" xfId="0" applyFont="1" applyBorder="1" applyAlignment="1">
      <alignment horizontal="left" vertical="top" readingOrder="1"/>
    </xf>
    <xf numFmtId="0" fontId="8" fillId="2" borderId="4" xfId="0" applyFont="1" applyFill="1" applyBorder="1" applyAlignment="1">
      <alignment horizontal="left" readingOrder="1"/>
    </xf>
    <xf numFmtId="0" fontId="9" fillId="3" borderId="4" xfId="0" applyFont="1" applyFill="1" applyBorder="1" applyAlignment="1">
      <alignment horizontal="right" readingOrder="1"/>
    </xf>
    <xf numFmtId="0" fontId="8" fillId="4" borderId="0" xfId="0" applyFont="1" applyFill="1" applyAlignment="1"/>
    <xf numFmtId="0" fontId="8" fillId="4" borderId="0" xfId="0" applyFont="1" applyFill="1" applyAlignment="1"/>
    <xf numFmtId="4" fontId="9" fillId="10" borderId="4" xfId="0" applyNumberFormat="1" applyFont="1" applyFill="1" applyBorder="1" applyAlignment="1">
      <alignment horizontal="left" readingOrder="1"/>
    </xf>
    <xf numFmtId="166" fontId="2" fillId="0" borderId="0" xfId="0" applyNumberFormat="1" applyFont="1" applyAlignment="1"/>
    <xf numFmtId="165" fontId="2" fillId="0" borderId="0" xfId="0" applyNumberFormat="1" applyFont="1" applyAlignment="1"/>
    <xf numFmtId="0" fontId="8" fillId="10" borderId="0" xfId="0" applyFont="1" applyFill="1" applyAlignment="1"/>
    <xf numFmtId="0" fontId="9" fillId="3" borderId="4" xfId="0" applyFont="1" applyFill="1" applyBorder="1" applyAlignment="1">
      <alignment horizontal="right" vertical="top" readingOrder="1"/>
    </xf>
    <xf numFmtId="4" fontId="9" fillId="0" borderId="4" xfId="0" applyNumberFormat="1" applyFont="1" applyBorder="1" applyAlignment="1">
      <alignment horizontal="right" readingOrder="1"/>
    </xf>
    <xf numFmtId="0" fontId="9" fillId="0" borderId="2" xfId="0" applyFont="1" applyBorder="1" applyAlignment="1">
      <alignment horizontal="right" vertical="top" readingOrder="1"/>
    </xf>
    <xf numFmtId="0" fontId="9" fillId="0" borderId="0" xfId="0" applyFont="1" applyAlignment="1">
      <alignment horizontal="left" readingOrder="1"/>
    </xf>
    <xf numFmtId="4" fontId="14" fillId="2" borderId="0" xfId="0" applyNumberFormat="1" applyFont="1" applyFill="1" applyAlignment="1"/>
    <xf numFmtId="4" fontId="2" fillId="3" borderId="0" xfId="0" applyNumberFormat="1" applyFont="1" applyFill="1" applyAlignment="1">
      <alignment horizontal="right"/>
    </xf>
    <xf numFmtId="0" fontId="9" fillId="2" borderId="4" xfId="0" applyFont="1" applyFill="1" applyBorder="1" applyAlignment="1">
      <alignment horizontal="left" vertical="top" readingOrder="1"/>
    </xf>
    <xf numFmtId="0" fontId="9" fillId="2" borderId="6" xfId="0" applyFont="1" applyFill="1" applyBorder="1" applyAlignment="1"/>
    <xf numFmtId="14" fontId="8" fillId="0" borderId="8" xfId="0" applyNumberFormat="1" applyFont="1" applyBorder="1" applyAlignment="1">
      <alignment horizontal="left" readingOrder="1"/>
    </xf>
    <xf numFmtId="0" fontId="1" fillId="0" borderId="0" xfId="0" applyFont="1" applyAlignment="1">
      <alignment horizontal="right"/>
    </xf>
    <xf numFmtId="0" fontId="8" fillId="0" borderId="5" xfId="0" applyFont="1" applyBorder="1" applyAlignment="1"/>
    <xf numFmtId="0" fontId="8" fillId="0" borderId="9" xfId="0" applyFont="1" applyBorder="1" applyAlignment="1"/>
    <xf numFmtId="0" fontId="9" fillId="0" borderId="10" xfId="0" applyFont="1" applyBorder="1" applyAlignment="1"/>
    <xf numFmtId="0" fontId="15" fillId="0" borderId="0" xfId="0" applyFont="1"/>
    <xf numFmtId="4" fontId="2" fillId="10" borderId="0" xfId="0" applyNumberFormat="1" applyFont="1" applyFill="1" applyAlignment="1">
      <alignment horizontal="right"/>
    </xf>
    <xf numFmtId="0" fontId="16" fillId="0" borderId="1" xfId="0" applyFont="1" applyBorder="1" applyAlignment="1">
      <alignment horizontal="right"/>
    </xf>
    <xf numFmtId="0" fontId="17" fillId="2" borderId="1" xfId="0" applyFont="1" applyFill="1" applyBorder="1" applyAlignment="1">
      <alignment horizontal="right"/>
    </xf>
    <xf numFmtId="0" fontId="17" fillId="0" borderId="1" xfId="0" applyFont="1" applyBorder="1" applyAlignment="1">
      <alignment horizontal="left"/>
    </xf>
    <xf numFmtId="0" fontId="17" fillId="0" borderId="1" xfId="0" applyFont="1" applyBorder="1" applyAlignment="1">
      <alignment horizontal="left"/>
    </xf>
    <xf numFmtId="0" fontId="18" fillId="0" borderId="1" xfId="0" applyFont="1" applyBorder="1" applyAlignment="1">
      <alignment horizontal="left"/>
    </xf>
    <xf numFmtId="0" fontId="18" fillId="0" borderId="1" xfId="0" applyFont="1" applyBorder="1" applyAlignment="1">
      <alignment horizontal="left" wrapText="1"/>
    </xf>
    <xf numFmtId="0" fontId="16" fillId="0" borderId="1" xfId="0" applyFont="1" applyBorder="1"/>
    <xf numFmtId="0" fontId="6" fillId="0" borderId="1" xfId="0" applyFont="1" applyBorder="1"/>
    <xf numFmtId="0" fontId="19" fillId="0" borderId="1" xfId="0" applyFont="1" applyBorder="1" applyAlignment="1">
      <alignment horizontal="right"/>
    </xf>
    <xf numFmtId="14" fontId="20" fillId="2" borderId="1" xfId="0" applyNumberFormat="1" applyFont="1" applyFill="1" applyBorder="1" applyAlignment="1">
      <alignment horizontal="right"/>
    </xf>
    <xf numFmtId="0" fontId="20" fillId="0" borderId="1" xfId="0" applyFont="1" applyBorder="1" applyAlignment="1">
      <alignment horizontal="left"/>
    </xf>
    <xf numFmtId="0" fontId="20" fillId="0" borderId="1" xfId="0" applyFont="1" applyBorder="1" applyAlignment="1">
      <alignment horizontal="left"/>
    </xf>
    <xf numFmtId="0" fontId="21" fillId="0" borderId="1" xfId="0" applyFont="1" applyBorder="1" applyAlignment="1">
      <alignment horizontal="left"/>
    </xf>
    <xf numFmtId="0" fontId="21" fillId="0" borderId="1" xfId="0" applyFont="1" applyBorder="1" applyAlignment="1">
      <alignment horizontal="left" wrapText="1"/>
    </xf>
    <xf numFmtId="0" fontId="19" fillId="0" borderId="1" xfId="0" applyFont="1" applyBorder="1"/>
    <xf numFmtId="0" fontId="1" fillId="0" borderId="1" xfId="0" applyFont="1" applyBorder="1"/>
    <xf numFmtId="14" fontId="20" fillId="0" borderId="1" xfId="0" applyNumberFormat="1" applyFont="1" applyBorder="1" applyAlignment="1">
      <alignment horizontal="right"/>
    </xf>
    <xf numFmtId="0" fontId="20" fillId="3" borderId="1" xfId="0" applyFont="1" applyFill="1" applyBorder="1" applyAlignment="1">
      <alignment horizontal="left"/>
    </xf>
    <xf numFmtId="4" fontId="2" fillId="10" borderId="0" xfId="0" applyNumberFormat="1" applyFont="1" applyFill="1" applyAlignment="1"/>
    <xf numFmtId="0" fontId="20" fillId="4" borderId="1" xfId="0" applyFont="1" applyFill="1" applyBorder="1" applyAlignment="1">
      <alignment horizontal="left"/>
    </xf>
    <xf numFmtId="0" fontId="20" fillId="2" borderId="1" xfId="0" applyFont="1" applyFill="1" applyBorder="1" applyAlignment="1">
      <alignment horizontal="left"/>
    </xf>
    <xf numFmtId="0" fontId="22" fillId="11" borderId="11" xfId="0" applyFont="1" applyFill="1" applyBorder="1" applyAlignment="1"/>
    <xf numFmtId="0" fontId="22" fillId="11" borderId="11" xfId="0" applyFont="1" applyFill="1" applyBorder="1" applyAlignment="1"/>
    <xf numFmtId="3" fontId="23" fillId="11" borderId="11" xfId="0" applyNumberFormat="1" applyFont="1" applyFill="1" applyBorder="1" applyAlignment="1">
      <alignment horizontal="left"/>
    </xf>
    <xf numFmtId="0" fontId="22" fillId="11" borderId="12" xfId="0" applyFont="1" applyFill="1" applyBorder="1" applyAlignment="1"/>
    <xf numFmtId="0" fontId="3" fillId="0" borderId="13" xfId="0" applyFont="1" applyBorder="1" applyAlignment="1"/>
    <xf numFmtId="0" fontId="24" fillId="0" borderId="13" xfId="0" applyFont="1" applyBorder="1" applyAlignment="1"/>
    <xf numFmtId="0" fontId="24" fillId="0" borderId="13" xfId="0" applyFont="1" applyBorder="1" applyAlignment="1"/>
    <xf numFmtId="3" fontId="24" fillId="0" borderId="13" xfId="0" applyNumberFormat="1" applyFont="1" applyBorder="1" applyAlignment="1">
      <alignment horizontal="left"/>
    </xf>
    <xf numFmtId="0" fontId="24" fillId="0" borderId="13" xfId="0" applyFont="1" applyBorder="1" applyAlignment="1"/>
    <xf numFmtId="0" fontId="3" fillId="0" borderId="0" xfId="0" applyFont="1" applyAlignment="1"/>
    <xf numFmtId="0" fontId="3" fillId="0" borderId="0" xfId="0" applyFont="1" applyAlignment="1"/>
    <xf numFmtId="0" fontId="3" fillId="0" borderId="14" xfId="0" applyFont="1" applyBorder="1" applyAlignment="1"/>
    <xf numFmtId="0" fontId="24" fillId="10" borderId="13" xfId="0" applyFont="1" applyFill="1" applyBorder="1" applyAlignment="1"/>
    <xf numFmtId="0" fontId="3" fillId="0" borderId="14" xfId="0" applyFont="1" applyBorder="1" applyAlignment="1"/>
    <xf numFmtId="0" fontId="24" fillId="3" borderId="13" xfId="0" applyFont="1" applyFill="1" applyBorder="1" applyAlignment="1"/>
    <xf numFmtId="14" fontId="3" fillId="0" borderId="14" xfId="0" applyNumberFormat="1" applyFont="1" applyBorder="1" applyAlignment="1"/>
    <xf numFmtId="14" fontId="25" fillId="0" borderId="1" xfId="0" applyNumberFormat="1" applyFont="1" applyBorder="1" applyAlignment="1">
      <alignment horizontal="right" vertical="top" wrapText="1"/>
    </xf>
    <xf numFmtId="14" fontId="26" fillId="0" borderId="1" xfId="0" applyNumberFormat="1" applyFont="1" applyBorder="1" applyAlignment="1">
      <alignment horizontal="right" vertical="top" wrapText="1"/>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20" fillId="0" borderId="1" xfId="0" applyFont="1" applyBorder="1" applyAlignment="1">
      <alignment horizontal="left" vertical="top" wrapText="1"/>
    </xf>
    <xf numFmtId="0" fontId="21" fillId="0" borderId="1" xfId="0" applyFont="1" applyBorder="1" applyAlignment="1">
      <alignment horizontal="left" vertical="top" wrapText="1"/>
    </xf>
    <xf numFmtId="0" fontId="24" fillId="7" borderId="13" xfId="0" applyFont="1" applyFill="1" applyBorder="1" applyAlignment="1"/>
    <xf numFmtId="0" fontId="3" fillId="0" borderId="13" xfId="0" applyFont="1" applyBorder="1" applyAlignment="1"/>
    <xf numFmtId="0" fontId="25" fillId="0" borderId="1" xfId="0" applyFont="1" applyBorder="1" applyAlignment="1">
      <alignment horizontal="right" vertical="top" wrapText="1"/>
    </xf>
    <xf numFmtId="0" fontId="3" fillId="0" borderId="13" xfId="0" applyFont="1" applyBorder="1" applyAlignment="1"/>
    <xf numFmtId="14" fontId="26" fillId="0" borderId="1" xfId="0" applyNumberFormat="1" applyFont="1" applyBorder="1" applyAlignment="1">
      <alignment horizontal="right" vertical="top" wrapText="1"/>
    </xf>
    <xf numFmtId="3" fontId="3" fillId="0" borderId="13" xfId="0" applyNumberFormat="1" applyFont="1" applyBorder="1" applyAlignment="1">
      <alignment horizontal="left"/>
    </xf>
    <xf numFmtId="3" fontId="24" fillId="0" borderId="13" xfId="0" applyNumberFormat="1" applyFont="1" applyBorder="1" applyAlignment="1">
      <alignment horizontal="left"/>
    </xf>
    <xf numFmtId="0" fontId="3" fillId="3" borderId="0" xfId="0" applyFont="1" applyFill="1" applyAlignment="1"/>
    <xf numFmtId="0" fontId="3" fillId="7" borderId="0" xfId="0" applyFont="1" applyFill="1" applyAlignment="1"/>
    <xf numFmtId="0" fontId="24" fillId="0" borderId="13" xfId="0" quotePrefix="1" applyFont="1" applyBorder="1" applyAlignment="1"/>
    <xf numFmtId="14" fontId="24" fillId="0" borderId="1" xfId="0" applyNumberFormat="1" applyFont="1" applyBorder="1" applyAlignment="1">
      <alignment horizontal="right" vertical="top" wrapText="1"/>
    </xf>
    <xf numFmtId="0" fontId="20" fillId="4" borderId="1" xfId="0" applyFont="1" applyFill="1" applyBorder="1" applyAlignment="1">
      <alignment horizontal="left"/>
    </xf>
    <xf numFmtId="3" fontId="1" fillId="0" borderId="0" xfId="0" applyNumberFormat="1" applyFont="1" applyAlignment="1">
      <alignment horizontal="left"/>
    </xf>
    <xf numFmtId="0" fontId="20" fillId="2" borderId="1" xfId="0" applyFont="1" applyFill="1" applyBorder="1" applyAlignment="1">
      <alignment horizontal="left" vertical="top" wrapText="1"/>
    </xf>
    <xf numFmtId="0" fontId="21" fillId="2" borderId="1" xfId="0" applyFont="1" applyFill="1" applyBorder="1" applyAlignment="1">
      <alignment horizontal="left" wrapText="1"/>
    </xf>
    <xf numFmtId="0" fontId="27" fillId="11" borderId="15" xfId="0" applyFont="1" applyFill="1" applyBorder="1" applyAlignment="1">
      <alignment horizontal="center" vertical="top" wrapText="1"/>
    </xf>
    <xf numFmtId="0" fontId="28" fillId="10" borderId="16" xfId="0" applyFont="1" applyFill="1" applyBorder="1" applyAlignment="1">
      <alignment horizontal="center" vertical="top" wrapText="1"/>
    </xf>
    <xf numFmtId="0" fontId="27" fillId="11" borderId="1" xfId="0" applyFont="1" applyFill="1" applyBorder="1" applyAlignment="1">
      <alignment horizontal="center" vertical="top" wrapText="1"/>
    </xf>
    <xf numFmtId="0" fontId="27" fillId="0" borderId="1" xfId="0" applyFont="1" applyBorder="1" applyAlignment="1">
      <alignment horizontal="center" vertical="top" wrapText="1"/>
    </xf>
    <xf numFmtId="14" fontId="29" fillId="0" borderId="17" xfId="0" applyNumberFormat="1" applyFont="1" applyBorder="1" applyAlignment="1">
      <alignment horizontal="left" vertical="top" wrapText="1"/>
    </xf>
    <xf numFmtId="14" fontId="30" fillId="0" borderId="18" xfId="0" applyNumberFormat="1" applyFont="1" applyBorder="1" applyAlignment="1">
      <alignment horizontal="left" vertical="top" wrapText="1"/>
    </xf>
    <xf numFmtId="0" fontId="31" fillId="0" borderId="1" xfId="0" applyFont="1" applyBorder="1" applyAlignment="1">
      <alignment horizontal="left" vertical="top" wrapText="1"/>
    </xf>
    <xf numFmtId="0" fontId="29" fillId="0" borderId="1" xfId="0" applyFont="1" applyBorder="1" applyAlignment="1">
      <alignment horizontal="left" vertical="top" wrapText="1"/>
    </xf>
    <xf numFmtId="0" fontId="31" fillId="2" borderId="1" xfId="0" applyFont="1" applyFill="1" applyBorder="1" applyAlignment="1">
      <alignment horizontal="left" vertical="top" wrapText="1"/>
    </xf>
    <xf numFmtId="0" fontId="32" fillId="0" borderId="1" xfId="0" applyFont="1" applyBorder="1" applyAlignment="1">
      <alignment horizontal="left" vertical="top" wrapText="1"/>
    </xf>
    <xf numFmtId="0" fontId="31" fillId="0" borderId="1" xfId="0" applyFont="1" applyBorder="1" applyAlignment="1">
      <alignment horizontal="left" vertical="top" wrapText="1"/>
    </xf>
    <xf numFmtId="0" fontId="29" fillId="0" borderId="1" xfId="0" applyFont="1" applyBorder="1" applyAlignment="1">
      <alignment horizontal="left" vertical="top" wrapText="1"/>
    </xf>
    <xf numFmtId="0" fontId="29" fillId="0" borderId="17" xfId="0" applyFont="1" applyBorder="1" applyAlignment="1">
      <alignment horizontal="left" vertical="top" wrapText="1"/>
    </xf>
    <xf numFmtId="14" fontId="30" fillId="0" borderId="18" xfId="0" applyNumberFormat="1" applyFont="1" applyBorder="1" applyAlignment="1">
      <alignment horizontal="left" vertical="top" wrapText="1"/>
    </xf>
    <xf numFmtId="14" fontId="33" fillId="0" borderId="17" xfId="0" applyNumberFormat="1" applyFont="1" applyBorder="1" applyAlignment="1">
      <alignment horizontal="left" vertical="top" wrapText="1"/>
    </xf>
    <xf numFmtId="0" fontId="33" fillId="0" borderId="1" xfId="0" applyFont="1" applyBorder="1" applyAlignment="1">
      <alignment horizontal="left" vertical="top" wrapText="1"/>
    </xf>
    <xf numFmtId="0" fontId="33" fillId="0" borderId="1" xfId="0" applyFont="1" applyBorder="1" applyAlignment="1">
      <alignment horizontal="left" vertical="top" wrapText="1"/>
    </xf>
    <xf numFmtId="0" fontId="31" fillId="7" borderId="1" xfId="0" applyFont="1" applyFill="1" applyBorder="1" applyAlignment="1">
      <alignment horizontal="left" vertical="top" wrapText="1"/>
    </xf>
    <xf numFmtId="0" fontId="33" fillId="3" borderId="1" xfId="0" applyFont="1" applyFill="1" applyBorder="1" applyAlignment="1">
      <alignment horizontal="left" vertical="top" wrapText="1"/>
    </xf>
    <xf numFmtId="0" fontId="32" fillId="0" borderId="1" xfId="0" applyFont="1" applyBorder="1" applyAlignment="1">
      <alignment horizontal="left" vertical="top" wrapText="1"/>
    </xf>
    <xf numFmtId="0" fontId="31" fillId="10" borderId="1" xfId="0" applyFont="1" applyFill="1" applyBorder="1" applyAlignment="1">
      <alignment horizontal="left" vertical="top" wrapText="1"/>
    </xf>
    <xf numFmtId="0" fontId="33" fillId="7" borderId="1" xfId="0" applyFont="1" applyFill="1" applyBorder="1" applyAlignment="1">
      <alignment horizontal="left" vertical="top" wrapText="1"/>
    </xf>
    <xf numFmtId="14" fontId="33" fillId="12" borderId="15" xfId="0" applyNumberFormat="1" applyFont="1" applyFill="1" applyBorder="1" applyAlignment="1">
      <alignment horizontal="left" vertical="top" wrapText="1"/>
    </xf>
    <xf numFmtId="14" fontId="30" fillId="12" borderId="18" xfId="0" applyNumberFormat="1" applyFont="1" applyFill="1" applyBorder="1" applyAlignment="1">
      <alignment horizontal="left" vertical="top" wrapText="1"/>
    </xf>
    <xf numFmtId="0" fontId="33" fillId="12" borderId="15" xfId="0" applyFont="1" applyFill="1" applyBorder="1" applyAlignment="1">
      <alignment horizontal="left" vertical="top" wrapText="1"/>
    </xf>
    <xf numFmtId="0" fontId="33" fillId="12" borderId="15" xfId="0" applyFont="1" applyFill="1" applyBorder="1" applyAlignment="1">
      <alignment horizontal="left" vertical="top" wrapText="1"/>
    </xf>
    <xf numFmtId="0" fontId="33" fillId="2" borderId="15" xfId="0" applyFont="1" applyFill="1" applyBorder="1" applyAlignment="1">
      <alignment horizontal="left" vertical="top" wrapText="1"/>
    </xf>
    <xf numFmtId="0" fontId="33" fillId="2" borderId="15" xfId="0" applyFont="1" applyFill="1" applyBorder="1" applyAlignment="1">
      <alignment horizontal="left" vertical="top" wrapText="1"/>
    </xf>
    <xf numFmtId="0" fontId="33" fillId="10" borderId="1" xfId="0" applyFont="1" applyFill="1" applyBorder="1" applyAlignment="1">
      <alignment horizontal="left" vertical="top" wrapText="1"/>
    </xf>
    <xf numFmtId="0" fontId="20" fillId="0" borderId="1" xfId="0" applyFont="1" applyBorder="1" applyAlignment="1">
      <alignment horizontal="right"/>
    </xf>
    <xf numFmtId="0" fontId="32" fillId="2" borderId="15" xfId="0" applyFont="1" applyFill="1" applyBorder="1" applyAlignment="1">
      <alignment horizontal="left" vertical="top" wrapText="1"/>
    </xf>
    <xf numFmtId="0" fontId="32" fillId="2" borderId="15" xfId="0" applyFont="1" applyFill="1" applyBorder="1" applyAlignment="1">
      <alignment horizontal="left" vertical="top" wrapText="1"/>
    </xf>
    <xf numFmtId="0" fontId="33" fillId="2" borderId="15" xfId="0" applyFont="1" applyFill="1" applyBorder="1" applyAlignment="1">
      <alignment horizontal="left" vertical="top" wrapText="1"/>
    </xf>
    <xf numFmtId="0" fontId="21" fillId="0" borderId="0" xfId="0" applyFont="1" applyAlignment="1">
      <alignment horizontal="right"/>
    </xf>
    <xf numFmtId="0" fontId="3" fillId="0" borderId="0" xfId="0" applyFont="1" applyAlignment="1">
      <alignment horizontal="left"/>
    </xf>
    <xf numFmtId="14" fontId="33" fillId="2" borderId="15" xfId="0" applyNumberFormat="1" applyFont="1" applyFill="1" applyBorder="1" applyAlignment="1">
      <alignment horizontal="left" vertical="top" wrapText="1"/>
    </xf>
    <xf numFmtId="0" fontId="2" fillId="0" borderId="0" xfId="0" applyFont="1" applyAlignment="1">
      <alignment horizontal="left"/>
    </xf>
    <xf numFmtId="0" fontId="2" fillId="0" borderId="0" xfId="0" applyFont="1" applyAlignment="1">
      <alignment horizontal="left" wrapText="1"/>
    </xf>
    <xf numFmtId="0" fontId="33" fillId="12" borderId="15" xfId="0" applyFont="1" applyFill="1" applyBorder="1" applyAlignment="1">
      <alignment horizontal="left" vertical="top" wrapText="1"/>
    </xf>
    <xf numFmtId="14" fontId="29" fillId="2" borderId="15" xfId="0" applyNumberFormat="1" applyFont="1" applyFill="1" applyBorder="1" applyAlignment="1">
      <alignment horizontal="left" vertical="top" wrapText="1"/>
    </xf>
    <xf numFmtId="14" fontId="29" fillId="2" borderId="15" xfId="0" applyNumberFormat="1" applyFont="1" applyFill="1" applyBorder="1" applyAlignment="1">
      <alignment horizontal="left" vertical="top" wrapText="1"/>
    </xf>
    <xf numFmtId="14" fontId="29" fillId="2" borderId="15" xfId="0" applyNumberFormat="1" applyFont="1" applyFill="1" applyBorder="1" applyAlignment="1">
      <alignment horizontal="left" vertical="top" wrapText="1"/>
    </xf>
    <xf numFmtId="0" fontId="34" fillId="2" borderId="18" xfId="0" applyFont="1" applyFill="1" applyBorder="1" applyAlignment="1">
      <alignment horizontal="left" vertical="top" wrapText="1"/>
    </xf>
    <xf numFmtId="14" fontId="32" fillId="0" borderId="17" xfId="0" applyNumberFormat="1" applyFont="1" applyBorder="1" applyAlignment="1">
      <alignment horizontal="left" vertical="top" wrapText="1"/>
    </xf>
    <xf numFmtId="14" fontId="35" fillId="0" borderId="18" xfId="0" applyNumberFormat="1" applyFont="1" applyBorder="1" applyAlignment="1">
      <alignment horizontal="left" vertical="top" wrapText="1"/>
    </xf>
    <xf numFmtId="0" fontId="2" fillId="0" borderId="1" xfId="0" applyFont="1" applyBorder="1" applyAlignment="1">
      <alignment horizontal="right" vertical="top"/>
    </xf>
    <xf numFmtId="0" fontId="2" fillId="0" borderId="1" xfId="0" applyFont="1" applyBorder="1" applyAlignment="1">
      <alignment horizontal="right" vertical="top"/>
    </xf>
    <xf numFmtId="0" fontId="2" fillId="0" borderId="1" xfId="0" applyFont="1" applyBorder="1" applyAlignment="1">
      <alignment horizontal="left" vertical="top"/>
    </xf>
    <xf numFmtId="0" fontId="2" fillId="0" borderId="1" xfId="0" applyFont="1" applyBorder="1" applyAlignment="1">
      <alignment horizontal="left" vertical="top"/>
    </xf>
    <xf numFmtId="0" fontId="1" fillId="0" borderId="19" xfId="0" applyFont="1" applyBorder="1" applyAlignment="1">
      <alignment horizontal="right" vertical="top"/>
    </xf>
    <xf numFmtId="0" fontId="2" fillId="0" borderId="19" xfId="0" applyFont="1" applyBorder="1" applyAlignment="1">
      <alignment horizontal="right" vertical="top"/>
    </xf>
    <xf numFmtId="0" fontId="2" fillId="0" borderId="19" xfId="0" applyFont="1" applyBorder="1" applyAlignment="1">
      <alignment horizontal="right" vertical="top"/>
    </xf>
    <xf numFmtId="0" fontId="1" fillId="0" borderId="1" xfId="0" applyFont="1" applyBorder="1" applyAlignment="1">
      <alignment horizontal="right" vertical="top"/>
    </xf>
    <xf numFmtId="0" fontId="36" fillId="0" borderId="19" xfId="0" applyFont="1" applyBorder="1" applyAlignment="1">
      <alignment horizontal="right" vertical="top"/>
    </xf>
    <xf numFmtId="0" fontId="36" fillId="2" borderId="19" xfId="0" applyFont="1" applyFill="1" applyBorder="1" applyAlignment="1">
      <alignment horizontal="right" vertical="top"/>
    </xf>
    <xf numFmtId="14" fontId="1" fillId="0" borderId="0" xfId="0" applyNumberFormat="1" applyFont="1" applyAlignment="1"/>
    <xf numFmtId="0" fontId="36" fillId="0" borderId="19" xfId="0" applyFont="1" applyBorder="1" applyAlignment="1">
      <alignment horizontal="right" vertical="top"/>
    </xf>
    <xf numFmtId="14" fontId="1" fillId="0" borderId="1" xfId="0" applyNumberFormat="1" applyFont="1" applyBorder="1" applyAlignment="1">
      <alignment horizontal="right" vertical="top"/>
    </xf>
    <xf numFmtId="0" fontId="36" fillId="10" borderId="19" xfId="0" applyFont="1" applyFill="1" applyBorder="1" applyAlignment="1">
      <alignment horizontal="right" vertical="top"/>
    </xf>
    <xf numFmtId="0" fontId="1" fillId="0" borderId="19" xfId="0" applyFont="1" applyBorder="1" applyAlignment="1">
      <alignment horizontal="right" vertical="top"/>
    </xf>
    <xf numFmtId="0" fontId="1" fillId="0" borderId="19" xfId="0" applyFont="1" applyBorder="1" applyAlignment="1">
      <alignment horizontal="right" vertical="top"/>
    </xf>
    <xf numFmtId="0" fontId="36" fillId="7" borderId="19" xfId="0" applyFont="1" applyFill="1" applyBorder="1" applyAlignment="1">
      <alignment horizontal="right" vertical="top"/>
    </xf>
    <xf numFmtId="0" fontId="37" fillId="0" borderId="0" xfId="0" applyFont="1" applyAlignment="1"/>
    <xf numFmtId="0" fontId="38" fillId="0" borderId="0" xfId="0" applyFont="1" applyAlignment="1"/>
    <xf numFmtId="14" fontId="27" fillId="11" borderId="15" xfId="0" applyNumberFormat="1" applyFont="1" applyFill="1" applyBorder="1" applyAlignment="1">
      <alignment horizontal="center" vertical="top" wrapText="1"/>
    </xf>
    <xf numFmtId="14" fontId="28" fillId="10" borderId="16" xfId="0" applyNumberFormat="1" applyFont="1" applyFill="1" applyBorder="1" applyAlignment="1">
      <alignment horizontal="center" vertical="top" wrapText="1"/>
    </xf>
    <xf numFmtId="3" fontId="27" fillId="11" borderId="20" xfId="0" applyNumberFormat="1" applyFont="1" applyFill="1" applyBorder="1" applyAlignment="1">
      <alignment horizontal="center" vertical="top" wrapText="1"/>
    </xf>
    <xf numFmtId="3" fontId="39" fillId="0" borderId="21" xfId="0" applyNumberFormat="1" applyFont="1" applyBorder="1" applyAlignment="1">
      <alignment horizontal="left" vertical="top" wrapText="1"/>
    </xf>
    <xf numFmtId="14" fontId="30" fillId="3" borderId="18" xfId="0" applyNumberFormat="1" applyFont="1" applyFill="1" applyBorder="1" applyAlignment="1">
      <alignment horizontal="left" vertical="top" wrapText="1"/>
    </xf>
    <xf numFmtId="3" fontId="33" fillId="0" borderId="21" xfId="0" applyNumberFormat="1" applyFont="1" applyBorder="1" applyAlignment="1">
      <alignment horizontal="left" vertical="top" wrapText="1"/>
    </xf>
    <xf numFmtId="14" fontId="30" fillId="13" borderId="18" xfId="0" applyNumberFormat="1" applyFont="1" applyFill="1" applyBorder="1" applyAlignment="1">
      <alignment horizontal="left" vertical="top" wrapText="1"/>
    </xf>
    <xf numFmtId="14" fontId="32" fillId="0" borderId="1" xfId="0" applyNumberFormat="1" applyFont="1" applyBorder="1" applyAlignment="1">
      <alignment horizontal="left" vertical="top" wrapText="1"/>
    </xf>
    <xf numFmtId="0" fontId="32" fillId="3" borderId="1" xfId="0" applyFont="1" applyFill="1" applyBorder="1" applyAlignment="1">
      <alignment horizontal="left" vertical="top" wrapText="1"/>
    </xf>
    <xf numFmtId="0" fontId="32" fillId="7" borderId="1" xfId="0" applyFont="1" applyFill="1" applyBorder="1" applyAlignment="1">
      <alignment horizontal="left" vertical="top" wrapText="1"/>
    </xf>
    <xf numFmtId="0" fontId="32" fillId="12" borderId="15" xfId="0" applyFont="1" applyFill="1" applyBorder="1" applyAlignment="1">
      <alignment horizontal="left" vertical="top" wrapText="1"/>
    </xf>
    <xf numFmtId="14" fontId="40" fillId="12" borderId="18" xfId="0" applyNumberFormat="1" applyFont="1" applyFill="1" applyBorder="1" applyAlignment="1">
      <alignment horizontal="left" vertical="top" wrapText="1"/>
    </xf>
    <xf numFmtId="3" fontId="32" fillId="0" borderId="21" xfId="0" applyNumberFormat="1" applyFont="1" applyBorder="1" applyAlignment="1">
      <alignment horizontal="left" vertical="top" wrapText="1"/>
    </xf>
    <xf numFmtId="0" fontId="33" fillId="0" borderId="1" xfId="0" applyFont="1" applyBorder="1" applyAlignment="1">
      <alignment horizontal="left" vertical="top" wrapText="1"/>
    </xf>
    <xf numFmtId="14" fontId="29" fillId="12" borderId="15" xfId="0" applyNumberFormat="1" applyFont="1" applyFill="1" applyBorder="1" applyAlignment="1">
      <alignment horizontal="left" vertical="top" wrapText="1"/>
    </xf>
    <xf numFmtId="14" fontId="29" fillId="12" borderId="15" xfId="0" applyNumberFormat="1" applyFont="1" applyFill="1" applyBorder="1" applyAlignment="1">
      <alignment horizontal="left" vertical="top" wrapText="1"/>
    </xf>
    <xf numFmtId="0" fontId="32" fillId="0" borderId="21" xfId="0" applyFont="1" applyBorder="1" applyAlignment="1">
      <alignment horizontal="left" vertical="top" wrapText="1"/>
    </xf>
  </cellXfs>
  <cellStyles count="1">
    <cellStyle name="Normal" xfId="0" builtinId="0"/>
  </cellStyles>
  <dxfs count="1">
    <dxf>
      <fill>
        <patternFill patternType="solid">
          <fgColor rgb="FFFFFFFF"/>
          <bgColor rgb="FFFFFFFF"/>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72"/>
  <sheetViews>
    <sheetView workbookViewId="0"/>
  </sheetViews>
  <sheetFormatPr baseColWidth="10" defaultColWidth="14.5" defaultRowHeight="15.75" customHeight="1"/>
  <cols>
    <col min="1" max="1" width="91" customWidth="1"/>
    <col min="2" max="2" width="106.5" customWidth="1"/>
    <col min="3" max="4" width="20.83203125" customWidth="1"/>
    <col min="5" max="8" width="19.5" customWidth="1"/>
  </cols>
  <sheetData>
    <row r="1" spans="1:8">
      <c r="A1" s="5" t="s">
        <v>9</v>
      </c>
      <c r="B1" s="5" t="s">
        <v>21</v>
      </c>
      <c r="C1" s="5" t="s">
        <v>22</v>
      </c>
      <c r="D1" s="5" t="s">
        <v>23</v>
      </c>
      <c r="E1" s="7" t="s">
        <v>24</v>
      </c>
      <c r="F1" s="7" t="s">
        <v>26</v>
      </c>
      <c r="G1" s="5" t="s">
        <v>27</v>
      </c>
      <c r="H1" s="8" t="s">
        <v>27</v>
      </c>
    </row>
    <row r="2" spans="1:8">
      <c r="A2" s="5" t="s">
        <v>28</v>
      </c>
      <c r="B2" s="5" t="s">
        <v>29</v>
      </c>
      <c r="C2" s="10" t="s">
        <v>30</v>
      </c>
      <c r="D2" s="5" t="s">
        <v>32</v>
      </c>
      <c r="E2" s="7">
        <v>31.768319000000002</v>
      </c>
      <c r="F2" s="7">
        <v>35.213709999999999</v>
      </c>
      <c r="G2" s="12">
        <v>19208</v>
      </c>
      <c r="H2" s="14">
        <v>19032</v>
      </c>
    </row>
    <row r="3" spans="1:8" ht="15.75" customHeight="1">
      <c r="A3" s="5" t="s">
        <v>36</v>
      </c>
      <c r="B3" s="5" t="s">
        <v>36</v>
      </c>
      <c r="C3" s="10" t="s">
        <v>37</v>
      </c>
      <c r="D3" s="5" t="s">
        <v>38</v>
      </c>
      <c r="E3" s="7">
        <v>32.128972900000001</v>
      </c>
      <c r="F3" s="7">
        <v>34.853284000000002</v>
      </c>
      <c r="G3" s="16" t="s">
        <v>39</v>
      </c>
      <c r="H3" s="12">
        <v>19416</v>
      </c>
    </row>
    <row r="4" spans="1:8" ht="15.75" customHeight="1">
      <c r="A4" s="10" t="s">
        <v>40</v>
      </c>
      <c r="B4" s="5" t="s">
        <v>41</v>
      </c>
      <c r="C4" s="10" t="s">
        <v>42</v>
      </c>
      <c r="D4" s="5" t="s">
        <v>43</v>
      </c>
      <c r="E4" s="7">
        <v>32.247720999999999</v>
      </c>
      <c r="F4" s="7">
        <v>34.935136999999997</v>
      </c>
      <c r="G4" s="16" t="s">
        <v>44</v>
      </c>
      <c r="H4" s="12">
        <v>19418</v>
      </c>
    </row>
    <row r="5" spans="1:8" ht="15.75" customHeight="1">
      <c r="A5" s="10" t="s">
        <v>45</v>
      </c>
      <c r="B5" s="5" t="s">
        <v>46</v>
      </c>
      <c r="C5" s="10" t="s">
        <v>47</v>
      </c>
      <c r="D5" s="5" t="s">
        <v>48</v>
      </c>
      <c r="E5" s="7">
        <v>31.977142000000001</v>
      </c>
      <c r="F5" s="7">
        <v>34.953834999999998</v>
      </c>
      <c r="G5" s="16" t="s">
        <v>50</v>
      </c>
      <c r="H5" s="12">
        <v>19504</v>
      </c>
    </row>
    <row r="6" spans="1:8" ht="15.75" customHeight="1">
      <c r="A6" s="10" t="s">
        <v>54</v>
      </c>
      <c r="B6" s="5" t="s">
        <v>55</v>
      </c>
      <c r="C6" s="10" t="s">
        <v>56</v>
      </c>
      <c r="D6" s="5" t="s">
        <v>58</v>
      </c>
      <c r="E6" s="7">
        <v>32.095838000000001</v>
      </c>
      <c r="F6" s="7">
        <v>34.952176999999999</v>
      </c>
      <c r="G6" s="16" t="s">
        <v>60</v>
      </c>
      <c r="H6" s="12">
        <v>19509</v>
      </c>
    </row>
    <row r="7" spans="1:8" ht="15.75" customHeight="1">
      <c r="A7" s="10" t="s">
        <v>62</v>
      </c>
      <c r="B7" s="5" t="s">
        <v>63</v>
      </c>
      <c r="C7" s="10" t="s">
        <v>30</v>
      </c>
      <c r="D7" s="5" t="s">
        <v>32</v>
      </c>
      <c r="E7" s="7">
        <v>31.768319000000002</v>
      </c>
      <c r="F7" s="7">
        <v>35.213709999999999</v>
      </c>
      <c r="G7" s="12">
        <v>19516</v>
      </c>
      <c r="H7" s="12">
        <v>19516</v>
      </c>
    </row>
    <row r="8" spans="1:8" ht="15.75" customHeight="1">
      <c r="A8" s="10" t="s">
        <v>64</v>
      </c>
      <c r="B8" s="5" t="s">
        <v>65</v>
      </c>
      <c r="C8" s="10" t="s">
        <v>66</v>
      </c>
      <c r="D8" s="5" t="s">
        <v>67</v>
      </c>
      <c r="E8" s="7">
        <v>31.872478000000001</v>
      </c>
      <c r="F8" s="7">
        <v>34.943252999999999</v>
      </c>
      <c r="G8" s="12">
        <v>19638</v>
      </c>
      <c r="H8" s="12">
        <v>19520</v>
      </c>
    </row>
    <row r="9" spans="1:8" ht="15.75" customHeight="1">
      <c r="A9" s="10" t="s">
        <v>68</v>
      </c>
      <c r="B9" s="5" t="s">
        <v>69</v>
      </c>
      <c r="C9" s="10" t="s">
        <v>42</v>
      </c>
      <c r="D9" s="5" t="s">
        <v>43</v>
      </c>
      <c r="E9" s="7">
        <v>32.247720999999999</v>
      </c>
      <c r="F9" s="7">
        <v>34.935136999999997</v>
      </c>
      <c r="G9" s="12">
        <v>19669</v>
      </c>
      <c r="H9" s="12">
        <v>19521</v>
      </c>
    </row>
    <row r="10" spans="1:8" ht="15.75" customHeight="1">
      <c r="A10" s="10" t="s">
        <v>70</v>
      </c>
      <c r="B10" s="5" t="s">
        <v>74</v>
      </c>
      <c r="C10" s="10" t="s">
        <v>76</v>
      </c>
      <c r="D10" s="5" t="s">
        <v>78</v>
      </c>
      <c r="E10" s="7">
        <v>31.804392</v>
      </c>
      <c r="F10" s="7">
        <v>35.126876000000003</v>
      </c>
      <c r="G10" s="16" t="s">
        <v>81</v>
      </c>
      <c r="H10" s="12">
        <v>19529</v>
      </c>
    </row>
    <row r="11" spans="1:8" ht="15.75" customHeight="1">
      <c r="A11" s="10" t="s">
        <v>85</v>
      </c>
      <c r="B11" s="5" t="s">
        <v>88</v>
      </c>
      <c r="C11" s="10" t="s">
        <v>90</v>
      </c>
      <c r="D11" s="5" t="s">
        <v>91</v>
      </c>
      <c r="E11" s="7">
        <v>31.762499999999999</v>
      </c>
      <c r="F11" s="7">
        <v>35.134990999999999</v>
      </c>
      <c r="G11" s="12">
        <v>19609</v>
      </c>
      <c r="H11" s="12">
        <v>19549</v>
      </c>
    </row>
    <row r="12" spans="1:8" ht="15.75" customHeight="1">
      <c r="A12" s="10" t="s">
        <v>96</v>
      </c>
      <c r="B12" s="5" t="s">
        <v>98</v>
      </c>
      <c r="C12" s="10" t="s">
        <v>100</v>
      </c>
      <c r="D12" s="5" t="s">
        <v>101</v>
      </c>
      <c r="E12" s="7">
        <v>31.803757999999998</v>
      </c>
      <c r="F12" s="7">
        <v>35.102508</v>
      </c>
      <c r="G12" s="12">
        <v>19671</v>
      </c>
      <c r="H12" s="12">
        <v>19582</v>
      </c>
    </row>
    <row r="13" spans="1:8" ht="15.75" customHeight="1">
      <c r="A13" s="10" t="s">
        <v>108</v>
      </c>
      <c r="B13" s="5" t="s">
        <v>109</v>
      </c>
      <c r="C13" s="10" t="s">
        <v>110</v>
      </c>
      <c r="D13" s="5" t="s">
        <v>111</v>
      </c>
      <c r="E13" s="20">
        <v>30.328610999999999</v>
      </c>
      <c r="F13" s="20">
        <v>35.441943999999999</v>
      </c>
      <c r="G13" s="16" t="s">
        <v>115</v>
      </c>
      <c r="H13" s="12">
        <v>19598</v>
      </c>
    </row>
    <row r="14" spans="1:8" ht="15.75" customHeight="1">
      <c r="A14" s="10" t="s">
        <v>116</v>
      </c>
      <c r="B14" s="5" t="s">
        <v>117</v>
      </c>
      <c r="C14" s="10" t="s">
        <v>118</v>
      </c>
      <c r="D14" s="5" t="s">
        <v>119</v>
      </c>
      <c r="E14" s="7">
        <v>31.951014000000001</v>
      </c>
      <c r="F14" s="7">
        <v>34.888075000000001</v>
      </c>
      <c r="G14" s="12">
        <v>19611</v>
      </c>
      <c r="H14" s="12">
        <v>19611</v>
      </c>
    </row>
    <row r="15" spans="1:8" ht="15.75" customHeight="1">
      <c r="A15" s="10" t="s">
        <v>124</v>
      </c>
      <c r="B15" s="5" t="s">
        <v>127</v>
      </c>
      <c r="C15" s="10" t="s">
        <v>129</v>
      </c>
      <c r="D15" s="5" t="s">
        <v>131</v>
      </c>
      <c r="E15" s="7">
        <v>30.885983</v>
      </c>
      <c r="F15" s="7">
        <v>34.422569000000003</v>
      </c>
      <c r="G15" s="23" t="s">
        <v>133</v>
      </c>
      <c r="H15" s="16" t="s">
        <v>137</v>
      </c>
    </row>
    <row r="16" spans="1:8" ht="15.75" customHeight="1">
      <c r="A16" s="10" t="s">
        <v>138</v>
      </c>
      <c r="B16" s="5" t="s">
        <v>139</v>
      </c>
      <c r="C16" s="10" t="s">
        <v>140</v>
      </c>
      <c r="D16" s="5" t="s">
        <v>141</v>
      </c>
      <c r="E16" s="7">
        <v>32.030338999999998</v>
      </c>
      <c r="F16" s="7">
        <v>34.8870985</v>
      </c>
      <c r="G16" s="12">
        <v>19703</v>
      </c>
      <c r="H16" s="12">
        <v>19644</v>
      </c>
    </row>
    <row r="17" spans="1:8" ht="15.75" customHeight="1">
      <c r="A17" s="10" t="s">
        <v>142</v>
      </c>
      <c r="B17" s="5" t="s">
        <v>143</v>
      </c>
      <c r="C17" s="10" t="s">
        <v>37</v>
      </c>
      <c r="D17" s="5" t="s">
        <v>38</v>
      </c>
      <c r="E17" s="7">
        <v>32.128972900000001</v>
      </c>
      <c r="F17" s="7">
        <v>34.853284000000002</v>
      </c>
      <c r="G17" s="16" t="s">
        <v>144</v>
      </c>
      <c r="H17" s="12">
        <v>19709</v>
      </c>
    </row>
    <row r="18" spans="1:8" ht="15.75" customHeight="1">
      <c r="A18" s="10" t="s">
        <v>145</v>
      </c>
      <c r="B18" s="5" t="s">
        <v>146</v>
      </c>
      <c r="C18" s="10" t="s">
        <v>147</v>
      </c>
      <c r="D18" s="5" t="s">
        <v>148</v>
      </c>
      <c r="E18" s="7">
        <v>31.794129000000002</v>
      </c>
      <c r="F18" s="7">
        <v>34.631909</v>
      </c>
      <c r="G18" s="12">
        <v>19784</v>
      </c>
      <c r="H18" s="12">
        <v>19727</v>
      </c>
    </row>
    <row r="19" spans="1:8" ht="15.75" customHeight="1">
      <c r="A19" s="10" t="s">
        <v>149</v>
      </c>
      <c r="B19" s="5" t="s">
        <v>150</v>
      </c>
      <c r="C19" s="10" t="s">
        <v>151</v>
      </c>
      <c r="D19" s="5" t="s">
        <v>152</v>
      </c>
      <c r="E19" s="7">
        <v>29.562427499999998</v>
      </c>
      <c r="F19" s="7">
        <v>34.944801200000001</v>
      </c>
      <c r="G19" s="12">
        <v>19816</v>
      </c>
      <c r="H19" s="12">
        <v>19759</v>
      </c>
    </row>
    <row r="20" spans="1:8">
      <c r="A20" s="10" t="s">
        <v>156</v>
      </c>
      <c r="B20" s="5" t="s">
        <v>157</v>
      </c>
      <c r="C20" s="10" t="s">
        <v>158</v>
      </c>
      <c r="D20" s="27" t="s">
        <v>159</v>
      </c>
      <c r="E20" s="29">
        <v>30.906666999999999</v>
      </c>
      <c r="F20" s="29">
        <v>35.131388999999999</v>
      </c>
      <c r="G20" s="16" t="s">
        <v>170</v>
      </c>
      <c r="H20" s="12">
        <v>19800</v>
      </c>
    </row>
    <row r="21" spans="1:8">
      <c r="A21" s="10" t="s">
        <v>173</v>
      </c>
      <c r="B21" s="5" t="s">
        <v>174</v>
      </c>
      <c r="C21" s="10" t="s">
        <v>175</v>
      </c>
      <c r="D21" s="31" t="s">
        <v>176</v>
      </c>
      <c r="E21" s="29">
        <v>31.374167</v>
      </c>
      <c r="F21" s="29">
        <v>34.399444000000003</v>
      </c>
      <c r="G21" s="16" t="s">
        <v>188</v>
      </c>
      <c r="H21" s="12">
        <v>19808</v>
      </c>
    </row>
    <row r="22" spans="1:8">
      <c r="A22" s="10" t="s">
        <v>191</v>
      </c>
      <c r="B22" s="5" t="s">
        <v>192</v>
      </c>
      <c r="C22" s="10" t="s">
        <v>193</v>
      </c>
      <c r="D22" s="32" t="s">
        <v>195</v>
      </c>
      <c r="E22" s="7">
        <v>31.773900000000001</v>
      </c>
      <c r="F22" s="33">
        <v>35.049396999999999</v>
      </c>
      <c r="G22" s="16" t="s">
        <v>206</v>
      </c>
      <c r="H22" s="12">
        <v>19810</v>
      </c>
    </row>
    <row r="23" spans="1:8">
      <c r="A23" s="10" t="s">
        <v>208</v>
      </c>
      <c r="B23" s="5" t="s">
        <v>209</v>
      </c>
      <c r="C23" s="10" t="s">
        <v>175</v>
      </c>
      <c r="D23" s="31" t="s">
        <v>176</v>
      </c>
      <c r="E23" s="29">
        <v>31.374167</v>
      </c>
      <c r="F23" s="29">
        <v>34.399444000000003</v>
      </c>
      <c r="G23" s="23" t="s">
        <v>212</v>
      </c>
      <c r="H23" s="16" t="s">
        <v>214</v>
      </c>
    </row>
    <row r="24" spans="1:8" ht="15.75" customHeight="1">
      <c r="A24" s="10" t="s">
        <v>217</v>
      </c>
      <c r="B24" s="5" t="s">
        <v>219</v>
      </c>
      <c r="C24" s="10" t="s">
        <v>220</v>
      </c>
      <c r="D24" s="5" t="s">
        <v>210</v>
      </c>
      <c r="E24" s="7">
        <v>31.707272</v>
      </c>
      <c r="F24" s="7">
        <v>35.104193000000002</v>
      </c>
      <c r="G24" s="12">
        <v>19972</v>
      </c>
      <c r="H24" s="12">
        <v>19853</v>
      </c>
    </row>
    <row r="25" spans="1:8" ht="15.75" customHeight="1">
      <c r="A25" s="10" t="s">
        <v>223</v>
      </c>
      <c r="B25" s="5" t="s">
        <v>225</v>
      </c>
      <c r="C25" s="10" t="s">
        <v>227</v>
      </c>
      <c r="D25" s="5" t="s">
        <v>215</v>
      </c>
      <c r="E25" s="7">
        <v>32.184781000000001</v>
      </c>
      <c r="F25" s="7">
        <v>34.871326000000003</v>
      </c>
      <c r="G25" s="16" t="s">
        <v>228</v>
      </c>
      <c r="H25" s="12">
        <v>19901</v>
      </c>
    </row>
    <row r="26" spans="1:8" ht="15.75" customHeight="1">
      <c r="A26" s="10" t="s">
        <v>231</v>
      </c>
      <c r="B26" s="5" t="s">
        <v>234</v>
      </c>
      <c r="C26" s="10" t="s">
        <v>30</v>
      </c>
      <c r="D26" s="5" t="s">
        <v>32</v>
      </c>
      <c r="E26" s="7">
        <v>31.768319000000002</v>
      </c>
      <c r="F26" s="7">
        <v>35.213709999999999</v>
      </c>
      <c r="G26" s="12">
        <v>19731</v>
      </c>
      <c r="H26" s="12">
        <v>19906</v>
      </c>
    </row>
    <row r="27" spans="1:8" ht="15.75" customHeight="1">
      <c r="A27" s="10" t="s">
        <v>241</v>
      </c>
      <c r="B27" s="5" t="s">
        <v>242</v>
      </c>
      <c r="C27" s="10" t="s">
        <v>243</v>
      </c>
      <c r="D27" s="5" t="s">
        <v>222</v>
      </c>
      <c r="E27" s="7">
        <v>31.374545000000001</v>
      </c>
      <c r="F27" s="7">
        <v>34.398992</v>
      </c>
      <c r="G27" s="23" t="s">
        <v>246</v>
      </c>
      <c r="H27" s="16" t="s">
        <v>248</v>
      </c>
    </row>
    <row r="28" spans="1:8">
      <c r="A28" s="10" t="s">
        <v>249</v>
      </c>
      <c r="B28" s="5" t="s">
        <v>250</v>
      </c>
      <c r="C28" s="10" t="s">
        <v>251</v>
      </c>
      <c r="D28" s="27" t="s">
        <v>253</v>
      </c>
      <c r="E28" s="29">
        <v>31.8687</v>
      </c>
      <c r="F28" s="29">
        <v>34.985196999999999</v>
      </c>
      <c r="G28" s="12">
        <v>19764</v>
      </c>
      <c r="H28" s="12">
        <v>19969</v>
      </c>
    </row>
    <row r="29" spans="1:8">
      <c r="A29" s="10" t="s">
        <v>258</v>
      </c>
      <c r="B29" s="5" t="s">
        <v>260</v>
      </c>
      <c r="C29" s="10" t="s">
        <v>261</v>
      </c>
      <c r="D29" s="36" t="s">
        <v>263</v>
      </c>
      <c r="E29" s="29">
        <v>32.5959</v>
      </c>
      <c r="F29" s="29">
        <v>35.101100000000002</v>
      </c>
      <c r="G29" s="16" t="s">
        <v>273</v>
      </c>
      <c r="H29" s="12">
        <v>19993</v>
      </c>
    </row>
    <row r="30" spans="1:8" ht="15.75" customHeight="1">
      <c r="A30" s="10" t="s">
        <v>275</v>
      </c>
      <c r="B30" s="5" t="s">
        <v>278</v>
      </c>
      <c r="C30" s="10" t="s">
        <v>280</v>
      </c>
      <c r="D30" s="27" t="s">
        <v>282</v>
      </c>
      <c r="E30" s="7">
        <v>31.688032</v>
      </c>
      <c r="F30" s="7">
        <v>34.982531999999999</v>
      </c>
      <c r="G30" s="16" t="s">
        <v>285</v>
      </c>
      <c r="H30" s="12">
        <v>20107</v>
      </c>
    </row>
    <row r="31" spans="1:8">
      <c r="A31" s="10" t="s">
        <v>289</v>
      </c>
      <c r="B31" s="5" t="s">
        <v>293</v>
      </c>
      <c r="C31" s="10" t="s">
        <v>294</v>
      </c>
      <c r="D31" s="27" t="s">
        <v>295</v>
      </c>
      <c r="E31" s="29">
        <v>31.897964000000002</v>
      </c>
      <c r="F31" s="7">
        <v>34.808121999999997</v>
      </c>
      <c r="G31" s="16" t="s">
        <v>296</v>
      </c>
      <c r="H31" s="12">
        <v>20114</v>
      </c>
    </row>
    <row r="32" spans="1:8" ht="15.75" customHeight="1">
      <c r="A32" s="10" t="s">
        <v>300</v>
      </c>
      <c r="B32" s="5" t="s">
        <v>302</v>
      </c>
      <c r="C32" s="10" t="s">
        <v>30</v>
      </c>
      <c r="D32" s="5" t="s">
        <v>32</v>
      </c>
      <c r="E32" s="7">
        <v>31.768319000000002</v>
      </c>
      <c r="F32" s="7">
        <v>35.213709999999999</v>
      </c>
      <c r="G32" s="12">
        <v>20334</v>
      </c>
      <c r="H32" s="12">
        <v>20129</v>
      </c>
    </row>
    <row r="33" spans="1:8" ht="15.75" customHeight="1">
      <c r="A33" s="10" t="s">
        <v>309</v>
      </c>
      <c r="B33" s="5" t="s">
        <v>310</v>
      </c>
      <c r="C33" s="10" t="s">
        <v>311</v>
      </c>
      <c r="D33" s="5" t="s">
        <v>252</v>
      </c>
      <c r="E33" s="7">
        <v>31.973001499999999</v>
      </c>
      <c r="F33" s="7">
        <v>34.792501299999998</v>
      </c>
      <c r="G33" s="16" t="s">
        <v>312</v>
      </c>
      <c r="H33" s="12">
        <v>20143</v>
      </c>
    </row>
    <row r="34" spans="1:8" ht="15.75" customHeight="1">
      <c r="A34" s="10" t="s">
        <v>313</v>
      </c>
      <c r="B34" s="5" t="s">
        <v>314</v>
      </c>
      <c r="C34" s="10" t="s">
        <v>315</v>
      </c>
      <c r="D34" s="5" t="s">
        <v>256</v>
      </c>
      <c r="E34" s="7">
        <v>31.806493</v>
      </c>
      <c r="F34" s="7">
        <v>34.655611</v>
      </c>
      <c r="G34" s="16" t="s">
        <v>319</v>
      </c>
      <c r="H34" s="12">
        <v>20145</v>
      </c>
    </row>
    <row r="35" spans="1:8">
      <c r="A35" s="10" t="s">
        <v>322</v>
      </c>
      <c r="B35" s="5" t="s">
        <v>323</v>
      </c>
      <c r="C35" s="10" t="s">
        <v>324</v>
      </c>
      <c r="D35" s="27" t="s">
        <v>325</v>
      </c>
      <c r="E35" s="7">
        <v>31.404496999999999</v>
      </c>
      <c r="F35" s="33">
        <v>34.603296999999998</v>
      </c>
      <c r="G35" s="16" t="s">
        <v>330</v>
      </c>
      <c r="H35" s="12">
        <v>20164</v>
      </c>
    </row>
    <row r="36" spans="1:8">
      <c r="A36" s="10" t="s">
        <v>331</v>
      </c>
      <c r="B36" s="5" t="s">
        <v>333</v>
      </c>
      <c r="C36" s="10" t="s">
        <v>334</v>
      </c>
      <c r="D36" s="40" t="s">
        <v>335</v>
      </c>
      <c r="E36" s="29">
        <v>31.326796999999999</v>
      </c>
      <c r="F36" s="7">
        <v>34.560200000000002</v>
      </c>
      <c r="G36" s="16" t="s">
        <v>356</v>
      </c>
      <c r="H36" s="12">
        <v>20173</v>
      </c>
    </row>
    <row r="37" spans="1:8" ht="15.75" customHeight="1">
      <c r="A37" s="10" t="s">
        <v>360</v>
      </c>
      <c r="B37" s="5" t="s">
        <v>361</v>
      </c>
      <c r="C37" s="10" t="s">
        <v>363</v>
      </c>
      <c r="D37" s="5" t="s">
        <v>265</v>
      </c>
      <c r="E37" s="7">
        <v>31.335730000000002</v>
      </c>
      <c r="F37" s="7">
        <v>34.394086999999999</v>
      </c>
      <c r="G37" s="12">
        <v>20336</v>
      </c>
      <c r="H37" s="12">
        <v>20188</v>
      </c>
    </row>
    <row r="38" spans="1:8">
      <c r="A38" s="10" t="s">
        <v>369</v>
      </c>
      <c r="B38" s="5" t="s">
        <v>371</v>
      </c>
      <c r="C38" s="10" t="s">
        <v>373</v>
      </c>
      <c r="D38" s="31" t="s">
        <v>176</v>
      </c>
      <c r="E38" s="29">
        <v>31.374167</v>
      </c>
      <c r="F38" s="29">
        <v>34.399444000000003</v>
      </c>
      <c r="G38" s="23" t="s">
        <v>375</v>
      </c>
      <c r="H38" s="16" t="s">
        <v>376</v>
      </c>
    </row>
    <row r="39" spans="1:8" ht="15.75" customHeight="1">
      <c r="A39" s="10" t="s">
        <v>377</v>
      </c>
      <c r="B39" s="5" t="s">
        <v>378</v>
      </c>
      <c r="C39" s="10" t="s">
        <v>379</v>
      </c>
      <c r="D39" s="5" t="s">
        <v>269</v>
      </c>
      <c r="E39" s="7">
        <v>31.374545000000001</v>
      </c>
      <c r="F39" s="7">
        <v>34.398992</v>
      </c>
      <c r="G39" s="16" t="s">
        <v>380</v>
      </c>
      <c r="H39" s="12">
        <v>20227</v>
      </c>
    </row>
    <row r="40" spans="1:8" ht="15.75" customHeight="1">
      <c r="A40" s="10" t="s">
        <v>383</v>
      </c>
      <c r="B40" s="5" t="s">
        <v>384</v>
      </c>
      <c r="C40" s="10" t="s">
        <v>385</v>
      </c>
      <c r="D40" s="5" t="s">
        <v>270</v>
      </c>
      <c r="E40" s="7">
        <v>31.47268</v>
      </c>
      <c r="F40" s="7">
        <v>34.497675000000001</v>
      </c>
      <c r="G40" s="16" t="s">
        <v>386</v>
      </c>
      <c r="H40" s="12">
        <v>20318</v>
      </c>
    </row>
    <row r="41" spans="1:8">
      <c r="A41" s="10" t="s">
        <v>387</v>
      </c>
      <c r="B41" s="5" t="s">
        <v>388</v>
      </c>
      <c r="C41" s="10" t="s">
        <v>389</v>
      </c>
      <c r="D41" s="27" t="s">
        <v>390</v>
      </c>
      <c r="E41" s="29">
        <v>31.501998</v>
      </c>
      <c r="F41" s="29">
        <v>34.561931999999999</v>
      </c>
      <c r="G41" s="16" t="s">
        <v>391</v>
      </c>
      <c r="H41" s="12">
        <v>20323</v>
      </c>
    </row>
    <row r="42" spans="1:8" ht="15.75" customHeight="1">
      <c r="A42" s="10" t="s">
        <v>392</v>
      </c>
      <c r="B42" s="5" t="s">
        <v>393</v>
      </c>
      <c r="C42" s="10" t="s">
        <v>394</v>
      </c>
      <c r="D42" s="5" t="s">
        <v>276</v>
      </c>
      <c r="E42" s="7">
        <v>31.559840000000001</v>
      </c>
      <c r="F42" s="7">
        <v>34.564889000000001</v>
      </c>
      <c r="G42" s="16" t="s">
        <v>395</v>
      </c>
      <c r="H42" s="12">
        <v>20326</v>
      </c>
    </row>
    <row r="43" spans="1:8" ht="15.75" customHeight="1">
      <c r="A43" s="10" t="s">
        <v>396</v>
      </c>
      <c r="B43" s="5" t="s">
        <v>397</v>
      </c>
      <c r="C43" s="10" t="s">
        <v>398</v>
      </c>
      <c r="D43" s="5" t="s">
        <v>281</v>
      </c>
      <c r="E43" s="7">
        <v>31.668788500000002</v>
      </c>
      <c r="F43" s="7">
        <v>34.574252299999998</v>
      </c>
      <c r="G43" s="16" t="s">
        <v>399</v>
      </c>
      <c r="H43" s="12">
        <v>20328</v>
      </c>
    </row>
    <row r="44" spans="1:8" ht="15.75" customHeight="1">
      <c r="A44" s="10" t="s">
        <v>400</v>
      </c>
      <c r="B44" s="5" t="s">
        <v>401</v>
      </c>
      <c r="C44" s="10" t="s">
        <v>402</v>
      </c>
      <c r="D44" s="5" t="s">
        <v>286</v>
      </c>
      <c r="E44" s="7">
        <v>31.424513000000001</v>
      </c>
      <c r="F44" s="7">
        <v>34.492567000000001</v>
      </c>
      <c r="G44" s="16" t="s">
        <v>403</v>
      </c>
      <c r="H44" s="12">
        <v>20329</v>
      </c>
    </row>
    <row r="45" spans="1:8">
      <c r="A45" s="10" t="s">
        <v>405</v>
      </c>
      <c r="B45" s="5" t="s">
        <v>406</v>
      </c>
      <c r="C45" s="10" t="s">
        <v>407</v>
      </c>
      <c r="D45" s="27" t="s">
        <v>408</v>
      </c>
      <c r="E45" s="29">
        <v>31.921800000000001</v>
      </c>
      <c r="F45" s="29">
        <v>34.773600000000002</v>
      </c>
      <c r="G45" s="16" t="s">
        <v>411</v>
      </c>
      <c r="H45" s="12">
        <v>20330</v>
      </c>
    </row>
    <row r="46" spans="1:8" ht="15.75" customHeight="1">
      <c r="A46" s="10" t="s">
        <v>412</v>
      </c>
      <c r="B46" s="5" t="s">
        <v>413</v>
      </c>
      <c r="C46" s="10" t="s">
        <v>315</v>
      </c>
      <c r="D46" s="5" t="s">
        <v>256</v>
      </c>
      <c r="E46" s="7">
        <v>31.806493</v>
      </c>
      <c r="F46" s="7">
        <v>34.655611</v>
      </c>
      <c r="G46" s="16" t="s">
        <v>411</v>
      </c>
      <c r="H46" s="12">
        <v>20330</v>
      </c>
    </row>
    <row r="47" spans="1:8" ht="15.75" customHeight="1">
      <c r="A47" s="10" t="s">
        <v>414</v>
      </c>
      <c r="B47" s="5" t="s">
        <v>415</v>
      </c>
      <c r="C47" s="10" t="s">
        <v>416</v>
      </c>
      <c r="D47" s="5" t="s">
        <v>297</v>
      </c>
      <c r="E47" s="7">
        <v>31.870474999999999</v>
      </c>
      <c r="F47" s="7">
        <v>34.826734000000002</v>
      </c>
      <c r="G47" s="16" t="s">
        <v>411</v>
      </c>
      <c r="H47" s="12">
        <v>20330</v>
      </c>
    </row>
    <row r="48" spans="1:8">
      <c r="A48" s="10" t="s">
        <v>417</v>
      </c>
      <c r="B48" s="5" t="s">
        <v>418</v>
      </c>
      <c r="C48" s="10" t="s">
        <v>419</v>
      </c>
      <c r="D48" s="32" t="s">
        <v>420</v>
      </c>
      <c r="E48" s="29">
        <v>31.658166999999999</v>
      </c>
      <c r="F48" s="29">
        <v>34.794925999999997</v>
      </c>
      <c r="G48" s="16" t="s">
        <v>421</v>
      </c>
      <c r="H48" s="12">
        <v>20331</v>
      </c>
    </row>
    <row r="49" spans="1:8" ht="15.75" customHeight="1">
      <c r="A49" s="10" t="s">
        <v>422</v>
      </c>
      <c r="B49" s="5" t="s">
        <v>423</v>
      </c>
      <c r="C49" s="10" t="s">
        <v>424</v>
      </c>
      <c r="D49" s="40" t="s">
        <v>16</v>
      </c>
      <c r="E49" s="7"/>
      <c r="F49" s="7"/>
      <c r="G49" s="16" t="s">
        <v>425</v>
      </c>
      <c r="H49" s="12">
        <v>20380</v>
      </c>
    </row>
    <row r="50" spans="1:8" ht="15.75" customHeight="1">
      <c r="A50" s="10" t="s">
        <v>426</v>
      </c>
      <c r="B50" s="5" t="s">
        <v>427</v>
      </c>
      <c r="C50" s="10" t="s">
        <v>129</v>
      </c>
      <c r="D50" s="5" t="s">
        <v>131</v>
      </c>
      <c r="E50" s="7">
        <v>30.885983</v>
      </c>
      <c r="F50" s="7">
        <v>34.422569000000003</v>
      </c>
      <c r="G50" s="16" t="s">
        <v>428</v>
      </c>
      <c r="H50" s="12">
        <v>20388</v>
      </c>
    </row>
    <row r="51" spans="1:8" ht="15.75" customHeight="1">
      <c r="A51" s="10" t="s">
        <v>432</v>
      </c>
      <c r="B51" s="5" t="s">
        <v>434</v>
      </c>
      <c r="C51" s="10" t="s">
        <v>363</v>
      </c>
      <c r="D51" s="5" t="s">
        <v>265</v>
      </c>
      <c r="E51" s="7">
        <v>31.335730000000002</v>
      </c>
      <c r="F51" s="7">
        <v>34.394086999999999</v>
      </c>
      <c r="G51" s="16" t="s">
        <v>435</v>
      </c>
      <c r="H51" s="12">
        <v>20391</v>
      </c>
    </row>
    <row r="52" spans="1:8" ht="15.75" customHeight="1">
      <c r="A52" s="10" t="s">
        <v>436</v>
      </c>
      <c r="B52" s="5" t="s">
        <v>437</v>
      </c>
      <c r="C52" s="10" t="s">
        <v>129</v>
      </c>
      <c r="D52" s="5" t="s">
        <v>131</v>
      </c>
      <c r="E52" s="7">
        <v>30.885983</v>
      </c>
      <c r="F52" s="7">
        <v>34.422569000000003</v>
      </c>
      <c r="G52" s="16" t="s">
        <v>435</v>
      </c>
      <c r="H52" s="12">
        <v>20391</v>
      </c>
    </row>
    <row r="53" spans="1:8" ht="15.75" customHeight="1">
      <c r="A53" s="10" t="s">
        <v>438</v>
      </c>
      <c r="B53" s="5" t="s">
        <v>439</v>
      </c>
      <c r="C53" s="10" t="s">
        <v>440</v>
      </c>
      <c r="D53" s="5" t="s">
        <v>316</v>
      </c>
      <c r="E53" s="7">
        <v>32.824432100000003</v>
      </c>
      <c r="F53" s="7">
        <v>35.5879975</v>
      </c>
      <c r="G53" s="23" t="s">
        <v>441</v>
      </c>
      <c r="H53" s="16" t="s">
        <v>442</v>
      </c>
    </row>
    <row r="54" spans="1:8" ht="15.75" customHeight="1">
      <c r="A54" s="10" t="s">
        <v>443</v>
      </c>
      <c r="B54" s="5" t="s">
        <v>445</v>
      </c>
      <c r="C54" s="10" t="s">
        <v>446</v>
      </c>
      <c r="D54" s="5" t="s">
        <v>135</v>
      </c>
      <c r="E54" s="7">
        <v>33.239637000000002</v>
      </c>
      <c r="F54" s="7">
        <v>35.653953000000001</v>
      </c>
      <c r="G54" s="16" t="s">
        <v>449</v>
      </c>
      <c r="H54" s="12">
        <v>20421</v>
      </c>
    </row>
    <row r="55" spans="1:8" ht="15.75" customHeight="1">
      <c r="A55" s="10" t="s">
        <v>450</v>
      </c>
      <c r="B55" s="5" t="s">
        <v>451</v>
      </c>
      <c r="C55" s="10" t="s">
        <v>440</v>
      </c>
      <c r="D55" s="5" t="s">
        <v>316</v>
      </c>
      <c r="E55" s="7">
        <v>32.824432100000003</v>
      </c>
      <c r="F55" s="7">
        <v>35.5879975</v>
      </c>
      <c r="G55" s="12">
        <v>20405</v>
      </c>
      <c r="H55" s="12">
        <v>20434</v>
      </c>
    </row>
    <row r="56" spans="1:8" ht="15.75" customHeight="1">
      <c r="A56" s="10" t="s">
        <v>452</v>
      </c>
      <c r="B56" s="5" t="s">
        <v>453</v>
      </c>
      <c r="C56" s="10" t="s">
        <v>454</v>
      </c>
      <c r="D56" s="5" t="s">
        <v>326</v>
      </c>
      <c r="E56" s="7">
        <v>31.611148</v>
      </c>
      <c r="F56" s="7">
        <v>34.768459</v>
      </c>
      <c r="G56" s="12">
        <v>20640</v>
      </c>
      <c r="H56" s="12">
        <v>20552</v>
      </c>
    </row>
    <row r="57" spans="1:8" ht="15.75" customHeight="1">
      <c r="A57" s="10" t="s">
        <v>455</v>
      </c>
      <c r="B57" s="5" t="s">
        <v>456</v>
      </c>
      <c r="C57" s="10" t="s">
        <v>398</v>
      </c>
      <c r="D57" s="5" t="s">
        <v>281</v>
      </c>
      <c r="E57" s="7">
        <v>31.668788500000002</v>
      </c>
      <c r="F57" s="7">
        <v>34.574252299999998</v>
      </c>
      <c r="G57" s="12">
        <v>20640</v>
      </c>
      <c r="H57" s="12">
        <v>20552</v>
      </c>
    </row>
    <row r="58" spans="1:8">
      <c r="A58" s="10" t="s">
        <v>457</v>
      </c>
      <c r="B58" s="5" t="s">
        <v>458</v>
      </c>
      <c r="C58" s="10" t="s">
        <v>459</v>
      </c>
      <c r="D58" s="32" t="s">
        <v>460</v>
      </c>
      <c r="E58" s="29">
        <v>31.624611000000002</v>
      </c>
      <c r="F58" s="29">
        <v>34.747655999999999</v>
      </c>
      <c r="G58" s="12">
        <v>20640</v>
      </c>
      <c r="H58" s="12">
        <v>20552</v>
      </c>
    </row>
    <row r="59" spans="1:8">
      <c r="A59" s="10" t="s">
        <v>461</v>
      </c>
      <c r="B59" s="5" t="s">
        <v>462</v>
      </c>
      <c r="C59" s="10" t="s">
        <v>463</v>
      </c>
      <c r="D59" s="32" t="s">
        <v>464</v>
      </c>
      <c r="E59" s="29">
        <v>31.696667000000001</v>
      </c>
      <c r="F59" s="29">
        <v>34.728611000000001</v>
      </c>
      <c r="G59" s="12">
        <v>20763</v>
      </c>
      <c r="H59" s="12">
        <v>20556</v>
      </c>
    </row>
    <row r="60" spans="1:8">
      <c r="A60" s="10" t="s">
        <v>465</v>
      </c>
      <c r="B60" s="5" t="s">
        <v>466</v>
      </c>
      <c r="C60" s="10" t="s">
        <v>467</v>
      </c>
      <c r="D60" s="32" t="s">
        <v>468</v>
      </c>
      <c r="E60" s="29">
        <v>31.98</v>
      </c>
      <c r="F60" s="29">
        <v>34.872197</v>
      </c>
      <c r="G60" s="12">
        <v>20763</v>
      </c>
      <c r="H60" s="12">
        <v>20556</v>
      </c>
    </row>
    <row r="61" spans="1:8">
      <c r="A61" s="10" t="s">
        <v>469</v>
      </c>
      <c r="B61" s="5" t="s">
        <v>470</v>
      </c>
      <c r="C61" s="10" t="s">
        <v>158</v>
      </c>
      <c r="D61" s="27" t="s">
        <v>159</v>
      </c>
      <c r="E61" s="29">
        <v>30.906666999999999</v>
      </c>
      <c r="F61" s="29">
        <v>35.131388999999999</v>
      </c>
      <c r="G61" s="12">
        <v>20339</v>
      </c>
      <c r="H61" s="12">
        <v>20279</v>
      </c>
    </row>
    <row r="62" spans="1:8" ht="15.75" customHeight="1">
      <c r="A62" s="10" t="s">
        <v>471</v>
      </c>
      <c r="B62" s="5" t="s">
        <v>472</v>
      </c>
      <c r="C62" s="10" t="s">
        <v>473</v>
      </c>
      <c r="D62" s="5" t="s">
        <v>338</v>
      </c>
      <c r="E62" s="7">
        <v>31.817429000000001</v>
      </c>
      <c r="F62" s="7">
        <v>35.109406</v>
      </c>
      <c r="G62" s="16" t="s">
        <v>474</v>
      </c>
      <c r="H62" s="12">
        <v>20659</v>
      </c>
    </row>
    <row r="63" spans="1:8">
      <c r="A63" s="10" t="s">
        <v>475</v>
      </c>
      <c r="B63" s="5" t="s">
        <v>476</v>
      </c>
      <c r="C63" s="10" t="s">
        <v>477</v>
      </c>
      <c r="D63" s="32" t="s">
        <v>478</v>
      </c>
      <c r="E63" s="33">
        <v>31.657568000000001</v>
      </c>
      <c r="F63" s="33">
        <v>34.777321000000001</v>
      </c>
      <c r="G63" s="16" t="s">
        <v>479</v>
      </c>
      <c r="H63" s="12">
        <v>20682</v>
      </c>
    </row>
    <row r="64" spans="1:8">
      <c r="A64" s="10" t="s">
        <v>480</v>
      </c>
      <c r="B64" s="5" t="s">
        <v>481</v>
      </c>
      <c r="C64" s="10" t="s">
        <v>482</v>
      </c>
      <c r="D64" s="27" t="s">
        <v>131</v>
      </c>
      <c r="E64" s="29">
        <v>30.886129</v>
      </c>
      <c r="F64" s="29">
        <v>34.421553000000003</v>
      </c>
      <c r="G64" s="16" t="s">
        <v>483</v>
      </c>
      <c r="H64" s="12">
        <v>20698</v>
      </c>
    </row>
    <row r="65" spans="1:8" ht="15.75" customHeight="1">
      <c r="A65" s="10" t="s">
        <v>484</v>
      </c>
      <c r="B65" s="5" t="s">
        <v>485</v>
      </c>
      <c r="C65" s="10" t="s">
        <v>486</v>
      </c>
      <c r="D65" s="5" t="s">
        <v>347</v>
      </c>
      <c r="E65" s="7">
        <v>31.612880000000001</v>
      </c>
      <c r="F65" s="7">
        <v>34.895567999999997</v>
      </c>
      <c r="G65" s="12">
        <v>20768</v>
      </c>
      <c r="H65" s="12">
        <v>20709</v>
      </c>
    </row>
    <row r="66" spans="1:8">
      <c r="A66" s="10" t="s">
        <v>487</v>
      </c>
      <c r="B66" s="5" t="s">
        <v>488</v>
      </c>
      <c r="C66" s="10" t="s">
        <v>489</v>
      </c>
      <c r="D66" s="32" t="s">
        <v>490</v>
      </c>
      <c r="E66" s="7">
        <v>30.767700000000001</v>
      </c>
      <c r="F66" s="7">
        <v>35.280200000000001</v>
      </c>
      <c r="G66" s="12">
        <v>20798</v>
      </c>
      <c r="H66" s="12">
        <v>20710</v>
      </c>
    </row>
    <row r="67" spans="1:8" ht="15.75" customHeight="1">
      <c r="A67" s="10" t="s">
        <v>491</v>
      </c>
      <c r="B67" s="5" t="s">
        <v>492</v>
      </c>
      <c r="C67" s="10" t="s">
        <v>493</v>
      </c>
      <c r="D67" s="5" t="s">
        <v>353</v>
      </c>
      <c r="E67" s="7">
        <v>31.7403163</v>
      </c>
      <c r="F67" s="7">
        <v>35.217882500000002</v>
      </c>
      <c r="G67" s="16" t="s">
        <v>494</v>
      </c>
      <c r="H67" s="12">
        <v>20721</v>
      </c>
    </row>
    <row r="68" spans="1:8" ht="15.75" customHeight="1">
      <c r="A68" s="10" t="s">
        <v>495</v>
      </c>
      <c r="B68" s="5" t="s">
        <v>496</v>
      </c>
      <c r="C68" s="10" t="s">
        <v>497</v>
      </c>
      <c r="D68" s="5" t="s">
        <v>357</v>
      </c>
      <c r="E68" s="7">
        <v>31.751705000000001</v>
      </c>
      <c r="F68" s="7">
        <v>35.142428000000002</v>
      </c>
      <c r="G68" s="16" t="s">
        <v>498</v>
      </c>
      <c r="H68" s="12">
        <v>20722</v>
      </c>
    </row>
    <row r="69" spans="1:8" ht="15.75" customHeight="1">
      <c r="A69" s="10" t="s">
        <v>499</v>
      </c>
      <c r="B69" s="5" t="s">
        <v>501</v>
      </c>
      <c r="C69" s="10" t="s">
        <v>503</v>
      </c>
      <c r="D69" s="5" t="s">
        <v>362</v>
      </c>
      <c r="E69" s="7">
        <v>32.494070000000001</v>
      </c>
      <c r="F69" s="7">
        <v>35.550767</v>
      </c>
      <c r="G69" s="16" t="s">
        <v>498</v>
      </c>
      <c r="H69" s="12">
        <v>20722</v>
      </c>
    </row>
    <row r="70" spans="1:8" ht="15.75" customHeight="1">
      <c r="A70" s="10" t="s">
        <v>504</v>
      </c>
      <c r="B70" s="5" t="s">
        <v>505</v>
      </c>
      <c r="C70" s="10" t="s">
        <v>506</v>
      </c>
      <c r="D70" s="5" t="s">
        <v>366</v>
      </c>
      <c r="E70" s="7">
        <v>31.252973000000001</v>
      </c>
      <c r="F70" s="7">
        <v>34.791462000000003</v>
      </c>
      <c r="G70" s="12">
        <v>20555</v>
      </c>
      <c r="H70" s="12">
        <v>20732</v>
      </c>
    </row>
    <row r="71" spans="1:8" ht="15.75" customHeight="1">
      <c r="A71" s="10" t="s">
        <v>508</v>
      </c>
      <c r="B71" s="5" t="s">
        <v>510</v>
      </c>
      <c r="C71" s="10" t="s">
        <v>511</v>
      </c>
      <c r="D71" s="5" t="s">
        <v>370</v>
      </c>
      <c r="E71" s="7">
        <v>31.612869</v>
      </c>
      <c r="F71" s="7">
        <v>34.772486700000002</v>
      </c>
      <c r="G71" s="12">
        <v>20708</v>
      </c>
      <c r="H71" s="12">
        <v>20737</v>
      </c>
    </row>
    <row r="72" spans="1:8">
      <c r="A72" s="10" t="s">
        <v>514</v>
      </c>
      <c r="B72" s="5" t="s">
        <v>515</v>
      </c>
      <c r="C72" s="10" t="s">
        <v>482</v>
      </c>
      <c r="D72" s="27" t="s">
        <v>131</v>
      </c>
      <c r="E72" s="29">
        <v>30.886129</v>
      </c>
      <c r="F72" s="29">
        <v>34.421553000000003</v>
      </c>
      <c r="G72" s="16" t="s">
        <v>516</v>
      </c>
      <c r="H72" s="12">
        <v>20748</v>
      </c>
    </row>
  </sheetData>
  <conditionalFormatting sqref="H1:H1048576">
    <cfRule type="notContainsBlanks" dxfId="0" priority="1">
      <formula>LEN(TRIM(H1))&gt;0</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3"/>
  <sheetViews>
    <sheetView workbookViewId="0"/>
  </sheetViews>
  <sheetFormatPr baseColWidth="10" defaultColWidth="14.5" defaultRowHeight="15.75" customHeight="1"/>
  <cols>
    <col min="2" max="2" width="23.33203125" customWidth="1"/>
    <col min="5" max="5" width="21.33203125" customWidth="1"/>
  </cols>
  <sheetData>
    <row r="1" spans="1:7" ht="15.75" customHeight="1">
      <c r="A1" s="1" t="s">
        <v>0</v>
      </c>
      <c r="B1" s="1" t="s">
        <v>2</v>
      </c>
      <c r="C1" s="1" t="s">
        <v>3</v>
      </c>
      <c r="D1" s="1" t="s">
        <v>4</v>
      </c>
      <c r="E1" s="1" t="s">
        <v>5</v>
      </c>
      <c r="F1" s="1" t="s">
        <v>6</v>
      </c>
      <c r="G1" s="1" t="s">
        <v>7</v>
      </c>
    </row>
    <row r="2" spans="1:7" ht="15.75" customHeight="1">
      <c r="A2" s="1">
        <v>1951</v>
      </c>
      <c r="B2" s="1">
        <v>48</v>
      </c>
      <c r="C2" s="1">
        <v>49</v>
      </c>
      <c r="D2" s="1">
        <v>70</v>
      </c>
      <c r="E2" s="1">
        <v>118</v>
      </c>
      <c r="F2" s="1">
        <v>44</v>
      </c>
      <c r="G2" s="1">
        <v>25</v>
      </c>
    </row>
    <row r="3" spans="1:7" ht="15.75" customHeight="1">
      <c r="A3" s="1">
        <v>1952</v>
      </c>
      <c r="B3" s="1">
        <v>42</v>
      </c>
      <c r="C3" s="1">
        <v>56</v>
      </c>
      <c r="D3" s="1">
        <v>24</v>
      </c>
      <c r="E3" s="1">
        <v>66</v>
      </c>
      <c r="F3" s="1">
        <v>46</v>
      </c>
      <c r="G3" s="1">
        <v>22</v>
      </c>
    </row>
    <row r="4" spans="1:7" ht="15.75" customHeight="1">
      <c r="A4" s="1">
        <v>1953</v>
      </c>
      <c r="B4" s="1">
        <v>44</v>
      </c>
      <c r="C4" s="1">
        <v>66</v>
      </c>
      <c r="D4" s="1">
        <v>27</v>
      </c>
      <c r="E4" s="1">
        <v>71</v>
      </c>
      <c r="F4" s="1">
        <v>57</v>
      </c>
      <c r="G4" s="1">
        <v>38</v>
      </c>
    </row>
    <row r="5" spans="1:7" ht="15.75" customHeight="1">
      <c r="A5" s="1">
        <v>1954</v>
      </c>
      <c r="B5" s="1">
        <v>33</v>
      </c>
      <c r="C5" s="1">
        <v>77</v>
      </c>
      <c r="D5" s="1">
        <v>24</v>
      </c>
      <c r="E5" s="1">
        <v>57</v>
      </c>
      <c r="F5" s="1">
        <v>34</v>
      </c>
      <c r="G5" s="1">
        <v>15</v>
      </c>
    </row>
    <row r="6" spans="1:7" ht="15.75" customHeight="1">
      <c r="A6" s="1">
        <v>1955</v>
      </c>
      <c r="B6" s="1">
        <v>24</v>
      </c>
      <c r="C6" s="1">
        <v>69</v>
      </c>
      <c r="D6" s="1">
        <v>50</v>
      </c>
      <c r="E6" s="1">
        <v>74</v>
      </c>
      <c r="F6" s="1">
        <v>11</v>
      </c>
      <c r="G6" s="1">
        <v>8</v>
      </c>
    </row>
    <row r="7" spans="1:7" ht="15.75" customHeight="1">
      <c r="A7" s="1">
        <v>1956</v>
      </c>
      <c r="B7" s="1">
        <v>54</v>
      </c>
      <c r="C7" s="1">
        <v>129</v>
      </c>
      <c r="D7" s="1">
        <v>63</v>
      </c>
      <c r="E7" s="1">
        <v>117</v>
      </c>
      <c r="F7" s="1">
        <v>74</v>
      </c>
      <c r="G7" s="1">
        <v>10</v>
      </c>
    </row>
    <row r="8" spans="1:7" ht="15.75" customHeight="1">
      <c r="A8" s="3" t="s">
        <v>8</v>
      </c>
    </row>
    <row r="10" spans="1:7" ht="15.75" customHeight="1">
      <c r="A10" s="1"/>
    </row>
    <row r="11" spans="1:7" ht="15.75" customHeight="1">
      <c r="A11" s="1" t="s">
        <v>13</v>
      </c>
    </row>
    <row r="12" spans="1:7" ht="15.75" customHeight="1">
      <c r="A12" s="1" t="s">
        <v>14</v>
      </c>
      <c r="B12" s="1" t="s">
        <v>15</v>
      </c>
      <c r="C12" s="1" t="s">
        <v>16</v>
      </c>
      <c r="D12" s="1" t="s">
        <v>17</v>
      </c>
      <c r="E12" s="1" t="s">
        <v>18</v>
      </c>
    </row>
    <row r="13" spans="1:7" ht="15.75" customHeight="1">
      <c r="A13" s="1">
        <v>7850</v>
      </c>
      <c r="B13" s="1">
        <v>3000</v>
      </c>
      <c r="C13" s="1">
        <v>600</v>
      </c>
      <c r="D13" s="1">
        <v>200</v>
      </c>
      <c r="E13" s="1">
        <v>11650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J378"/>
  <sheetViews>
    <sheetView workbookViewId="0">
      <pane ySplit="1" topLeftCell="A225" activePane="bottomLeft" state="frozen"/>
      <selection pane="bottomLeft" activeCell="B3" sqref="B3"/>
    </sheetView>
  </sheetViews>
  <sheetFormatPr baseColWidth="10" defaultColWidth="14.5" defaultRowHeight="15.75" customHeight="1"/>
  <cols>
    <col min="1" max="1" width="127.6640625" customWidth="1"/>
    <col min="9" max="9" width="15" customWidth="1"/>
    <col min="10" max="10" width="17.6640625" customWidth="1"/>
    <col min="11" max="11" width="11" customWidth="1"/>
    <col min="12" max="12" width="42" customWidth="1"/>
    <col min="18" max="19" width="14.5" customWidth="1"/>
  </cols>
  <sheetData>
    <row r="1" spans="1:62" ht="15.75" customHeight="1">
      <c r="A1" s="2" t="s">
        <v>1</v>
      </c>
      <c r="B1" s="2"/>
      <c r="C1" s="2"/>
      <c r="D1" s="2"/>
      <c r="E1" s="2" t="s">
        <v>10</v>
      </c>
      <c r="F1" s="2" t="s">
        <v>11</v>
      </c>
      <c r="G1" s="4" t="s">
        <v>12</v>
      </c>
      <c r="H1" s="4" t="s">
        <v>19</v>
      </c>
      <c r="I1" s="6" t="s">
        <v>20</v>
      </c>
      <c r="J1" s="9" t="s">
        <v>25</v>
      </c>
      <c r="K1" s="11" t="s">
        <v>31</v>
      </c>
      <c r="L1" s="13" t="s">
        <v>33</v>
      </c>
      <c r="M1" s="6" t="s">
        <v>34</v>
      </c>
      <c r="N1" s="15" t="s">
        <v>35</v>
      </c>
      <c r="O1" s="17"/>
      <c r="P1" s="13" t="s">
        <v>49</v>
      </c>
      <c r="Q1" s="13" t="s">
        <v>51</v>
      </c>
      <c r="R1" s="13" t="s">
        <v>24</v>
      </c>
      <c r="S1" s="13" t="s">
        <v>26</v>
      </c>
      <c r="T1" s="2" t="s">
        <v>52</v>
      </c>
      <c r="U1" s="2" t="s">
        <v>53</v>
      </c>
      <c r="V1" s="2" t="s">
        <v>57</v>
      </c>
      <c r="W1" s="2" t="s">
        <v>59</v>
      </c>
      <c r="X1" s="2" t="s">
        <v>61</v>
      </c>
      <c r="Y1" s="18"/>
      <c r="Z1" s="2" t="s">
        <v>71</v>
      </c>
      <c r="AA1" s="2" t="s">
        <v>72</v>
      </c>
      <c r="AB1" s="2" t="s">
        <v>73</v>
      </c>
      <c r="AC1" s="2" t="s">
        <v>75</v>
      </c>
      <c r="AD1" s="2" t="s">
        <v>77</v>
      </c>
      <c r="AE1" s="2" t="s">
        <v>79</v>
      </c>
      <c r="AF1" s="2" t="s">
        <v>80</v>
      </c>
      <c r="AG1" s="2" t="s">
        <v>82</v>
      </c>
      <c r="AH1" s="2" t="s">
        <v>83</v>
      </c>
      <c r="AI1" s="4" t="s">
        <v>84</v>
      </c>
      <c r="AJ1" s="2" t="s">
        <v>86</v>
      </c>
      <c r="AK1" s="2" t="s">
        <v>87</v>
      </c>
      <c r="AL1" s="2" t="s">
        <v>89</v>
      </c>
      <c r="AM1" s="2" t="s">
        <v>92</v>
      </c>
      <c r="AN1" s="2" t="s">
        <v>93</v>
      </c>
      <c r="AO1" s="2" t="s">
        <v>94</v>
      </c>
      <c r="AP1" s="2" t="s">
        <v>95</v>
      </c>
      <c r="AQ1" s="2" t="s">
        <v>97</v>
      </c>
      <c r="AR1" s="2" t="s">
        <v>99</v>
      </c>
      <c r="AS1" s="2" t="s">
        <v>102</v>
      </c>
      <c r="AT1" s="2" t="s">
        <v>103</v>
      </c>
      <c r="AU1" s="2" t="s">
        <v>104</v>
      </c>
      <c r="AV1" s="2" t="s">
        <v>105</v>
      </c>
      <c r="AW1" s="2" t="s">
        <v>106</v>
      </c>
      <c r="AX1" s="19" t="s">
        <v>107</v>
      </c>
      <c r="AY1" s="2" t="s">
        <v>112</v>
      </c>
      <c r="AZ1" s="2" t="s">
        <v>113</v>
      </c>
      <c r="BA1" s="21" t="s">
        <v>114</v>
      </c>
      <c r="BB1" s="2" t="s">
        <v>120</v>
      </c>
      <c r="BC1" s="2" t="s">
        <v>121</v>
      </c>
      <c r="BD1" s="2" t="s">
        <v>122</v>
      </c>
      <c r="BE1" s="19" t="s">
        <v>123</v>
      </c>
      <c r="BF1" s="2" t="s">
        <v>125</v>
      </c>
      <c r="BG1" s="2" t="s">
        <v>126</v>
      </c>
      <c r="BH1" s="2" t="s">
        <v>128</v>
      </c>
      <c r="BI1" s="2" t="s">
        <v>130</v>
      </c>
      <c r="BJ1" s="2" t="s">
        <v>132</v>
      </c>
    </row>
    <row r="2" spans="1:62" ht="15.75" customHeight="1">
      <c r="A2" s="22" t="s">
        <v>134</v>
      </c>
      <c r="B2" s="25" t="s">
        <v>135</v>
      </c>
      <c r="C2" s="25"/>
      <c r="D2" s="25"/>
      <c r="E2" s="22">
        <v>1</v>
      </c>
      <c r="F2" s="22">
        <v>1</v>
      </c>
      <c r="G2" s="28">
        <v>14</v>
      </c>
      <c r="H2" s="28">
        <v>5</v>
      </c>
      <c r="I2" s="30">
        <v>1948</v>
      </c>
      <c r="J2" s="34">
        <f t="shared" ref="J2:J378" si="0">DATE(I2,H2,G2)</f>
        <v>17667</v>
      </c>
      <c r="K2" s="35" t="s">
        <v>221</v>
      </c>
      <c r="L2" s="25" t="s">
        <v>229</v>
      </c>
      <c r="M2" s="30">
        <v>1</v>
      </c>
      <c r="N2" s="17" t="s">
        <v>233</v>
      </c>
      <c r="O2" s="17"/>
      <c r="P2" s="25" t="s">
        <v>135</v>
      </c>
      <c r="Q2" s="25" t="s">
        <v>237</v>
      </c>
      <c r="R2" s="25">
        <v>33.239637000000002</v>
      </c>
      <c r="S2" s="25">
        <v>35.653953000000001</v>
      </c>
      <c r="T2" s="22">
        <v>2</v>
      </c>
      <c r="U2" s="22">
        <v>1</v>
      </c>
      <c r="V2" s="22">
        <v>1</v>
      </c>
      <c r="W2" s="22">
        <v>2</v>
      </c>
      <c r="X2" s="22">
        <v>2</v>
      </c>
      <c r="Y2" s="18"/>
      <c r="Z2" s="22">
        <v>2</v>
      </c>
      <c r="AA2" s="22">
        <v>2</v>
      </c>
      <c r="AB2" s="18" t="s">
        <v>221</v>
      </c>
      <c r="AC2" s="22">
        <v>6</v>
      </c>
      <c r="AD2" s="22">
        <v>2</v>
      </c>
      <c r="AE2" s="18" t="s">
        <v>221</v>
      </c>
      <c r="AF2" s="22">
        <v>99</v>
      </c>
      <c r="AG2" s="18"/>
      <c r="AH2" s="22">
        <v>99</v>
      </c>
      <c r="AI2" s="28">
        <v>99</v>
      </c>
      <c r="AJ2" s="18"/>
      <c r="AK2" s="22">
        <v>99</v>
      </c>
      <c r="AL2" s="22">
        <v>99</v>
      </c>
      <c r="AM2" s="22">
        <v>99</v>
      </c>
      <c r="AN2" s="22">
        <v>99</v>
      </c>
      <c r="AO2" s="22">
        <v>99</v>
      </c>
      <c r="AP2" s="22">
        <v>99</v>
      </c>
      <c r="AQ2" s="18" t="s">
        <v>221</v>
      </c>
      <c r="AR2" s="18" t="s">
        <v>221</v>
      </c>
      <c r="AS2" s="22">
        <v>99</v>
      </c>
      <c r="AT2" s="22">
        <v>99</v>
      </c>
      <c r="AU2" s="22">
        <v>3</v>
      </c>
      <c r="AV2" s="22">
        <v>3</v>
      </c>
      <c r="AW2" s="22">
        <v>4</v>
      </c>
      <c r="AX2" s="37">
        <v>4</v>
      </c>
      <c r="AY2" s="22">
        <v>4</v>
      </c>
      <c r="AZ2" s="22">
        <v>2</v>
      </c>
      <c r="BA2" s="38">
        <v>99</v>
      </c>
      <c r="BB2" s="22">
        <v>99</v>
      </c>
      <c r="BC2" s="18"/>
      <c r="BD2" s="22">
        <v>99</v>
      </c>
      <c r="BE2" s="37">
        <v>99</v>
      </c>
      <c r="BF2" s="22">
        <v>0</v>
      </c>
      <c r="BG2" s="22">
        <v>1</v>
      </c>
      <c r="BH2" s="22">
        <v>1</v>
      </c>
      <c r="BI2" s="22">
        <v>1</v>
      </c>
      <c r="BJ2" s="22">
        <v>9</v>
      </c>
    </row>
    <row r="3" spans="1:62" ht="15.75" customHeight="1">
      <c r="A3" s="22" t="s">
        <v>308</v>
      </c>
      <c r="B3" s="25" t="s">
        <v>32</v>
      </c>
      <c r="C3" s="25"/>
      <c r="D3" s="25"/>
      <c r="E3" s="22">
        <v>1</v>
      </c>
      <c r="F3" s="22">
        <v>1</v>
      </c>
      <c r="G3" s="28">
        <v>14</v>
      </c>
      <c r="H3" s="28">
        <v>5</v>
      </c>
      <c r="I3" s="30">
        <v>1948</v>
      </c>
      <c r="J3" s="34">
        <f t="shared" si="0"/>
        <v>17667</v>
      </c>
      <c r="K3" s="39" t="s">
        <v>328</v>
      </c>
      <c r="L3" s="25" t="s">
        <v>341</v>
      </c>
      <c r="M3" s="30">
        <v>5</v>
      </c>
      <c r="N3" s="17" t="s">
        <v>32</v>
      </c>
      <c r="O3" s="17"/>
      <c r="P3" s="25" t="s">
        <v>32</v>
      </c>
      <c r="Q3" s="25" t="s">
        <v>346</v>
      </c>
      <c r="R3" s="25">
        <v>31.768319000000002</v>
      </c>
      <c r="S3" s="25">
        <v>35.213709999999999</v>
      </c>
      <c r="T3" s="22">
        <v>2</v>
      </c>
      <c r="U3" s="22">
        <v>1</v>
      </c>
      <c r="V3" s="22">
        <v>5</v>
      </c>
      <c r="W3" s="22">
        <v>2</v>
      </c>
      <c r="X3" s="22">
        <v>2</v>
      </c>
      <c r="Y3" s="18"/>
      <c r="Z3" s="22">
        <v>3</v>
      </c>
      <c r="AA3" s="22">
        <v>1</v>
      </c>
      <c r="AB3" s="18" t="s">
        <v>221</v>
      </c>
      <c r="AC3" s="22">
        <v>99</v>
      </c>
      <c r="AD3" s="22">
        <v>2</v>
      </c>
      <c r="AE3" s="18" t="s">
        <v>221</v>
      </c>
      <c r="AF3" s="22">
        <v>99</v>
      </c>
      <c r="AG3" s="18"/>
      <c r="AH3" s="22">
        <v>99</v>
      </c>
      <c r="AI3" s="28">
        <v>99</v>
      </c>
      <c r="AJ3" s="18"/>
      <c r="AK3" s="22">
        <v>99</v>
      </c>
      <c r="AL3" s="22">
        <v>99</v>
      </c>
      <c r="AM3" s="22">
        <v>99</v>
      </c>
      <c r="AN3" s="22">
        <v>99</v>
      </c>
      <c r="AO3" s="22">
        <v>99</v>
      </c>
      <c r="AP3" s="22">
        <v>99</v>
      </c>
      <c r="AQ3" s="18" t="s">
        <v>221</v>
      </c>
      <c r="AR3" s="18" t="s">
        <v>221</v>
      </c>
      <c r="AS3" s="22">
        <v>99</v>
      </c>
      <c r="AT3" s="22">
        <v>99</v>
      </c>
      <c r="AU3" s="22">
        <v>3</v>
      </c>
      <c r="AV3" s="22">
        <v>3</v>
      </c>
      <c r="AW3" s="22">
        <v>4</v>
      </c>
      <c r="AX3" s="37">
        <v>4</v>
      </c>
      <c r="AY3" s="22">
        <v>4</v>
      </c>
      <c r="AZ3" s="22">
        <v>2</v>
      </c>
      <c r="BA3" s="38">
        <v>99</v>
      </c>
      <c r="BB3" s="22">
        <v>99</v>
      </c>
      <c r="BC3" s="18"/>
      <c r="BD3" s="22">
        <v>99</v>
      </c>
      <c r="BE3" s="37">
        <v>99</v>
      </c>
      <c r="BF3" s="22">
        <v>0</v>
      </c>
      <c r="BG3" s="22">
        <v>1</v>
      </c>
      <c r="BH3" s="22">
        <v>1</v>
      </c>
      <c r="BI3" s="22">
        <v>1</v>
      </c>
      <c r="BJ3" s="22">
        <v>7</v>
      </c>
    </row>
    <row r="4" spans="1:62" ht="15.75" customHeight="1">
      <c r="A4" s="22" t="s">
        <v>381</v>
      </c>
      <c r="B4" s="25" t="s">
        <v>382</v>
      </c>
      <c r="C4" s="25"/>
      <c r="D4" s="25"/>
      <c r="E4" s="22">
        <v>1</v>
      </c>
      <c r="F4" s="22">
        <v>1</v>
      </c>
      <c r="G4" s="28">
        <v>24</v>
      </c>
      <c r="H4" s="28">
        <v>5</v>
      </c>
      <c r="I4" s="30">
        <v>1948</v>
      </c>
      <c r="J4" s="34">
        <f t="shared" si="0"/>
        <v>17677</v>
      </c>
      <c r="K4" s="35" t="s">
        <v>221</v>
      </c>
      <c r="L4" s="25" t="s">
        <v>404</v>
      </c>
      <c r="M4" s="30">
        <v>1</v>
      </c>
      <c r="N4" s="17" t="s">
        <v>233</v>
      </c>
      <c r="O4" s="17"/>
      <c r="P4" s="25" t="s">
        <v>409</v>
      </c>
      <c r="Q4" s="25" t="s">
        <v>410</v>
      </c>
      <c r="R4" s="25">
        <v>31.7859178</v>
      </c>
      <c r="S4" s="25">
        <v>35.242329599999998</v>
      </c>
      <c r="T4" s="22">
        <v>2</v>
      </c>
      <c r="U4" s="22">
        <v>1</v>
      </c>
      <c r="V4" s="22">
        <v>1</v>
      </c>
      <c r="W4" s="22">
        <v>2</v>
      </c>
      <c r="X4" s="22">
        <v>2</v>
      </c>
      <c r="Y4" s="18"/>
      <c r="Z4" s="22">
        <v>3</v>
      </c>
      <c r="AA4" s="22">
        <v>1</v>
      </c>
      <c r="AB4" s="18" t="s">
        <v>221</v>
      </c>
      <c r="AC4" s="22">
        <v>6</v>
      </c>
      <c r="AD4" s="22">
        <v>2</v>
      </c>
      <c r="AE4" s="18" t="s">
        <v>221</v>
      </c>
      <c r="AF4" s="22">
        <v>99</v>
      </c>
      <c r="AG4" s="18"/>
      <c r="AH4" s="22">
        <v>99</v>
      </c>
      <c r="AI4" s="28">
        <v>99</v>
      </c>
      <c r="AJ4" s="18"/>
      <c r="AK4" s="22">
        <v>99</v>
      </c>
      <c r="AL4" s="22">
        <v>99</v>
      </c>
      <c r="AM4" s="22">
        <v>99</v>
      </c>
      <c r="AN4" s="22">
        <v>99</v>
      </c>
      <c r="AO4" s="22">
        <v>99</v>
      </c>
      <c r="AP4" s="22">
        <v>99</v>
      </c>
      <c r="AQ4" s="18" t="s">
        <v>221</v>
      </c>
      <c r="AR4" s="18" t="s">
        <v>221</v>
      </c>
      <c r="AS4" s="22">
        <v>99</v>
      </c>
      <c r="AT4" s="22">
        <v>99</v>
      </c>
      <c r="AU4" s="22">
        <v>3</v>
      </c>
      <c r="AV4" s="22">
        <v>3</v>
      </c>
      <c r="AW4" s="22">
        <v>4</v>
      </c>
      <c r="AX4" s="37">
        <v>4</v>
      </c>
      <c r="AY4" s="22">
        <v>4</v>
      </c>
      <c r="AZ4" s="22">
        <v>2</v>
      </c>
      <c r="BA4" s="38">
        <v>99</v>
      </c>
      <c r="BB4" s="22">
        <v>99</v>
      </c>
      <c r="BC4" s="18"/>
      <c r="BD4" s="22">
        <v>99</v>
      </c>
      <c r="BE4" s="37">
        <v>99</v>
      </c>
      <c r="BF4" s="22">
        <v>0</v>
      </c>
      <c r="BG4" s="22">
        <v>1</v>
      </c>
      <c r="BH4" s="22">
        <v>1</v>
      </c>
      <c r="BI4" s="22">
        <v>1</v>
      </c>
      <c r="BJ4" s="22">
        <v>7</v>
      </c>
    </row>
    <row r="5" spans="1:62" ht="15.75" customHeight="1">
      <c r="A5" s="22" t="s">
        <v>429</v>
      </c>
      <c r="B5" s="25" t="s">
        <v>430</v>
      </c>
      <c r="C5" s="25" t="s">
        <v>431</v>
      </c>
      <c r="D5" s="25" t="s">
        <v>433</v>
      </c>
      <c r="E5" s="22">
        <v>1</v>
      </c>
      <c r="F5" s="22">
        <v>1</v>
      </c>
      <c r="G5" s="28">
        <v>24</v>
      </c>
      <c r="H5" s="28">
        <v>5</v>
      </c>
      <c r="I5" s="30">
        <v>1948</v>
      </c>
      <c r="J5" s="34">
        <f t="shared" si="0"/>
        <v>17677</v>
      </c>
      <c r="K5" s="35" t="s">
        <v>221</v>
      </c>
      <c r="L5" s="25" t="s">
        <v>444</v>
      </c>
      <c r="M5" s="30">
        <v>7</v>
      </c>
      <c r="N5" s="17" t="s">
        <v>447</v>
      </c>
      <c r="O5" s="17"/>
      <c r="P5" s="18"/>
      <c r="Q5" s="41" t="s">
        <v>448</v>
      </c>
      <c r="R5" s="42">
        <v>39.912941199999999</v>
      </c>
      <c r="S5" s="42">
        <v>-104.79560549999999</v>
      </c>
      <c r="T5" s="22">
        <v>2</v>
      </c>
      <c r="U5" s="22">
        <v>2</v>
      </c>
      <c r="V5" s="22">
        <v>1</v>
      </c>
      <c r="W5" s="22">
        <v>2</v>
      </c>
      <c r="X5" s="22">
        <v>2</v>
      </c>
      <c r="Y5" s="18"/>
      <c r="Z5" s="22">
        <v>3</v>
      </c>
      <c r="AA5" s="22">
        <v>1</v>
      </c>
      <c r="AB5" s="18" t="s">
        <v>221</v>
      </c>
      <c r="AC5" s="22">
        <v>7</v>
      </c>
      <c r="AD5" s="22">
        <v>2</v>
      </c>
      <c r="AE5" s="18" t="s">
        <v>221</v>
      </c>
      <c r="AF5" s="22">
        <v>99</v>
      </c>
      <c r="AG5" s="18"/>
      <c r="AH5" s="22">
        <v>99</v>
      </c>
      <c r="AI5" s="28">
        <v>99</v>
      </c>
      <c r="AJ5" s="18"/>
      <c r="AK5" s="22">
        <v>99</v>
      </c>
      <c r="AL5" s="22">
        <v>99</v>
      </c>
      <c r="AM5" s="22">
        <v>99</v>
      </c>
      <c r="AN5" s="22">
        <v>99</v>
      </c>
      <c r="AO5" s="22">
        <v>99</v>
      </c>
      <c r="AP5" s="22">
        <v>99</v>
      </c>
      <c r="AQ5" s="18" t="s">
        <v>221</v>
      </c>
      <c r="AR5" s="18" t="s">
        <v>221</v>
      </c>
      <c r="AS5" s="22">
        <v>99</v>
      </c>
      <c r="AT5" s="22">
        <v>99</v>
      </c>
      <c r="AU5" s="22">
        <v>3</v>
      </c>
      <c r="AV5" s="22">
        <v>3</v>
      </c>
      <c r="AW5" s="22">
        <v>4</v>
      </c>
      <c r="AX5" s="37">
        <v>4</v>
      </c>
      <c r="AY5" s="22">
        <v>4</v>
      </c>
      <c r="AZ5" s="22">
        <v>2</v>
      </c>
      <c r="BA5" s="38">
        <v>99</v>
      </c>
      <c r="BB5" s="22">
        <v>99</v>
      </c>
      <c r="BC5" s="18"/>
      <c r="BD5" s="22">
        <v>99</v>
      </c>
      <c r="BE5" s="37">
        <v>99</v>
      </c>
      <c r="BF5" s="22">
        <v>0</v>
      </c>
      <c r="BG5" s="22">
        <v>1</v>
      </c>
      <c r="BH5" s="22">
        <v>1</v>
      </c>
      <c r="BI5" s="22">
        <v>1</v>
      </c>
      <c r="BJ5" s="22">
        <v>8</v>
      </c>
    </row>
    <row r="6" spans="1:62" ht="15.75" customHeight="1">
      <c r="A6" s="22" t="s">
        <v>500</v>
      </c>
      <c r="B6" s="25" t="s">
        <v>502</v>
      </c>
      <c r="C6" s="22"/>
      <c r="D6" s="22"/>
      <c r="E6" s="22">
        <v>2</v>
      </c>
      <c r="F6" s="22">
        <v>1</v>
      </c>
      <c r="G6" s="28">
        <v>8</v>
      </c>
      <c r="H6" s="28">
        <v>6</v>
      </c>
      <c r="I6" s="30">
        <v>1948</v>
      </c>
      <c r="J6" s="34">
        <f t="shared" si="0"/>
        <v>17692</v>
      </c>
      <c r="K6" s="39" t="s">
        <v>507</v>
      </c>
      <c r="L6" s="25" t="s">
        <v>509</v>
      </c>
      <c r="M6" s="30">
        <v>5</v>
      </c>
      <c r="N6" s="17" t="s">
        <v>32</v>
      </c>
      <c r="O6" s="17"/>
      <c r="P6" s="25" t="s">
        <v>512</v>
      </c>
      <c r="Q6" s="25" t="s">
        <v>513</v>
      </c>
      <c r="R6" s="25">
        <v>32.497103000000003</v>
      </c>
      <c r="S6" s="25">
        <v>35.497335999999997</v>
      </c>
      <c r="T6" s="22">
        <v>2</v>
      </c>
      <c r="U6" s="22">
        <v>1</v>
      </c>
      <c r="V6" s="22">
        <v>5</v>
      </c>
      <c r="W6" s="22">
        <v>3</v>
      </c>
      <c r="X6" s="22">
        <v>2</v>
      </c>
      <c r="Y6" s="18"/>
      <c r="Z6" s="22">
        <v>2</v>
      </c>
      <c r="AA6" s="22">
        <v>2</v>
      </c>
      <c r="AB6" s="18" t="s">
        <v>221</v>
      </c>
      <c r="AC6" s="22">
        <v>7</v>
      </c>
      <c r="AD6" s="22">
        <v>2</v>
      </c>
      <c r="AE6" s="18" t="s">
        <v>221</v>
      </c>
      <c r="AF6" s="22">
        <v>99</v>
      </c>
      <c r="AG6" s="18"/>
      <c r="AH6" s="22">
        <v>99</v>
      </c>
      <c r="AI6" s="28">
        <v>99</v>
      </c>
      <c r="AJ6" s="18"/>
      <c r="AK6" s="22">
        <v>99</v>
      </c>
      <c r="AL6" s="22">
        <v>99</v>
      </c>
      <c r="AM6" s="22">
        <v>99</v>
      </c>
      <c r="AN6" s="22">
        <v>99</v>
      </c>
      <c r="AO6" s="22">
        <v>99</v>
      </c>
      <c r="AP6" s="22">
        <v>99</v>
      </c>
      <c r="AQ6" s="18" t="s">
        <v>221</v>
      </c>
      <c r="AR6" s="18" t="s">
        <v>221</v>
      </c>
      <c r="AS6" s="22">
        <v>99</v>
      </c>
      <c r="AT6" s="22">
        <v>99</v>
      </c>
      <c r="AU6" s="22">
        <v>3</v>
      </c>
      <c r="AV6" s="22">
        <v>3</v>
      </c>
      <c r="AW6" s="22">
        <v>4</v>
      </c>
      <c r="AX6" s="37">
        <v>4</v>
      </c>
      <c r="AY6" s="22">
        <v>4</v>
      </c>
      <c r="AZ6" s="22">
        <v>2</v>
      </c>
      <c r="BA6" s="38">
        <v>99</v>
      </c>
      <c r="BB6" s="22">
        <v>99</v>
      </c>
      <c r="BC6" s="18"/>
      <c r="BD6" s="22">
        <v>99</v>
      </c>
      <c r="BE6" s="37">
        <v>99</v>
      </c>
      <c r="BF6" s="22">
        <v>0</v>
      </c>
      <c r="BG6" s="22">
        <v>1</v>
      </c>
      <c r="BH6" s="22">
        <v>1</v>
      </c>
      <c r="BI6" s="22">
        <v>1</v>
      </c>
      <c r="BJ6" s="18"/>
    </row>
    <row r="7" spans="1:62" ht="15.75" customHeight="1">
      <c r="A7" s="22" t="s">
        <v>517</v>
      </c>
      <c r="B7" s="25" t="s">
        <v>32</v>
      </c>
      <c r="C7" s="22"/>
      <c r="D7" s="22"/>
      <c r="E7" s="22">
        <v>2</v>
      </c>
      <c r="F7" s="22">
        <v>1</v>
      </c>
      <c r="G7" s="28">
        <v>28</v>
      </c>
      <c r="H7" s="28">
        <v>6</v>
      </c>
      <c r="I7" s="30">
        <v>1948</v>
      </c>
      <c r="J7" s="34">
        <f t="shared" si="0"/>
        <v>17712</v>
      </c>
      <c r="K7" s="35" t="s">
        <v>221</v>
      </c>
      <c r="L7" s="25" t="s">
        <v>518</v>
      </c>
      <c r="M7" s="30">
        <v>5</v>
      </c>
      <c r="N7" s="17" t="s">
        <v>32</v>
      </c>
      <c r="O7" s="17"/>
      <c r="P7" s="25" t="s">
        <v>519</v>
      </c>
      <c r="Q7" s="25" t="s">
        <v>520</v>
      </c>
      <c r="R7" s="25">
        <v>33.049922000000002</v>
      </c>
      <c r="S7" s="25">
        <v>35.487062000000002</v>
      </c>
      <c r="T7" s="22">
        <v>2</v>
      </c>
      <c r="U7" s="22">
        <v>1</v>
      </c>
      <c r="V7" s="22">
        <v>5</v>
      </c>
      <c r="W7" s="22">
        <v>2</v>
      </c>
      <c r="X7" s="22">
        <v>2</v>
      </c>
      <c r="Y7" s="18"/>
      <c r="Z7" s="22">
        <v>2</v>
      </c>
      <c r="AA7" s="22">
        <v>2</v>
      </c>
      <c r="AB7" s="18" t="s">
        <v>221</v>
      </c>
      <c r="AC7" s="22">
        <v>6</v>
      </c>
      <c r="AD7" s="22">
        <v>2</v>
      </c>
      <c r="AE7" s="18" t="s">
        <v>221</v>
      </c>
      <c r="AF7" s="22">
        <v>99</v>
      </c>
      <c r="AG7" s="18"/>
      <c r="AH7" s="22">
        <v>99</v>
      </c>
      <c r="AI7" s="28">
        <v>99</v>
      </c>
      <c r="AJ7" s="18"/>
      <c r="AK7" s="22">
        <v>99</v>
      </c>
      <c r="AL7" s="22">
        <v>99</v>
      </c>
      <c r="AM7" s="22">
        <v>99</v>
      </c>
      <c r="AN7" s="22">
        <v>99</v>
      </c>
      <c r="AO7" s="22">
        <v>99</v>
      </c>
      <c r="AP7" s="22">
        <v>99</v>
      </c>
      <c r="AQ7" s="18" t="s">
        <v>221</v>
      </c>
      <c r="AR7" s="18" t="s">
        <v>221</v>
      </c>
      <c r="AS7" s="22">
        <v>99</v>
      </c>
      <c r="AT7" s="22">
        <v>4</v>
      </c>
      <c r="AU7" s="22">
        <v>3</v>
      </c>
      <c r="AV7" s="22">
        <v>3</v>
      </c>
      <c r="AW7" s="22">
        <v>4</v>
      </c>
      <c r="AX7" s="37">
        <v>4</v>
      </c>
      <c r="AY7" s="22">
        <v>4</v>
      </c>
      <c r="AZ7" s="22">
        <v>2</v>
      </c>
      <c r="BA7" s="38">
        <v>99</v>
      </c>
      <c r="BB7" s="22">
        <v>99</v>
      </c>
      <c r="BC7" s="18"/>
      <c r="BD7" s="22">
        <v>99</v>
      </c>
      <c r="BE7" s="37">
        <v>99</v>
      </c>
      <c r="BF7" s="22">
        <v>4</v>
      </c>
      <c r="BG7" s="22">
        <v>999</v>
      </c>
      <c r="BH7" s="22">
        <v>4</v>
      </c>
      <c r="BI7" s="22">
        <v>4</v>
      </c>
      <c r="BJ7" s="22">
        <v>7</v>
      </c>
    </row>
    <row r="8" spans="1:62" ht="15.75" customHeight="1">
      <c r="A8" s="22" t="s">
        <v>522</v>
      </c>
      <c r="B8" s="25" t="s">
        <v>523</v>
      </c>
      <c r="C8" s="22"/>
      <c r="D8" s="22"/>
      <c r="E8" s="22">
        <v>1</v>
      </c>
      <c r="F8" s="22">
        <v>1</v>
      </c>
      <c r="G8" s="28">
        <v>2</v>
      </c>
      <c r="H8" s="28">
        <v>7</v>
      </c>
      <c r="I8" s="30">
        <v>1948</v>
      </c>
      <c r="J8" s="34">
        <f t="shared" si="0"/>
        <v>17716</v>
      </c>
      <c r="K8" s="11" t="s">
        <v>524</v>
      </c>
      <c r="L8" s="25" t="s">
        <v>525</v>
      </c>
      <c r="M8" s="30">
        <v>1</v>
      </c>
      <c r="N8" s="17" t="s">
        <v>233</v>
      </c>
      <c r="O8" s="17"/>
      <c r="P8" s="25" t="s">
        <v>526</v>
      </c>
      <c r="Q8" s="25" t="s">
        <v>527</v>
      </c>
      <c r="R8" s="25">
        <v>31.518459</v>
      </c>
      <c r="S8" s="25">
        <v>34.580544000000003</v>
      </c>
      <c r="T8" s="22">
        <v>2</v>
      </c>
      <c r="U8" s="22">
        <v>2</v>
      </c>
      <c r="V8" s="22">
        <v>1</v>
      </c>
      <c r="W8" s="22">
        <v>4</v>
      </c>
      <c r="X8" s="22">
        <v>2</v>
      </c>
      <c r="Y8" s="18"/>
      <c r="Z8" s="22">
        <v>3</v>
      </c>
      <c r="AA8" s="22">
        <v>1</v>
      </c>
      <c r="AB8" s="18" t="s">
        <v>221</v>
      </c>
      <c r="AC8" s="22">
        <v>6</v>
      </c>
      <c r="AD8" s="22">
        <v>2</v>
      </c>
      <c r="AE8" s="18" t="s">
        <v>221</v>
      </c>
      <c r="AF8" s="22">
        <v>99</v>
      </c>
      <c r="AG8" s="18"/>
      <c r="AH8" s="22">
        <v>99</v>
      </c>
      <c r="AI8" s="28">
        <v>99</v>
      </c>
      <c r="AJ8" s="18"/>
      <c r="AK8" s="22">
        <v>99</v>
      </c>
      <c r="AL8" s="22">
        <v>99</v>
      </c>
      <c r="AM8" s="22">
        <v>99</v>
      </c>
      <c r="AN8" s="22">
        <v>99</v>
      </c>
      <c r="AO8" s="22">
        <v>99</v>
      </c>
      <c r="AP8" s="22">
        <v>99</v>
      </c>
      <c r="AQ8" s="18" t="s">
        <v>221</v>
      </c>
      <c r="AR8" s="18" t="s">
        <v>221</v>
      </c>
      <c r="AS8" s="22">
        <v>99</v>
      </c>
      <c r="AT8" s="22">
        <v>99</v>
      </c>
      <c r="AU8" s="22">
        <v>3</v>
      </c>
      <c r="AV8" s="22">
        <v>3</v>
      </c>
      <c r="AW8" s="22">
        <v>4</v>
      </c>
      <c r="AX8" s="37">
        <v>4</v>
      </c>
      <c r="AY8" s="22">
        <v>4</v>
      </c>
      <c r="AZ8" s="22">
        <v>2</v>
      </c>
      <c r="BA8" s="38">
        <v>99</v>
      </c>
      <c r="BB8" s="22">
        <v>99</v>
      </c>
      <c r="BC8" s="18"/>
      <c r="BD8" s="22">
        <v>99</v>
      </c>
      <c r="BE8" s="37">
        <v>99</v>
      </c>
      <c r="BF8" s="22">
        <v>999</v>
      </c>
      <c r="BG8" s="22">
        <v>1</v>
      </c>
      <c r="BH8" s="22">
        <v>1</v>
      </c>
      <c r="BI8" s="22">
        <v>1</v>
      </c>
      <c r="BJ8" s="22">
        <v>8</v>
      </c>
    </row>
    <row r="9" spans="1:62" ht="15.75" customHeight="1">
      <c r="A9" s="22" t="s">
        <v>528</v>
      </c>
      <c r="B9" s="25" t="s">
        <v>32</v>
      </c>
      <c r="C9" s="22"/>
      <c r="D9" s="22"/>
      <c r="E9" s="22">
        <v>1</v>
      </c>
      <c r="F9" s="22">
        <v>1</v>
      </c>
      <c r="G9" s="28">
        <v>10</v>
      </c>
      <c r="H9" s="28">
        <v>8</v>
      </c>
      <c r="I9" s="30">
        <v>1948</v>
      </c>
      <c r="J9" s="34">
        <f t="shared" si="0"/>
        <v>17755</v>
      </c>
      <c r="K9" s="35" t="s">
        <v>221</v>
      </c>
      <c r="L9" s="25" t="s">
        <v>529</v>
      </c>
      <c r="M9" s="30">
        <v>5</v>
      </c>
      <c r="N9" s="17" t="s">
        <v>32</v>
      </c>
      <c r="O9" s="17"/>
      <c r="P9" s="25" t="s">
        <v>531</v>
      </c>
      <c r="Q9" s="25" t="s">
        <v>532</v>
      </c>
      <c r="R9" s="25">
        <v>31.252973000000001</v>
      </c>
      <c r="S9" s="25">
        <v>34.791462000000003</v>
      </c>
      <c r="T9" s="22">
        <v>2</v>
      </c>
      <c r="U9" s="22">
        <v>2</v>
      </c>
      <c r="V9" s="22">
        <v>5</v>
      </c>
      <c r="W9" s="22">
        <v>4</v>
      </c>
      <c r="X9" s="22">
        <v>2</v>
      </c>
      <c r="Y9" s="18"/>
      <c r="Z9" s="22">
        <v>2</v>
      </c>
      <c r="AA9" s="22">
        <v>2</v>
      </c>
      <c r="AB9" s="18" t="s">
        <v>221</v>
      </c>
      <c r="AC9" s="22">
        <v>11</v>
      </c>
      <c r="AD9" s="22">
        <v>2</v>
      </c>
      <c r="AE9" s="18" t="s">
        <v>221</v>
      </c>
      <c r="AF9" s="22">
        <v>99</v>
      </c>
      <c r="AG9" s="18"/>
      <c r="AH9" s="22">
        <v>99</v>
      </c>
      <c r="AI9" s="28">
        <v>99</v>
      </c>
      <c r="AJ9" s="18"/>
      <c r="AK9" s="22">
        <v>99</v>
      </c>
      <c r="AL9" s="22">
        <v>99</v>
      </c>
      <c r="AM9" s="22">
        <v>99</v>
      </c>
      <c r="AN9" s="22">
        <v>99</v>
      </c>
      <c r="AO9" s="22">
        <v>99</v>
      </c>
      <c r="AP9" s="22">
        <v>99</v>
      </c>
      <c r="AQ9" s="18" t="s">
        <v>221</v>
      </c>
      <c r="AR9" s="18" t="s">
        <v>221</v>
      </c>
      <c r="AS9" s="22">
        <v>99</v>
      </c>
      <c r="AT9" s="22">
        <v>99</v>
      </c>
      <c r="AU9" s="22">
        <v>3</v>
      </c>
      <c r="AV9" s="22">
        <v>3</v>
      </c>
      <c r="AW9" s="22">
        <v>4</v>
      </c>
      <c r="AX9" s="37">
        <v>4</v>
      </c>
      <c r="AY9" s="22">
        <v>4</v>
      </c>
      <c r="AZ9" s="22">
        <v>2</v>
      </c>
      <c r="BA9" s="38">
        <v>99</v>
      </c>
      <c r="BB9" s="22">
        <v>99</v>
      </c>
      <c r="BC9" s="18"/>
      <c r="BD9" s="22">
        <v>99</v>
      </c>
      <c r="BE9" s="37">
        <v>99</v>
      </c>
      <c r="BF9" s="22">
        <v>999</v>
      </c>
      <c r="BG9" s="22">
        <v>999</v>
      </c>
      <c r="BH9" s="22">
        <v>999</v>
      </c>
      <c r="BI9" s="22">
        <v>3</v>
      </c>
      <c r="BJ9" s="22">
        <v>7</v>
      </c>
    </row>
    <row r="10" spans="1:62" ht="15.75" customHeight="1">
      <c r="A10" s="22" t="s">
        <v>533</v>
      </c>
      <c r="B10" s="22"/>
      <c r="C10" s="22"/>
      <c r="D10" s="22"/>
      <c r="E10" s="22">
        <v>2</v>
      </c>
      <c r="F10" s="22">
        <v>1</v>
      </c>
      <c r="G10" s="28">
        <v>20</v>
      </c>
      <c r="H10" s="28">
        <v>8</v>
      </c>
      <c r="I10" s="30">
        <v>1948</v>
      </c>
      <c r="J10" s="34">
        <f t="shared" si="0"/>
        <v>17765</v>
      </c>
      <c r="K10" s="11" t="s">
        <v>534</v>
      </c>
      <c r="L10" s="25" t="s">
        <v>535</v>
      </c>
      <c r="M10" s="51"/>
      <c r="N10" s="52"/>
      <c r="O10" s="52"/>
      <c r="P10" s="25" t="s">
        <v>536</v>
      </c>
      <c r="Q10" s="25" t="s">
        <v>537</v>
      </c>
      <c r="R10" s="25">
        <v>31.663664600000001</v>
      </c>
      <c r="S10" s="25">
        <v>35.1390575</v>
      </c>
      <c r="T10" s="22">
        <v>1</v>
      </c>
      <c r="U10" s="22">
        <v>1</v>
      </c>
      <c r="V10" s="22">
        <v>1</v>
      </c>
      <c r="W10" s="22">
        <v>4</v>
      </c>
      <c r="X10" s="22">
        <v>2</v>
      </c>
      <c r="Y10" s="18"/>
      <c r="Z10" s="22">
        <v>1</v>
      </c>
      <c r="AA10" s="22">
        <v>2</v>
      </c>
      <c r="AB10" s="18" t="s">
        <v>221</v>
      </c>
      <c r="AC10" s="22">
        <v>14</v>
      </c>
      <c r="AD10" s="22">
        <v>2</v>
      </c>
      <c r="AE10" s="18" t="s">
        <v>221</v>
      </c>
      <c r="AF10" s="22">
        <v>99</v>
      </c>
      <c r="AG10" s="18"/>
      <c r="AH10" s="22">
        <v>99</v>
      </c>
      <c r="AI10" s="28">
        <v>99</v>
      </c>
      <c r="AJ10" s="18"/>
      <c r="AK10" s="22">
        <v>99</v>
      </c>
      <c r="AL10" s="22">
        <v>99</v>
      </c>
      <c r="AM10" s="22">
        <v>99</v>
      </c>
      <c r="AN10" s="22">
        <v>99</v>
      </c>
      <c r="AO10" s="22">
        <v>99</v>
      </c>
      <c r="AP10" s="22">
        <v>99</v>
      </c>
      <c r="AQ10" s="22" t="s">
        <v>540</v>
      </c>
      <c r="AR10" s="18" t="s">
        <v>221</v>
      </c>
      <c r="AS10" s="22">
        <v>99</v>
      </c>
      <c r="AT10" s="22">
        <v>4</v>
      </c>
      <c r="AU10" s="22">
        <v>3</v>
      </c>
      <c r="AV10" s="22">
        <v>3</v>
      </c>
      <c r="AW10" s="22">
        <v>4</v>
      </c>
      <c r="AX10" s="37">
        <v>4</v>
      </c>
      <c r="AY10" s="22">
        <v>4</v>
      </c>
      <c r="AZ10" s="22">
        <v>2</v>
      </c>
      <c r="BA10" s="38">
        <v>99</v>
      </c>
      <c r="BB10" s="22">
        <v>99</v>
      </c>
      <c r="BC10" s="18"/>
      <c r="BD10" s="22">
        <v>99</v>
      </c>
      <c r="BE10" s="37">
        <v>99</v>
      </c>
      <c r="BF10" s="22">
        <v>5</v>
      </c>
      <c r="BG10" s="22">
        <v>0</v>
      </c>
      <c r="BH10" s="22">
        <v>0</v>
      </c>
      <c r="BI10" s="22">
        <v>5</v>
      </c>
      <c r="BJ10" s="18"/>
    </row>
    <row r="11" spans="1:62" ht="15.75" customHeight="1">
      <c r="A11" s="22" t="s">
        <v>541</v>
      </c>
      <c r="B11" s="25" t="s">
        <v>542</v>
      </c>
      <c r="C11" s="22"/>
      <c r="D11" s="22"/>
      <c r="E11" s="22">
        <v>1</v>
      </c>
      <c r="F11" s="22">
        <v>1</v>
      </c>
      <c r="G11" s="28">
        <v>6</v>
      </c>
      <c r="H11" s="28">
        <v>9</v>
      </c>
      <c r="I11" s="30">
        <v>1948</v>
      </c>
      <c r="J11" s="34">
        <f t="shared" si="0"/>
        <v>17782</v>
      </c>
      <c r="K11" s="11" t="s">
        <v>543</v>
      </c>
      <c r="L11" s="25" t="s">
        <v>544</v>
      </c>
      <c r="M11" s="30">
        <v>5</v>
      </c>
      <c r="N11" s="17" t="s">
        <v>32</v>
      </c>
      <c r="O11" s="17"/>
      <c r="P11" s="25" t="s">
        <v>539</v>
      </c>
      <c r="Q11" s="25" t="s">
        <v>545</v>
      </c>
      <c r="R11" s="25">
        <v>32.085299900000003</v>
      </c>
      <c r="S11" s="25">
        <v>34.781767599999903</v>
      </c>
      <c r="T11" s="22">
        <v>2</v>
      </c>
      <c r="U11" s="22">
        <v>2</v>
      </c>
      <c r="V11" s="22">
        <v>5</v>
      </c>
      <c r="W11" s="22">
        <v>1</v>
      </c>
      <c r="X11" s="22">
        <v>2</v>
      </c>
      <c r="Y11" s="18"/>
      <c r="Z11" s="22">
        <v>2</v>
      </c>
      <c r="AA11" s="22">
        <v>2</v>
      </c>
      <c r="AB11" s="18" t="s">
        <v>221</v>
      </c>
      <c r="AC11" s="22">
        <v>6</v>
      </c>
      <c r="AD11" s="22">
        <v>2</v>
      </c>
      <c r="AE11" s="18" t="s">
        <v>221</v>
      </c>
      <c r="AF11" s="22">
        <v>99</v>
      </c>
      <c r="AG11" s="18"/>
      <c r="AH11" s="22">
        <v>99</v>
      </c>
      <c r="AI11" s="28">
        <v>99</v>
      </c>
      <c r="AJ11" s="18"/>
      <c r="AK11" s="22">
        <v>99</v>
      </c>
      <c r="AL11" s="22">
        <v>99</v>
      </c>
      <c r="AM11" s="22">
        <v>99</v>
      </c>
      <c r="AN11" s="22">
        <v>99</v>
      </c>
      <c r="AO11" s="22">
        <v>99</v>
      </c>
      <c r="AP11" s="22">
        <v>99</v>
      </c>
      <c r="AQ11" s="18" t="s">
        <v>221</v>
      </c>
      <c r="AR11" s="18" t="s">
        <v>221</v>
      </c>
      <c r="AS11" s="22">
        <v>99</v>
      </c>
      <c r="AT11" s="22">
        <v>99</v>
      </c>
      <c r="AU11" s="22">
        <v>3</v>
      </c>
      <c r="AV11" s="22">
        <v>3</v>
      </c>
      <c r="AW11" s="22">
        <v>4</v>
      </c>
      <c r="AX11" s="37">
        <v>4</v>
      </c>
      <c r="AY11" s="22">
        <v>4</v>
      </c>
      <c r="AZ11" s="22">
        <v>2</v>
      </c>
      <c r="BA11" s="38">
        <v>99</v>
      </c>
      <c r="BB11" s="22">
        <v>99</v>
      </c>
      <c r="BC11" s="18"/>
      <c r="BD11" s="22">
        <v>99</v>
      </c>
      <c r="BE11" s="37">
        <v>99</v>
      </c>
      <c r="BF11" s="22">
        <v>999</v>
      </c>
      <c r="BG11" s="22">
        <v>999</v>
      </c>
      <c r="BH11" s="22">
        <v>999</v>
      </c>
      <c r="BI11" s="18"/>
      <c r="BJ11" s="22">
        <v>7</v>
      </c>
    </row>
    <row r="12" spans="1:62" ht="15.75" customHeight="1">
      <c r="A12" s="22" t="s">
        <v>550</v>
      </c>
      <c r="B12" s="25" t="s">
        <v>551</v>
      </c>
      <c r="C12" s="22"/>
      <c r="D12" s="22"/>
      <c r="E12" s="22">
        <v>1</v>
      </c>
      <c r="F12" s="22">
        <v>1</v>
      </c>
      <c r="G12" s="28">
        <v>13</v>
      </c>
      <c r="H12" s="28">
        <v>9</v>
      </c>
      <c r="I12" s="30">
        <v>1948</v>
      </c>
      <c r="J12" s="34">
        <f t="shared" si="0"/>
        <v>17789</v>
      </c>
      <c r="K12" s="39" t="s">
        <v>328</v>
      </c>
      <c r="L12" s="25" t="s">
        <v>546</v>
      </c>
      <c r="M12" s="30">
        <v>3</v>
      </c>
      <c r="N12" s="17" t="s">
        <v>552</v>
      </c>
      <c r="O12" s="17"/>
      <c r="P12" s="25" t="s">
        <v>547</v>
      </c>
      <c r="Q12" s="25" t="s">
        <v>553</v>
      </c>
      <c r="R12" s="25">
        <v>31.681260399999999</v>
      </c>
      <c r="S12" s="25">
        <v>34.585908400000001</v>
      </c>
      <c r="T12" s="22">
        <v>2</v>
      </c>
      <c r="U12" s="22">
        <v>1</v>
      </c>
      <c r="V12" s="22">
        <v>1</v>
      </c>
      <c r="W12" s="18"/>
      <c r="X12" s="22">
        <v>2</v>
      </c>
      <c r="Y12" s="18"/>
      <c r="Z12" s="22">
        <v>3</v>
      </c>
      <c r="AA12" s="22">
        <v>1</v>
      </c>
      <c r="AB12" s="18" t="s">
        <v>221</v>
      </c>
      <c r="AC12" s="22">
        <v>99</v>
      </c>
      <c r="AD12" s="22">
        <v>2</v>
      </c>
      <c r="AE12" s="18" t="s">
        <v>221</v>
      </c>
      <c r="AF12" s="22">
        <v>99</v>
      </c>
      <c r="AG12" s="18"/>
      <c r="AH12" s="22">
        <v>99</v>
      </c>
      <c r="AI12" s="28">
        <v>99</v>
      </c>
      <c r="AJ12" s="18"/>
      <c r="AK12" s="22">
        <v>99</v>
      </c>
      <c r="AL12" s="22">
        <v>99</v>
      </c>
      <c r="AM12" s="22">
        <v>99</v>
      </c>
      <c r="AN12" s="22">
        <v>99</v>
      </c>
      <c r="AO12" s="22">
        <v>99</v>
      </c>
      <c r="AP12" s="22">
        <v>99</v>
      </c>
      <c r="AQ12" s="18" t="s">
        <v>221</v>
      </c>
      <c r="AR12" s="18" t="s">
        <v>221</v>
      </c>
      <c r="AS12" s="22">
        <v>3</v>
      </c>
      <c r="AT12" s="22">
        <v>6</v>
      </c>
      <c r="AU12" s="22">
        <v>3</v>
      </c>
      <c r="AV12" s="22">
        <v>3</v>
      </c>
      <c r="AW12" s="22">
        <v>4</v>
      </c>
      <c r="AX12" s="37">
        <v>4</v>
      </c>
      <c r="AY12" s="22">
        <v>4</v>
      </c>
      <c r="AZ12" s="22">
        <v>2</v>
      </c>
      <c r="BA12" s="38">
        <v>99</v>
      </c>
      <c r="BB12" s="22">
        <v>99</v>
      </c>
      <c r="BC12" s="18"/>
      <c r="BD12" s="22">
        <v>99</v>
      </c>
      <c r="BE12" s="37">
        <v>99</v>
      </c>
      <c r="BF12" s="22">
        <v>0</v>
      </c>
      <c r="BG12" s="22">
        <v>2</v>
      </c>
      <c r="BH12" s="22">
        <v>2</v>
      </c>
      <c r="BI12" s="22">
        <v>2</v>
      </c>
      <c r="BJ12" s="22">
        <v>8</v>
      </c>
    </row>
    <row r="13" spans="1:62" ht="15.75" customHeight="1">
      <c r="A13" s="22" t="s">
        <v>555</v>
      </c>
      <c r="B13" s="25" t="s">
        <v>559</v>
      </c>
      <c r="C13" s="22"/>
      <c r="D13" s="22"/>
      <c r="E13" s="22">
        <v>2</v>
      </c>
      <c r="F13" s="22">
        <v>99</v>
      </c>
      <c r="G13" s="28">
        <v>1</v>
      </c>
      <c r="H13" s="28">
        <v>3</v>
      </c>
      <c r="I13" s="30">
        <v>1949</v>
      </c>
      <c r="J13" s="34">
        <f t="shared" si="0"/>
        <v>17958</v>
      </c>
      <c r="K13" s="11" t="s">
        <v>562</v>
      </c>
      <c r="L13" s="25" t="s">
        <v>548</v>
      </c>
      <c r="M13" s="30">
        <v>99</v>
      </c>
      <c r="N13" s="52"/>
      <c r="O13" s="52"/>
      <c r="P13" s="25" t="s">
        <v>531</v>
      </c>
      <c r="Q13" s="25" t="s">
        <v>532</v>
      </c>
      <c r="R13" s="25">
        <v>31.252973000000001</v>
      </c>
      <c r="S13" s="25">
        <v>34.791462000000003</v>
      </c>
      <c r="T13" s="22">
        <v>2</v>
      </c>
      <c r="U13" s="22">
        <v>2</v>
      </c>
      <c r="V13" s="22">
        <v>1</v>
      </c>
      <c r="W13" s="22">
        <v>4</v>
      </c>
      <c r="X13" s="22">
        <v>2</v>
      </c>
      <c r="Y13" s="18"/>
      <c r="Z13" s="22">
        <v>1</v>
      </c>
      <c r="AA13" s="22">
        <v>2</v>
      </c>
      <c r="AB13" s="18" t="s">
        <v>221</v>
      </c>
      <c r="AC13" s="22">
        <v>99</v>
      </c>
      <c r="AD13" s="22">
        <v>2</v>
      </c>
      <c r="AE13" s="18" t="s">
        <v>221</v>
      </c>
      <c r="AF13" s="22">
        <v>99</v>
      </c>
      <c r="AG13" s="18"/>
      <c r="AH13" s="22">
        <v>99</v>
      </c>
      <c r="AI13" s="28">
        <v>99</v>
      </c>
      <c r="AJ13" s="18"/>
      <c r="AK13" s="22">
        <v>99</v>
      </c>
      <c r="AL13" s="22">
        <v>99</v>
      </c>
      <c r="AM13" s="22">
        <v>99</v>
      </c>
      <c r="AN13" s="22">
        <v>99</v>
      </c>
      <c r="AO13" s="22">
        <v>99</v>
      </c>
      <c r="AP13" s="22">
        <v>99</v>
      </c>
      <c r="AQ13" s="22" t="s">
        <v>568</v>
      </c>
      <c r="AR13" s="2" t="s">
        <v>570</v>
      </c>
      <c r="AS13" s="22">
        <v>4</v>
      </c>
      <c r="AT13" s="22">
        <v>4</v>
      </c>
      <c r="AU13" s="22">
        <v>3</v>
      </c>
      <c r="AV13" s="22">
        <v>3</v>
      </c>
      <c r="AW13" s="22">
        <v>4</v>
      </c>
      <c r="AX13" s="37">
        <v>4</v>
      </c>
      <c r="AY13" s="22">
        <v>4</v>
      </c>
      <c r="AZ13" s="22">
        <v>2</v>
      </c>
      <c r="BA13" s="38">
        <v>99</v>
      </c>
      <c r="BB13" s="22">
        <v>99</v>
      </c>
      <c r="BC13" s="18"/>
      <c r="BD13" s="22">
        <v>99</v>
      </c>
      <c r="BE13" s="37">
        <v>99</v>
      </c>
      <c r="BF13" s="22">
        <v>5</v>
      </c>
      <c r="BG13" s="22">
        <v>0</v>
      </c>
      <c r="BH13" s="22">
        <v>5</v>
      </c>
      <c r="BI13" s="22">
        <v>5</v>
      </c>
      <c r="BJ13" s="22">
        <v>9</v>
      </c>
    </row>
    <row r="14" spans="1:62" ht="15.75" customHeight="1">
      <c r="A14" s="22" t="s">
        <v>574</v>
      </c>
      <c r="B14" s="25" t="s">
        <v>576</v>
      </c>
      <c r="C14" s="22"/>
      <c r="D14" s="22"/>
      <c r="E14" s="22">
        <v>2</v>
      </c>
      <c r="F14" s="22">
        <v>1</v>
      </c>
      <c r="G14" s="28">
        <v>19</v>
      </c>
      <c r="H14" s="28">
        <v>4</v>
      </c>
      <c r="I14" s="30">
        <v>1949</v>
      </c>
      <c r="J14" s="34">
        <f t="shared" si="0"/>
        <v>18007</v>
      </c>
      <c r="K14" s="11" t="s">
        <v>581</v>
      </c>
      <c r="L14" s="25" t="s">
        <v>554</v>
      </c>
      <c r="M14" s="30">
        <v>7</v>
      </c>
      <c r="N14" s="17" t="s">
        <v>447</v>
      </c>
      <c r="O14" s="17"/>
      <c r="P14" s="18"/>
      <c r="Q14" s="41" t="s">
        <v>582</v>
      </c>
      <c r="R14" s="42">
        <v>39.912941199999999</v>
      </c>
      <c r="S14" s="42">
        <v>-104.79560549999999</v>
      </c>
      <c r="T14" s="22">
        <v>2</v>
      </c>
      <c r="U14" s="22">
        <v>2</v>
      </c>
      <c r="V14" s="22">
        <v>1</v>
      </c>
      <c r="W14" s="22">
        <v>2</v>
      </c>
      <c r="X14" s="22">
        <v>2</v>
      </c>
      <c r="Y14" s="18"/>
      <c r="Z14" s="22">
        <v>3</v>
      </c>
      <c r="AA14" s="22">
        <v>2</v>
      </c>
      <c r="AB14" s="18" t="s">
        <v>221</v>
      </c>
      <c r="AC14" s="22">
        <v>7</v>
      </c>
      <c r="AD14" s="22">
        <v>2</v>
      </c>
      <c r="AE14" s="18" t="s">
        <v>221</v>
      </c>
      <c r="AF14" s="22">
        <v>99</v>
      </c>
      <c r="AG14" s="18"/>
      <c r="AH14" s="22">
        <v>99</v>
      </c>
      <c r="AI14" s="28">
        <v>99</v>
      </c>
      <c r="AJ14" s="18"/>
      <c r="AK14" s="22">
        <v>99</v>
      </c>
      <c r="AL14" s="22">
        <v>99</v>
      </c>
      <c r="AM14" s="22">
        <v>99</v>
      </c>
      <c r="AN14" s="22">
        <v>99</v>
      </c>
      <c r="AO14" s="22">
        <v>99</v>
      </c>
      <c r="AP14" s="22">
        <v>99</v>
      </c>
      <c r="AQ14" s="18" t="s">
        <v>221</v>
      </c>
      <c r="AR14" s="18" t="s">
        <v>221</v>
      </c>
      <c r="AS14" s="22">
        <v>1</v>
      </c>
      <c r="AT14" s="22">
        <v>6</v>
      </c>
      <c r="AU14" s="22">
        <v>3</v>
      </c>
      <c r="AV14" s="22">
        <v>3</v>
      </c>
      <c r="AW14" s="22">
        <v>4</v>
      </c>
      <c r="AX14" s="37">
        <v>4</v>
      </c>
      <c r="AY14" s="22">
        <v>4</v>
      </c>
      <c r="AZ14" s="22">
        <v>2</v>
      </c>
      <c r="BA14" s="38">
        <v>99</v>
      </c>
      <c r="BB14" s="22">
        <v>99</v>
      </c>
      <c r="BC14" s="18"/>
      <c r="BD14" s="22">
        <v>99</v>
      </c>
      <c r="BE14" s="37">
        <v>99</v>
      </c>
      <c r="BF14" s="22">
        <v>0</v>
      </c>
      <c r="BG14" s="22">
        <v>3</v>
      </c>
      <c r="BH14" s="22">
        <v>3</v>
      </c>
      <c r="BI14" s="22">
        <v>3</v>
      </c>
      <c r="BJ14" s="22">
        <v>9</v>
      </c>
    </row>
    <row r="15" spans="1:62" ht="15.75" customHeight="1">
      <c r="A15" s="22" t="s">
        <v>584</v>
      </c>
      <c r="B15" s="25" t="s">
        <v>586</v>
      </c>
      <c r="C15" s="22"/>
      <c r="D15" s="22"/>
      <c r="E15" s="22">
        <v>1</v>
      </c>
      <c r="F15" s="22">
        <v>1</v>
      </c>
      <c r="G15" s="57"/>
      <c r="H15" s="57"/>
      <c r="I15" s="30">
        <v>1950</v>
      </c>
      <c r="J15" s="34">
        <f t="shared" si="0"/>
        <v>18232</v>
      </c>
      <c r="K15" s="39" t="s">
        <v>328</v>
      </c>
      <c r="L15" s="25" t="s">
        <v>557</v>
      </c>
      <c r="M15" s="30">
        <v>3</v>
      </c>
      <c r="N15" s="17" t="s">
        <v>552</v>
      </c>
      <c r="O15" s="17"/>
      <c r="P15" s="25" t="s">
        <v>558</v>
      </c>
      <c r="Q15" s="25" t="s">
        <v>603</v>
      </c>
      <c r="R15" s="25">
        <v>31.560907</v>
      </c>
      <c r="S15" s="25">
        <v>34.844090000000001</v>
      </c>
      <c r="T15" s="22">
        <v>2</v>
      </c>
      <c r="U15" s="22">
        <v>1</v>
      </c>
      <c r="V15" s="22">
        <v>1</v>
      </c>
      <c r="W15" s="18"/>
      <c r="X15" s="22">
        <v>2</v>
      </c>
      <c r="Y15" s="18"/>
      <c r="Z15" s="22">
        <v>5</v>
      </c>
      <c r="AA15" s="22">
        <v>99</v>
      </c>
      <c r="AB15" s="18" t="s">
        <v>221</v>
      </c>
      <c r="AC15" s="22">
        <v>6</v>
      </c>
      <c r="AD15" s="22">
        <v>2</v>
      </c>
      <c r="AE15" s="18" t="s">
        <v>221</v>
      </c>
      <c r="AF15" s="22">
        <v>99</v>
      </c>
      <c r="AG15" s="18"/>
      <c r="AH15" s="22">
        <v>99</v>
      </c>
      <c r="AI15" s="28">
        <v>99</v>
      </c>
      <c r="AJ15" s="18"/>
      <c r="AK15" s="22">
        <v>99</v>
      </c>
      <c r="AL15" s="22">
        <v>99</v>
      </c>
      <c r="AM15" s="22">
        <v>99</v>
      </c>
      <c r="AN15" s="22">
        <v>2</v>
      </c>
      <c r="AO15" s="22">
        <v>99</v>
      </c>
      <c r="AP15" s="22">
        <v>99</v>
      </c>
      <c r="AQ15" s="22" t="s">
        <v>607</v>
      </c>
      <c r="AR15" s="2" t="s">
        <v>608</v>
      </c>
      <c r="AS15" s="22">
        <v>5</v>
      </c>
      <c r="AT15" s="22">
        <v>6</v>
      </c>
      <c r="AU15" s="22">
        <v>3</v>
      </c>
      <c r="AV15" s="22">
        <v>3</v>
      </c>
      <c r="AW15" s="22">
        <v>4</v>
      </c>
      <c r="AX15" s="37">
        <v>4</v>
      </c>
      <c r="AY15" s="22">
        <v>4</v>
      </c>
      <c r="AZ15" s="22">
        <v>2</v>
      </c>
      <c r="BA15" s="38">
        <v>99</v>
      </c>
      <c r="BB15" s="22">
        <v>99</v>
      </c>
      <c r="BC15" s="22">
        <v>99</v>
      </c>
      <c r="BD15" s="22">
        <v>99</v>
      </c>
      <c r="BE15" s="37">
        <v>99</v>
      </c>
      <c r="BF15" s="22">
        <v>1</v>
      </c>
      <c r="BG15" s="22">
        <v>2</v>
      </c>
      <c r="BH15" s="22">
        <v>3</v>
      </c>
      <c r="BI15" s="22">
        <v>3</v>
      </c>
      <c r="BJ15" s="22">
        <v>8</v>
      </c>
    </row>
    <row r="16" spans="1:62" ht="15.75" customHeight="1">
      <c r="A16" s="22" t="s">
        <v>612</v>
      </c>
      <c r="B16" s="22"/>
      <c r="C16" s="22"/>
      <c r="D16" s="22"/>
      <c r="E16" s="22">
        <v>1</v>
      </c>
      <c r="F16" s="22">
        <v>1</v>
      </c>
      <c r="G16" s="57"/>
      <c r="H16" s="57"/>
      <c r="I16" s="30">
        <v>1950</v>
      </c>
      <c r="J16" s="34">
        <f t="shared" si="0"/>
        <v>18232</v>
      </c>
      <c r="K16" s="39" t="s">
        <v>614</v>
      </c>
      <c r="L16" s="25" t="s">
        <v>560</v>
      </c>
      <c r="M16" s="30">
        <v>7</v>
      </c>
      <c r="N16" s="17" t="s">
        <v>447</v>
      </c>
      <c r="O16" s="17"/>
      <c r="P16" s="18"/>
      <c r="Q16" s="41" t="s">
        <v>582</v>
      </c>
      <c r="R16" s="42">
        <v>39.912941199999999</v>
      </c>
      <c r="S16" s="42">
        <v>-104.79560549999999</v>
      </c>
      <c r="T16" s="22">
        <v>2</v>
      </c>
      <c r="U16" s="22">
        <v>2</v>
      </c>
      <c r="V16" s="22">
        <v>5</v>
      </c>
      <c r="W16" s="22">
        <v>2</v>
      </c>
      <c r="X16" s="22">
        <v>2</v>
      </c>
      <c r="Y16" s="18"/>
      <c r="Z16" s="22">
        <v>1</v>
      </c>
      <c r="AA16" s="22">
        <v>2</v>
      </c>
      <c r="AB16" s="18" t="s">
        <v>221</v>
      </c>
      <c r="AC16" s="22">
        <v>14</v>
      </c>
      <c r="AD16" s="22">
        <v>2</v>
      </c>
      <c r="AE16" s="18" t="s">
        <v>221</v>
      </c>
      <c r="AF16" s="22">
        <v>1</v>
      </c>
      <c r="AG16" s="18"/>
      <c r="AH16" s="22">
        <v>99</v>
      </c>
      <c r="AI16" s="28">
        <v>99</v>
      </c>
      <c r="AJ16" s="18"/>
      <c r="AK16" s="22">
        <v>99</v>
      </c>
      <c r="AL16" s="22">
        <v>99</v>
      </c>
      <c r="AM16" s="22">
        <v>99</v>
      </c>
      <c r="AN16" s="22">
        <v>2</v>
      </c>
      <c r="AO16" s="22">
        <v>99</v>
      </c>
      <c r="AP16" s="22">
        <v>99</v>
      </c>
      <c r="AQ16" s="22" t="s">
        <v>620</v>
      </c>
      <c r="AR16" s="18" t="s">
        <v>221</v>
      </c>
      <c r="AS16" s="22">
        <v>99</v>
      </c>
      <c r="AT16" s="22">
        <v>6</v>
      </c>
      <c r="AU16" s="22">
        <v>3</v>
      </c>
      <c r="AV16" s="22">
        <v>3</v>
      </c>
      <c r="AW16" s="22">
        <v>4</v>
      </c>
      <c r="AX16" s="37">
        <v>4</v>
      </c>
      <c r="AY16" s="22">
        <v>4</v>
      </c>
      <c r="AZ16" s="22">
        <v>2</v>
      </c>
      <c r="BA16" s="38">
        <v>99</v>
      </c>
      <c r="BB16" s="22">
        <v>99</v>
      </c>
      <c r="BC16" s="22">
        <v>99</v>
      </c>
      <c r="BD16" s="22">
        <v>99</v>
      </c>
      <c r="BE16" s="37">
        <v>99</v>
      </c>
      <c r="BF16" s="22">
        <v>0</v>
      </c>
      <c r="BG16" s="22">
        <v>5</v>
      </c>
      <c r="BH16" s="22">
        <v>5</v>
      </c>
      <c r="BI16" s="22">
        <v>4</v>
      </c>
      <c r="BJ16" s="22">
        <v>9</v>
      </c>
    </row>
    <row r="17" spans="1:62" ht="15.75" customHeight="1">
      <c r="A17" s="22" t="s">
        <v>621</v>
      </c>
      <c r="B17" s="25" t="s">
        <v>622</v>
      </c>
      <c r="C17" s="22"/>
      <c r="D17" s="22"/>
      <c r="E17" s="22">
        <v>3</v>
      </c>
      <c r="F17" s="22">
        <v>1</v>
      </c>
      <c r="G17" s="28">
        <v>17</v>
      </c>
      <c r="H17" s="28">
        <v>3</v>
      </c>
      <c r="I17" s="30">
        <v>1950</v>
      </c>
      <c r="J17" s="34">
        <f t="shared" si="0"/>
        <v>18339</v>
      </c>
      <c r="K17" s="39" t="s">
        <v>328</v>
      </c>
      <c r="L17" s="25" t="s">
        <v>561</v>
      </c>
      <c r="M17" s="51"/>
      <c r="N17" s="52"/>
      <c r="O17" s="52"/>
      <c r="P17" s="25" t="s">
        <v>563</v>
      </c>
      <c r="Q17" s="25" t="s">
        <v>625</v>
      </c>
      <c r="R17" s="25">
        <v>31.419462500000002</v>
      </c>
      <c r="S17" s="25">
        <v>34.568954900000001</v>
      </c>
      <c r="T17" s="22">
        <v>1</v>
      </c>
      <c r="U17" s="22">
        <v>2</v>
      </c>
      <c r="V17" s="18"/>
      <c r="W17" s="22">
        <v>3</v>
      </c>
      <c r="X17" s="22">
        <v>2</v>
      </c>
      <c r="Y17" s="18"/>
      <c r="Z17" s="22">
        <v>5</v>
      </c>
      <c r="AA17" s="22">
        <v>1</v>
      </c>
      <c r="AB17" s="18" t="s">
        <v>221</v>
      </c>
      <c r="AC17" s="22">
        <v>6</v>
      </c>
      <c r="AD17" s="22">
        <v>2</v>
      </c>
      <c r="AE17" s="18" t="s">
        <v>221</v>
      </c>
      <c r="AF17" s="22">
        <v>1</v>
      </c>
      <c r="AG17" s="18"/>
      <c r="AH17" s="22">
        <v>99</v>
      </c>
      <c r="AI17" s="28">
        <v>99</v>
      </c>
      <c r="AJ17" s="18"/>
      <c r="AK17" s="22">
        <v>99</v>
      </c>
      <c r="AL17" s="22">
        <v>99</v>
      </c>
      <c r="AM17" s="22">
        <v>99</v>
      </c>
      <c r="AN17" s="22">
        <v>2</v>
      </c>
      <c r="AO17" s="22">
        <v>99</v>
      </c>
      <c r="AP17" s="22">
        <v>99</v>
      </c>
      <c r="AQ17" s="18" t="s">
        <v>221</v>
      </c>
      <c r="AR17" s="18" t="s">
        <v>221</v>
      </c>
      <c r="AS17" s="22">
        <v>99</v>
      </c>
      <c r="AT17" s="22">
        <v>6</v>
      </c>
      <c r="AU17" s="22">
        <v>3</v>
      </c>
      <c r="AV17" s="22">
        <v>3</v>
      </c>
      <c r="AW17" s="22">
        <v>4</v>
      </c>
      <c r="AX17" s="37">
        <v>4</v>
      </c>
      <c r="AY17" s="22">
        <v>4</v>
      </c>
      <c r="AZ17" s="22">
        <v>2</v>
      </c>
      <c r="BA17" s="38">
        <v>99</v>
      </c>
      <c r="BB17" s="22">
        <v>99</v>
      </c>
      <c r="BC17" s="22">
        <v>99</v>
      </c>
      <c r="BD17" s="22">
        <v>99</v>
      </c>
      <c r="BE17" s="37">
        <v>99</v>
      </c>
      <c r="BF17" s="22">
        <v>0</v>
      </c>
      <c r="BG17" s="22">
        <v>1</v>
      </c>
      <c r="BH17" s="22">
        <v>1</v>
      </c>
      <c r="BI17" s="22">
        <v>1</v>
      </c>
      <c r="BJ17" s="22">
        <v>8</v>
      </c>
    </row>
    <row r="18" spans="1:62" ht="15.75" customHeight="1">
      <c r="A18" s="22" t="s">
        <v>631</v>
      </c>
      <c r="B18" s="22"/>
      <c r="C18" s="22"/>
      <c r="D18" s="22"/>
      <c r="E18" s="22">
        <v>3</v>
      </c>
      <c r="F18" s="22">
        <v>1</v>
      </c>
      <c r="G18" s="28">
        <v>1</v>
      </c>
      <c r="H18" s="28">
        <v>4</v>
      </c>
      <c r="I18" s="30">
        <v>1950</v>
      </c>
      <c r="J18" s="34">
        <f t="shared" si="0"/>
        <v>18354</v>
      </c>
      <c r="K18" s="11" t="s">
        <v>633</v>
      </c>
      <c r="L18" s="25" t="s">
        <v>564</v>
      </c>
      <c r="M18" s="30">
        <v>7</v>
      </c>
      <c r="N18" s="17" t="s">
        <v>447</v>
      </c>
      <c r="O18" s="17"/>
      <c r="P18" s="18"/>
      <c r="Q18" s="41" t="s">
        <v>582</v>
      </c>
      <c r="R18" s="42">
        <v>39.912941199999999</v>
      </c>
      <c r="S18" s="42">
        <v>-104.79560549999999</v>
      </c>
      <c r="T18" s="22">
        <v>2</v>
      </c>
      <c r="U18" s="22">
        <v>2</v>
      </c>
      <c r="V18" s="22">
        <v>5</v>
      </c>
      <c r="W18" s="22">
        <v>2</v>
      </c>
      <c r="X18" s="22">
        <v>2</v>
      </c>
      <c r="Y18" s="18"/>
      <c r="Z18" s="22">
        <v>5</v>
      </c>
      <c r="AA18" s="22">
        <v>2</v>
      </c>
      <c r="AB18" s="18" t="s">
        <v>221</v>
      </c>
      <c r="AC18" s="22">
        <v>6</v>
      </c>
      <c r="AD18" s="22">
        <v>2</v>
      </c>
      <c r="AE18" s="18" t="s">
        <v>221</v>
      </c>
      <c r="AF18" s="22">
        <v>1</v>
      </c>
      <c r="AG18" s="18"/>
      <c r="AH18" s="22">
        <v>99</v>
      </c>
      <c r="AI18" s="28">
        <v>99</v>
      </c>
      <c r="AJ18" s="18"/>
      <c r="AK18" s="22">
        <v>99</v>
      </c>
      <c r="AL18" s="22">
        <v>99</v>
      </c>
      <c r="AM18" s="22">
        <v>99</v>
      </c>
      <c r="AN18" s="22">
        <v>2</v>
      </c>
      <c r="AO18" s="22">
        <v>99</v>
      </c>
      <c r="AP18" s="22">
        <v>99</v>
      </c>
      <c r="AQ18" s="22" t="s">
        <v>636</v>
      </c>
      <c r="AR18" s="2" t="s">
        <v>637</v>
      </c>
      <c r="AS18" s="22">
        <v>99</v>
      </c>
      <c r="AT18" s="22">
        <v>6</v>
      </c>
      <c r="AU18" s="22">
        <v>3</v>
      </c>
      <c r="AV18" s="22">
        <v>3</v>
      </c>
      <c r="AW18" s="22">
        <v>4</v>
      </c>
      <c r="AX18" s="37">
        <v>4</v>
      </c>
      <c r="AY18" s="22">
        <v>4</v>
      </c>
      <c r="AZ18" s="22">
        <v>2</v>
      </c>
      <c r="BA18" s="38">
        <v>99</v>
      </c>
      <c r="BB18" s="22">
        <v>99</v>
      </c>
      <c r="BC18" s="22">
        <v>99</v>
      </c>
      <c r="BD18" s="22">
        <v>99</v>
      </c>
      <c r="BE18" s="37">
        <v>99</v>
      </c>
      <c r="BF18" s="22">
        <v>0</v>
      </c>
      <c r="BG18" s="22">
        <v>1</v>
      </c>
      <c r="BH18" s="22">
        <v>1</v>
      </c>
      <c r="BI18" s="22">
        <v>4</v>
      </c>
      <c r="BJ18" s="22">
        <v>7</v>
      </c>
    </row>
    <row r="19" spans="1:62" ht="15.75" customHeight="1">
      <c r="A19" s="22" t="s">
        <v>640</v>
      </c>
      <c r="B19" s="25" t="s">
        <v>641</v>
      </c>
      <c r="C19" s="22"/>
      <c r="D19" s="22"/>
      <c r="E19" s="22">
        <v>1</v>
      </c>
      <c r="F19" s="22">
        <v>1</v>
      </c>
      <c r="G19" s="28">
        <v>25</v>
      </c>
      <c r="H19" s="28">
        <v>6</v>
      </c>
      <c r="I19" s="30">
        <v>1950</v>
      </c>
      <c r="J19" s="34">
        <f t="shared" si="0"/>
        <v>18439</v>
      </c>
      <c r="K19" s="39" t="s">
        <v>328</v>
      </c>
      <c r="L19" s="25" t="s">
        <v>565</v>
      </c>
      <c r="M19" s="30">
        <v>99</v>
      </c>
      <c r="N19" s="52"/>
      <c r="O19" s="52"/>
      <c r="P19" s="25" t="s">
        <v>566</v>
      </c>
      <c r="Q19" s="25" t="s">
        <v>642</v>
      </c>
      <c r="R19" s="25">
        <v>31.522693999999898</v>
      </c>
      <c r="S19" s="25">
        <v>34.595581000000003</v>
      </c>
      <c r="T19" s="22">
        <v>2</v>
      </c>
      <c r="U19" s="22">
        <v>1</v>
      </c>
      <c r="V19" s="22">
        <v>1</v>
      </c>
      <c r="W19" s="22">
        <v>4</v>
      </c>
      <c r="X19" s="22">
        <v>2</v>
      </c>
      <c r="Y19" s="18"/>
      <c r="Z19" s="22">
        <v>5</v>
      </c>
      <c r="AA19" s="22">
        <v>2</v>
      </c>
      <c r="AB19" s="18" t="s">
        <v>221</v>
      </c>
      <c r="AC19" s="22">
        <v>6</v>
      </c>
      <c r="AD19" s="22">
        <v>2</v>
      </c>
      <c r="AE19" s="18" t="s">
        <v>221</v>
      </c>
      <c r="AF19" s="22">
        <v>1</v>
      </c>
      <c r="AG19" s="18"/>
      <c r="AH19" s="22">
        <v>99</v>
      </c>
      <c r="AI19" s="28">
        <v>99</v>
      </c>
      <c r="AJ19" s="18"/>
      <c r="AK19" s="22">
        <v>99</v>
      </c>
      <c r="AL19" s="22">
        <v>99</v>
      </c>
      <c r="AM19" s="22">
        <v>99</v>
      </c>
      <c r="AN19" s="22">
        <v>2</v>
      </c>
      <c r="AO19" s="22">
        <v>99</v>
      </c>
      <c r="AP19" s="22">
        <v>99</v>
      </c>
      <c r="AQ19" s="22" t="s">
        <v>644</v>
      </c>
      <c r="AR19" s="18" t="s">
        <v>221</v>
      </c>
      <c r="AS19" s="22">
        <v>99</v>
      </c>
      <c r="AT19" s="22">
        <v>6</v>
      </c>
      <c r="AU19" s="22">
        <v>3</v>
      </c>
      <c r="AV19" s="22">
        <v>3</v>
      </c>
      <c r="AW19" s="22">
        <v>4</v>
      </c>
      <c r="AX19" s="37">
        <v>4</v>
      </c>
      <c r="AY19" s="22">
        <v>4</v>
      </c>
      <c r="AZ19" s="22">
        <v>2</v>
      </c>
      <c r="BA19" s="38">
        <v>99</v>
      </c>
      <c r="BB19" s="22">
        <v>99</v>
      </c>
      <c r="BC19" s="22">
        <v>99</v>
      </c>
      <c r="BD19" s="22">
        <v>99</v>
      </c>
      <c r="BE19" s="37">
        <v>99</v>
      </c>
      <c r="BF19" s="22">
        <v>0</v>
      </c>
      <c r="BG19" s="22">
        <v>1</v>
      </c>
      <c r="BH19" s="22">
        <v>1</v>
      </c>
      <c r="BI19" s="22">
        <v>1</v>
      </c>
      <c r="BJ19" s="22">
        <v>7</v>
      </c>
    </row>
    <row r="20" spans="1:62" ht="15.75" customHeight="1">
      <c r="A20" s="22" t="s">
        <v>650</v>
      </c>
      <c r="B20" s="22"/>
      <c r="C20" s="22"/>
      <c r="D20" s="22"/>
      <c r="E20" s="22">
        <v>1</v>
      </c>
      <c r="F20" s="22">
        <v>1</v>
      </c>
      <c r="G20" s="28">
        <v>6</v>
      </c>
      <c r="H20" s="28">
        <v>7</v>
      </c>
      <c r="I20" s="30">
        <v>1950</v>
      </c>
      <c r="J20" s="34">
        <f t="shared" si="0"/>
        <v>18450</v>
      </c>
      <c r="K20" s="39" t="s">
        <v>328</v>
      </c>
      <c r="L20" s="25" t="s">
        <v>567</v>
      </c>
      <c r="M20" s="30">
        <v>1</v>
      </c>
      <c r="N20" s="17" t="s">
        <v>233</v>
      </c>
      <c r="O20" s="17"/>
      <c r="P20" s="25" t="s">
        <v>569</v>
      </c>
      <c r="Q20" s="25" t="s">
        <v>654</v>
      </c>
      <c r="R20" s="25">
        <v>46.664433899999999</v>
      </c>
      <c r="S20" s="25">
        <v>-95.799303399999999</v>
      </c>
      <c r="T20" s="22">
        <v>2</v>
      </c>
      <c r="U20" s="22">
        <v>2</v>
      </c>
      <c r="V20" s="22">
        <v>1</v>
      </c>
      <c r="W20" s="22">
        <v>3</v>
      </c>
      <c r="X20" s="22">
        <v>1</v>
      </c>
      <c r="Y20" s="18"/>
      <c r="Z20" s="22">
        <v>5</v>
      </c>
      <c r="AA20" s="22">
        <v>1</v>
      </c>
      <c r="AB20" s="18" t="s">
        <v>221</v>
      </c>
      <c r="AC20" s="22">
        <v>11</v>
      </c>
      <c r="AD20" s="22">
        <v>2</v>
      </c>
      <c r="AE20" s="18" t="s">
        <v>221</v>
      </c>
      <c r="AF20" s="22">
        <v>99</v>
      </c>
      <c r="AG20" s="18"/>
      <c r="AH20" s="22">
        <v>99</v>
      </c>
      <c r="AI20" s="28">
        <v>99</v>
      </c>
      <c r="AJ20" s="18"/>
      <c r="AK20" s="22">
        <v>99</v>
      </c>
      <c r="AL20" s="22">
        <v>99</v>
      </c>
      <c r="AM20" s="22">
        <v>99</v>
      </c>
      <c r="AN20" s="22">
        <v>2</v>
      </c>
      <c r="AO20" s="22">
        <v>99</v>
      </c>
      <c r="AP20" s="22">
        <v>99</v>
      </c>
      <c r="AQ20" s="22" t="s">
        <v>660</v>
      </c>
      <c r="AR20" s="2" t="s">
        <v>661</v>
      </c>
      <c r="AS20" s="22">
        <v>5</v>
      </c>
      <c r="AT20" s="22">
        <v>3</v>
      </c>
      <c r="AU20" s="22">
        <v>3</v>
      </c>
      <c r="AV20" s="22">
        <v>3</v>
      </c>
      <c r="AW20" s="22">
        <v>4</v>
      </c>
      <c r="AX20" s="37">
        <v>4</v>
      </c>
      <c r="AY20" s="22">
        <v>4</v>
      </c>
      <c r="AZ20" s="22">
        <v>2</v>
      </c>
      <c r="BA20" s="38">
        <v>99</v>
      </c>
      <c r="BB20" s="22">
        <v>99</v>
      </c>
      <c r="BC20" s="22">
        <v>99</v>
      </c>
      <c r="BD20" s="22">
        <v>99</v>
      </c>
      <c r="BE20" s="37">
        <v>99</v>
      </c>
      <c r="BF20" s="22">
        <v>1</v>
      </c>
      <c r="BG20" s="22">
        <v>0</v>
      </c>
      <c r="BH20" s="22">
        <v>1</v>
      </c>
      <c r="BI20" s="22">
        <v>1</v>
      </c>
      <c r="BJ20" s="22">
        <v>8</v>
      </c>
    </row>
    <row r="21" spans="1:62" ht="15.75" customHeight="1">
      <c r="A21" s="22" t="s">
        <v>668</v>
      </c>
      <c r="B21" s="25" t="s">
        <v>669</v>
      </c>
      <c r="C21" s="22"/>
      <c r="D21" s="22"/>
      <c r="E21" s="22">
        <v>1</v>
      </c>
      <c r="F21" s="22">
        <v>1</v>
      </c>
      <c r="G21" s="28">
        <v>16</v>
      </c>
      <c r="H21" s="28">
        <v>8</v>
      </c>
      <c r="I21" s="30">
        <v>1950</v>
      </c>
      <c r="J21" s="34">
        <f t="shared" si="0"/>
        <v>18491</v>
      </c>
      <c r="K21" s="39" t="s">
        <v>328</v>
      </c>
      <c r="L21" s="25" t="s">
        <v>571</v>
      </c>
      <c r="M21" s="30">
        <v>5</v>
      </c>
      <c r="N21" s="17" t="s">
        <v>32</v>
      </c>
      <c r="O21" s="17"/>
      <c r="P21" s="25" t="s">
        <v>572</v>
      </c>
      <c r="Q21" s="25" t="s">
        <v>664</v>
      </c>
      <c r="R21" s="25">
        <v>40.625931600000001</v>
      </c>
      <c r="S21" s="25">
        <v>-75.370457899999906</v>
      </c>
      <c r="T21" s="22">
        <v>1</v>
      </c>
      <c r="U21" s="22">
        <v>1</v>
      </c>
      <c r="V21" s="22">
        <v>5</v>
      </c>
      <c r="W21" s="22">
        <v>2</v>
      </c>
      <c r="X21" s="22">
        <v>2</v>
      </c>
      <c r="Y21" s="18"/>
      <c r="Z21" s="22">
        <v>1</v>
      </c>
      <c r="AA21" s="22">
        <v>2</v>
      </c>
      <c r="AB21" s="18" t="s">
        <v>221</v>
      </c>
      <c r="AC21" s="22">
        <v>6</v>
      </c>
      <c r="AD21" s="22">
        <v>2</v>
      </c>
      <c r="AE21" s="18" t="s">
        <v>221</v>
      </c>
      <c r="AF21" s="22">
        <v>1</v>
      </c>
      <c r="AG21" s="18"/>
      <c r="AH21" s="22">
        <v>99</v>
      </c>
      <c r="AI21" s="28">
        <v>99</v>
      </c>
      <c r="AJ21" s="18"/>
      <c r="AK21" s="22">
        <v>99</v>
      </c>
      <c r="AL21" s="22">
        <v>99</v>
      </c>
      <c r="AM21" s="22">
        <v>99</v>
      </c>
      <c r="AN21" s="22">
        <v>2</v>
      </c>
      <c r="AO21" s="22">
        <v>99</v>
      </c>
      <c r="AP21" s="22">
        <v>99</v>
      </c>
      <c r="AQ21" s="22" t="s">
        <v>679</v>
      </c>
      <c r="AR21" s="2" t="s">
        <v>661</v>
      </c>
      <c r="AS21" s="22">
        <v>5</v>
      </c>
      <c r="AT21" s="22">
        <v>6</v>
      </c>
      <c r="AU21" s="22">
        <v>3</v>
      </c>
      <c r="AV21" s="22">
        <v>3</v>
      </c>
      <c r="AW21" s="22">
        <v>4</v>
      </c>
      <c r="AX21" s="37">
        <v>4</v>
      </c>
      <c r="AY21" s="22">
        <v>4</v>
      </c>
      <c r="AZ21" s="22">
        <v>2</v>
      </c>
      <c r="BA21" s="38">
        <v>99</v>
      </c>
      <c r="BB21" s="22">
        <v>99</v>
      </c>
      <c r="BC21" s="22">
        <v>99</v>
      </c>
      <c r="BD21" s="22">
        <v>99</v>
      </c>
      <c r="BE21" s="37">
        <v>99</v>
      </c>
      <c r="BF21" s="22">
        <v>1</v>
      </c>
      <c r="BG21" s="22">
        <v>1</v>
      </c>
      <c r="BH21" s="22">
        <v>2</v>
      </c>
      <c r="BI21" s="22">
        <v>2</v>
      </c>
      <c r="BJ21" s="22">
        <v>7</v>
      </c>
    </row>
    <row r="22" spans="1:62" ht="15.75" customHeight="1">
      <c r="A22" s="22" t="s">
        <v>683</v>
      </c>
      <c r="B22" s="25" t="s">
        <v>684</v>
      </c>
      <c r="C22" s="22"/>
      <c r="D22" s="22"/>
      <c r="E22" s="22">
        <v>1</v>
      </c>
      <c r="F22" s="22">
        <v>1</v>
      </c>
      <c r="G22" s="28">
        <v>20</v>
      </c>
      <c r="H22" s="28">
        <v>8</v>
      </c>
      <c r="I22" s="30">
        <v>1950</v>
      </c>
      <c r="J22" s="34">
        <f t="shared" si="0"/>
        <v>18495</v>
      </c>
      <c r="K22" s="11" t="s">
        <v>685</v>
      </c>
      <c r="L22" s="25" t="s">
        <v>573</v>
      </c>
      <c r="M22" s="30">
        <v>3</v>
      </c>
      <c r="N22" s="17" t="s">
        <v>552</v>
      </c>
      <c r="O22" s="17"/>
      <c r="P22" s="25" t="s">
        <v>575</v>
      </c>
      <c r="Q22" s="25" t="s">
        <v>686</v>
      </c>
      <c r="R22" s="25">
        <v>46.1865606</v>
      </c>
      <c r="S22" s="25">
        <v>21.3122677</v>
      </c>
      <c r="T22" s="22">
        <v>2</v>
      </c>
      <c r="U22" s="22">
        <v>2</v>
      </c>
      <c r="V22" s="18"/>
      <c r="W22" s="18"/>
      <c r="X22" s="18"/>
      <c r="Y22" s="18"/>
      <c r="Z22" s="22">
        <v>5</v>
      </c>
      <c r="AA22" s="22">
        <v>1</v>
      </c>
      <c r="AB22" s="18" t="s">
        <v>221</v>
      </c>
      <c r="AC22" s="22">
        <v>6</v>
      </c>
      <c r="AD22" s="22">
        <v>2</v>
      </c>
      <c r="AE22" s="18" t="s">
        <v>221</v>
      </c>
      <c r="AF22" s="22">
        <v>99</v>
      </c>
      <c r="AG22" s="18"/>
      <c r="AH22" s="22">
        <v>99</v>
      </c>
      <c r="AI22" s="28">
        <v>99</v>
      </c>
      <c r="AJ22" s="18"/>
      <c r="AK22" s="22">
        <v>99</v>
      </c>
      <c r="AL22" s="22">
        <v>99</v>
      </c>
      <c r="AM22" s="22">
        <v>99</v>
      </c>
      <c r="AN22" s="22">
        <v>2</v>
      </c>
      <c r="AO22" s="22">
        <v>99</v>
      </c>
      <c r="AP22" s="22">
        <v>99</v>
      </c>
      <c r="AQ22" s="22" t="s">
        <v>687</v>
      </c>
      <c r="AR22" s="2" t="s">
        <v>688</v>
      </c>
      <c r="AS22" s="22">
        <v>3</v>
      </c>
      <c r="AT22" s="22">
        <v>6</v>
      </c>
      <c r="AU22" s="22">
        <v>3</v>
      </c>
      <c r="AV22" s="22">
        <v>3</v>
      </c>
      <c r="AW22" s="22">
        <v>4</v>
      </c>
      <c r="AX22" s="37">
        <v>4</v>
      </c>
      <c r="AY22" s="22">
        <v>4</v>
      </c>
      <c r="AZ22" s="22">
        <v>2</v>
      </c>
      <c r="BA22" s="38">
        <v>99</v>
      </c>
      <c r="BB22" s="22">
        <v>99</v>
      </c>
      <c r="BC22" s="22">
        <v>99</v>
      </c>
      <c r="BD22" s="22">
        <v>99</v>
      </c>
      <c r="BE22" s="37">
        <v>99</v>
      </c>
      <c r="BF22" s="22">
        <v>1</v>
      </c>
      <c r="BG22" s="22">
        <v>1</v>
      </c>
      <c r="BH22" s="22">
        <v>2</v>
      </c>
      <c r="BI22" s="22">
        <v>2</v>
      </c>
      <c r="BJ22" s="22">
        <v>8</v>
      </c>
    </row>
    <row r="23" spans="1:62" ht="15.75" customHeight="1">
      <c r="A23" s="22" t="s">
        <v>689</v>
      </c>
      <c r="B23" s="22"/>
      <c r="C23" s="22"/>
      <c r="D23" s="22"/>
      <c r="E23" s="22">
        <v>1</v>
      </c>
      <c r="F23" s="22">
        <v>1</v>
      </c>
      <c r="G23" s="28">
        <v>27</v>
      </c>
      <c r="H23" s="28">
        <v>8</v>
      </c>
      <c r="I23" s="30">
        <v>1950</v>
      </c>
      <c r="J23" s="34">
        <f t="shared" si="0"/>
        <v>18502</v>
      </c>
      <c r="K23" s="11" t="s">
        <v>690</v>
      </c>
      <c r="L23" s="25" t="s">
        <v>577</v>
      </c>
      <c r="M23" s="30">
        <v>3</v>
      </c>
      <c r="N23" s="17" t="s">
        <v>552</v>
      </c>
      <c r="O23" s="17"/>
      <c r="P23" s="25" t="s">
        <v>578</v>
      </c>
      <c r="Q23" s="25" t="s">
        <v>692</v>
      </c>
      <c r="R23" s="25">
        <v>50.930395999999902</v>
      </c>
      <c r="S23" s="25">
        <v>-1.3446841</v>
      </c>
      <c r="T23" s="22">
        <v>2</v>
      </c>
      <c r="U23" s="22">
        <v>1</v>
      </c>
      <c r="V23" s="22">
        <v>5</v>
      </c>
      <c r="W23" s="22">
        <v>1</v>
      </c>
      <c r="X23" s="22">
        <v>2</v>
      </c>
      <c r="Y23" s="18"/>
      <c r="Z23" s="22">
        <v>5</v>
      </c>
      <c r="AA23" s="22">
        <v>1</v>
      </c>
      <c r="AB23" s="18" t="s">
        <v>221</v>
      </c>
      <c r="AC23" s="22">
        <v>6</v>
      </c>
      <c r="AD23" s="22">
        <v>2</v>
      </c>
      <c r="AE23" s="18" t="s">
        <v>221</v>
      </c>
      <c r="AF23" s="22">
        <v>99</v>
      </c>
      <c r="AG23" s="18"/>
      <c r="AH23" s="22">
        <v>99</v>
      </c>
      <c r="AI23" s="28">
        <v>99</v>
      </c>
      <c r="AJ23" s="18"/>
      <c r="AK23" s="22">
        <v>99</v>
      </c>
      <c r="AL23" s="22">
        <v>99</v>
      </c>
      <c r="AM23" s="22">
        <v>99</v>
      </c>
      <c r="AN23" s="22">
        <v>2</v>
      </c>
      <c r="AO23" s="22">
        <v>99</v>
      </c>
      <c r="AP23" s="22">
        <v>99</v>
      </c>
      <c r="AQ23" s="22" t="s">
        <v>696</v>
      </c>
      <c r="AR23" s="18" t="s">
        <v>221</v>
      </c>
      <c r="AS23" s="22">
        <v>3</v>
      </c>
      <c r="AT23" s="22">
        <v>2</v>
      </c>
      <c r="AU23" s="22">
        <v>3</v>
      </c>
      <c r="AV23" s="22">
        <v>3</v>
      </c>
      <c r="AW23" s="22">
        <v>4</v>
      </c>
      <c r="AX23" s="37">
        <v>4</v>
      </c>
      <c r="AY23" s="22">
        <v>4</v>
      </c>
      <c r="AZ23" s="22">
        <v>2</v>
      </c>
      <c r="BA23" s="38">
        <v>99</v>
      </c>
      <c r="BB23" s="22">
        <v>99</v>
      </c>
      <c r="BC23" s="22">
        <v>99</v>
      </c>
      <c r="BD23" s="22">
        <v>99</v>
      </c>
      <c r="BE23" s="37">
        <v>99</v>
      </c>
      <c r="BF23" s="22">
        <v>1</v>
      </c>
      <c r="BG23" s="22">
        <v>0</v>
      </c>
      <c r="BH23" s="22">
        <v>1</v>
      </c>
      <c r="BI23" s="22">
        <v>1</v>
      </c>
      <c r="BJ23" s="22">
        <v>8</v>
      </c>
    </row>
    <row r="24" spans="1:62" ht="15.75" customHeight="1">
      <c r="A24" s="22" t="s">
        <v>699</v>
      </c>
      <c r="B24" s="25" t="s">
        <v>700</v>
      </c>
      <c r="C24" s="22"/>
      <c r="D24" s="22"/>
      <c r="E24" s="22">
        <v>1</v>
      </c>
      <c r="F24" s="22">
        <v>1</v>
      </c>
      <c r="G24" s="57"/>
      <c r="H24" s="57"/>
      <c r="I24" s="30">
        <v>1951</v>
      </c>
      <c r="J24" s="34">
        <f t="shared" si="0"/>
        <v>18597</v>
      </c>
      <c r="K24" s="11" t="s">
        <v>704</v>
      </c>
      <c r="L24" s="25" t="s">
        <v>579</v>
      </c>
      <c r="M24" s="51"/>
      <c r="N24" s="52"/>
      <c r="O24" s="52"/>
      <c r="P24" s="25" t="s">
        <v>705</v>
      </c>
      <c r="Q24" s="25" t="s">
        <v>706</v>
      </c>
      <c r="R24" s="75">
        <v>31.374545000000001</v>
      </c>
      <c r="S24" s="75">
        <v>34.398992</v>
      </c>
      <c r="T24" s="22">
        <v>1</v>
      </c>
      <c r="U24" s="22">
        <v>1</v>
      </c>
      <c r="V24" s="18"/>
      <c r="W24" s="22">
        <v>3</v>
      </c>
      <c r="X24" s="22">
        <v>2</v>
      </c>
      <c r="Y24" s="18"/>
      <c r="Z24" s="22">
        <v>5</v>
      </c>
      <c r="AA24" s="22">
        <v>2</v>
      </c>
      <c r="AB24" s="18" t="s">
        <v>221</v>
      </c>
      <c r="AC24" s="22">
        <v>6</v>
      </c>
      <c r="AD24" s="22">
        <v>2</v>
      </c>
      <c r="AE24" s="18" t="s">
        <v>221</v>
      </c>
      <c r="AF24" s="22">
        <v>1</v>
      </c>
      <c r="AG24" s="18"/>
      <c r="AH24" s="22">
        <v>99</v>
      </c>
      <c r="AI24" s="28">
        <v>99</v>
      </c>
      <c r="AJ24" s="18"/>
      <c r="AK24" s="22">
        <v>99</v>
      </c>
      <c r="AL24" s="22">
        <v>99</v>
      </c>
      <c r="AM24" s="22">
        <v>99</v>
      </c>
      <c r="AN24" s="22">
        <v>99</v>
      </c>
      <c r="AO24" s="22">
        <v>99</v>
      </c>
      <c r="AP24" s="22">
        <v>99</v>
      </c>
      <c r="AQ24" s="22" t="s">
        <v>718</v>
      </c>
      <c r="AR24" s="2" t="s">
        <v>719</v>
      </c>
      <c r="AS24" s="22">
        <v>6</v>
      </c>
      <c r="AT24" s="22">
        <v>6</v>
      </c>
      <c r="AU24" s="22">
        <v>3</v>
      </c>
      <c r="AV24" s="22">
        <v>3</v>
      </c>
      <c r="AW24" s="22">
        <v>4</v>
      </c>
      <c r="AX24" s="37">
        <v>4</v>
      </c>
      <c r="AY24" s="22">
        <v>4</v>
      </c>
      <c r="AZ24" s="22">
        <v>2</v>
      </c>
      <c r="BA24" s="38">
        <v>99</v>
      </c>
      <c r="BB24" s="22">
        <v>99</v>
      </c>
      <c r="BC24" s="22">
        <v>99</v>
      </c>
      <c r="BD24" s="22">
        <v>99</v>
      </c>
      <c r="BE24" s="37">
        <v>99</v>
      </c>
      <c r="BF24" s="22">
        <v>0</v>
      </c>
      <c r="BG24" s="22">
        <v>1</v>
      </c>
      <c r="BH24" s="22">
        <v>1</v>
      </c>
      <c r="BI24" s="22">
        <v>1</v>
      </c>
      <c r="BJ24" s="22">
        <v>7</v>
      </c>
    </row>
    <row r="25" spans="1:62" ht="15.75" customHeight="1">
      <c r="A25" s="22" t="s">
        <v>723</v>
      </c>
      <c r="B25" s="25" t="s">
        <v>724</v>
      </c>
      <c r="C25" s="22"/>
      <c r="D25" s="22"/>
      <c r="E25" s="22">
        <v>1</v>
      </c>
      <c r="F25" s="22">
        <v>1</v>
      </c>
      <c r="G25" s="28">
        <v>31</v>
      </c>
      <c r="H25" s="28">
        <v>11</v>
      </c>
      <c r="I25" s="30">
        <v>1950</v>
      </c>
      <c r="J25" s="34">
        <f t="shared" si="0"/>
        <v>18598</v>
      </c>
      <c r="K25" s="11" t="s">
        <v>685</v>
      </c>
      <c r="L25" s="25" t="s">
        <v>583</v>
      </c>
      <c r="M25" s="30">
        <v>5</v>
      </c>
      <c r="N25" s="17" t="s">
        <v>32</v>
      </c>
      <c r="O25" s="17"/>
      <c r="P25" s="25" t="s">
        <v>32</v>
      </c>
      <c r="Q25" s="25" t="s">
        <v>346</v>
      </c>
      <c r="R25" s="25">
        <v>31.768319000000002</v>
      </c>
      <c r="S25" s="25">
        <v>35.213709999999999</v>
      </c>
      <c r="T25" s="22">
        <v>2</v>
      </c>
      <c r="U25" s="22">
        <v>2</v>
      </c>
      <c r="V25" s="22">
        <v>2</v>
      </c>
      <c r="W25" s="22">
        <v>2</v>
      </c>
      <c r="X25" s="22">
        <v>2</v>
      </c>
      <c r="Y25" s="18"/>
      <c r="Z25" s="22">
        <v>5</v>
      </c>
      <c r="AA25" s="22">
        <v>2</v>
      </c>
      <c r="AB25" s="18" t="s">
        <v>221</v>
      </c>
      <c r="AC25" s="22">
        <v>6</v>
      </c>
      <c r="AD25" s="22">
        <v>2</v>
      </c>
      <c r="AE25" s="18" t="s">
        <v>221</v>
      </c>
      <c r="AF25" s="22">
        <v>99</v>
      </c>
      <c r="AG25" s="18"/>
      <c r="AH25" s="22">
        <v>99</v>
      </c>
      <c r="AI25" s="28">
        <v>99</v>
      </c>
      <c r="AJ25" s="18"/>
      <c r="AK25" s="22">
        <v>99</v>
      </c>
      <c r="AL25" s="22">
        <v>99</v>
      </c>
      <c r="AM25" s="22">
        <v>99</v>
      </c>
      <c r="AN25" s="22">
        <v>2</v>
      </c>
      <c r="AO25" s="22">
        <v>99</v>
      </c>
      <c r="AP25" s="22">
        <v>99</v>
      </c>
      <c r="AQ25" s="22" t="s">
        <v>729</v>
      </c>
      <c r="AR25" s="2" t="s">
        <v>730</v>
      </c>
      <c r="AS25" s="22">
        <v>5</v>
      </c>
      <c r="AT25" s="22">
        <v>3</v>
      </c>
      <c r="AU25" s="22">
        <v>3</v>
      </c>
      <c r="AV25" s="22">
        <v>3</v>
      </c>
      <c r="AW25" s="22">
        <v>4</v>
      </c>
      <c r="AX25" s="37">
        <v>4</v>
      </c>
      <c r="AY25" s="22">
        <v>4</v>
      </c>
      <c r="AZ25" s="22">
        <v>2</v>
      </c>
      <c r="BA25" s="38">
        <v>99</v>
      </c>
      <c r="BB25" s="22">
        <v>99</v>
      </c>
      <c r="BC25" s="22">
        <v>99</v>
      </c>
      <c r="BD25" s="22">
        <v>99</v>
      </c>
      <c r="BE25" s="37">
        <v>99</v>
      </c>
      <c r="BF25" s="22">
        <v>1</v>
      </c>
      <c r="BG25" s="22">
        <v>0</v>
      </c>
      <c r="BH25" s="22">
        <v>1</v>
      </c>
      <c r="BI25" s="22">
        <v>1</v>
      </c>
      <c r="BJ25" s="22">
        <v>7</v>
      </c>
    </row>
    <row r="26" spans="1:62" ht="15.75" customHeight="1">
      <c r="A26" s="22" t="s">
        <v>732</v>
      </c>
      <c r="B26" s="22"/>
      <c r="C26" s="22"/>
      <c r="D26" s="22"/>
      <c r="E26" s="22">
        <v>1</v>
      </c>
      <c r="F26" s="22">
        <v>1</v>
      </c>
      <c r="G26" s="28">
        <v>13</v>
      </c>
      <c r="H26" s="28">
        <v>12</v>
      </c>
      <c r="I26" s="30">
        <v>1950</v>
      </c>
      <c r="J26" s="34">
        <f t="shared" si="0"/>
        <v>18610</v>
      </c>
      <c r="K26" s="11" t="s">
        <v>734</v>
      </c>
      <c r="L26" s="25" t="s">
        <v>585</v>
      </c>
      <c r="M26" s="30">
        <v>5</v>
      </c>
      <c r="N26" s="17" t="s">
        <v>32</v>
      </c>
      <c r="O26" s="17"/>
      <c r="P26" s="25" t="s">
        <v>32</v>
      </c>
      <c r="Q26" s="25" t="s">
        <v>346</v>
      </c>
      <c r="R26" s="25">
        <v>31.768319000000002</v>
      </c>
      <c r="S26" s="25">
        <v>35.213709999999999</v>
      </c>
      <c r="T26" s="22">
        <v>2</v>
      </c>
      <c r="U26" s="22">
        <v>2</v>
      </c>
      <c r="V26" s="22">
        <v>2</v>
      </c>
      <c r="W26" s="22">
        <v>2</v>
      </c>
      <c r="X26" s="22">
        <v>2</v>
      </c>
      <c r="Y26" s="18"/>
      <c r="Z26" s="22">
        <v>5</v>
      </c>
      <c r="AA26" s="22">
        <v>1</v>
      </c>
      <c r="AB26" s="18" t="s">
        <v>221</v>
      </c>
      <c r="AC26" s="22">
        <v>6</v>
      </c>
      <c r="AD26" s="22">
        <v>2</v>
      </c>
      <c r="AE26" s="18" t="s">
        <v>221</v>
      </c>
      <c r="AF26" s="22">
        <v>99</v>
      </c>
      <c r="AG26" s="18"/>
      <c r="AH26" s="22">
        <v>99</v>
      </c>
      <c r="AI26" s="28">
        <v>99</v>
      </c>
      <c r="AJ26" s="18"/>
      <c r="AK26" s="22">
        <v>99</v>
      </c>
      <c r="AL26" s="22">
        <v>99</v>
      </c>
      <c r="AM26" s="22">
        <v>99</v>
      </c>
      <c r="AN26" s="22">
        <v>99</v>
      </c>
      <c r="AO26" s="22">
        <v>99</v>
      </c>
      <c r="AP26" s="22">
        <v>99</v>
      </c>
      <c r="AQ26" s="22" t="s">
        <v>736</v>
      </c>
      <c r="AR26" s="2" t="s">
        <v>737</v>
      </c>
      <c r="AS26" s="22">
        <v>5</v>
      </c>
      <c r="AT26" s="22">
        <v>4</v>
      </c>
      <c r="AU26" s="22">
        <v>3</v>
      </c>
      <c r="AV26" s="22">
        <v>3</v>
      </c>
      <c r="AW26" s="22">
        <v>4</v>
      </c>
      <c r="AX26" s="37">
        <v>4</v>
      </c>
      <c r="AY26" s="22">
        <v>4</v>
      </c>
      <c r="AZ26" s="22">
        <v>2</v>
      </c>
      <c r="BA26" s="38">
        <v>99</v>
      </c>
      <c r="BB26" s="22">
        <v>99</v>
      </c>
      <c r="BC26" s="22">
        <v>99</v>
      </c>
      <c r="BD26" s="22">
        <v>99</v>
      </c>
      <c r="BE26" s="37">
        <v>99</v>
      </c>
      <c r="BF26" s="22">
        <v>1</v>
      </c>
      <c r="BG26" s="22">
        <v>0</v>
      </c>
      <c r="BH26" s="22">
        <v>1</v>
      </c>
      <c r="BI26" s="22">
        <v>1</v>
      </c>
      <c r="BJ26" s="22">
        <v>8</v>
      </c>
    </row>
    <row r="27" spans="1:62" ht="15.75" customHeight="1">
      <c r="A27" s="22" t="s">
        <v>739</v>
      </c>
      <c r="B27" s="25" t="s">
        <v>680</v>
      </c>
      <c r="C27" s="22"/>
      <c r="D27" s="22"/>
      <c r="E27" s="22">
        <v>1</v>
      </c>
      <c r="F27" s="22">
        <v>1</v>
      </c>
      <c r="G27" s="28">
        <v>15</v>
      </c>
      <c r="H27" s="28">
        <v>12</v>
      </c>
      <c r="I27" s="30">
        <v>1950</v>
      </c>
      <c r="J27" s="34">
        <f t="shared" si="0"/>
        <v>18612</v>
      </c>
      <c r="K27" s="11" t="s">
        <v>741</v>
      </c>
      <c r="L27" s="25" t="s">
        <v>587</v>
      </c>
      <c r="M27" s="30">
        <v>3</v>
      </c>
      <c r="N27" s="17" t="s">
        <v>552</v>
      </c>
      <c r="O27" s="17"/>
      <c r="P27" s="25" t="s">
        <v>588</v>
      </c>
      <c r="Q27" s="25" t="s">
        <v>743</v>
      </c>
      <c r="R27" s="25">
        <v>31.733404799999999</v>
      </c>
      <c r="S27" s="25">
        <v>35.193938299999999</v>
      </c>
      <c r="T27" s="22">
        <v>2</v>
      </c>
      <c r="U27" s="22">
        <v>1</v>
      </c>
      <c r="V27" s="22">
        <v>1</v>
      </c>
      <c r="W27" s="22">
        <v>3</v>
      </c>
      <c r="X27" s="22">
        <v>2</v>
      </c>
      <c r="Y27" s="18"/>
      <c r="Z27" s="22">
        <v>5</v>
      </c>
      <c r="AA27" s="22">
        <v>2</v>
      </c>
      <c r="AB27" s="18" t="s">
        <v>221</v>
      </c>
      <c r="AC27" s="22">
        <v>6</v>
      </c>
      <c r="AD27" s="22">
        <v>2</v>
      </c>
      <c r="AE27" s="18" t="s">
        <v>221</v>
      </c>
      <c r="AF27" s="22">
        <v>1</v>
      </c>
      <c r="AG27" s="18"/>
      <c r="AH27" s="22">
        <v>99</v>
      </c>
      <c r="AI27" s="28">
        <v>99</v>
      </c>
      <c r="AJ27" s="18"/>
      <c r="AK27" s="22">
        <v>99</v>
      </c>
      <c r="AL27" s="22">
        <v>99</v>
      </c>
      <c r="AM27" s="22">
        <v>99</v>
      </c>
      <c r="AN27" s="22">
        <v>2</v>
      </c>
      <c r="AO27" s="22">
        <v>99</v>
      </c>
      <c r="AP27" s="22">
        <v>99</v>
      </c>
      <c r="AQ27" s="22" t="s">
        <v>749</v>
      </c>
      <c r="AR27" s="2" t="s">
        <v>750</v>
      </c>
      <c r="AS27" s="22">
        <v>2</v>
      </c>
      <c r="AT27" s="22">
        <v>6</v>
      </c>
      <c r="AU27" s="22">
        <v>3</v>
      </c>
      <c r="AV27" s="22">
        <v>3</v>
      </c>
      <c r="AW27" s="22">
        <v>4</v>
      </c>
      <c r="AX27" s="37">
        <v>4</v>
      </c>
      <c r="AY27" s="22">
        <v>4</v>
      </c>
      <c r="AZ27" s="22">
        <v>2</v>
      </c>
      <c r="BA27" s="38">
        <v>99</v>
      </c>
      <c r="BB27" s="22">
        <v>99</v>
      </c>
      <c r="BC27" s="22">
        <v>99</v>
      </c>
      <c r="BD27" s="22">
        <v>99</v>
      </c>
      <c r="BE27" s="37">
        <v>99</v>
      </c>
      <c r="BF27" s="22">
        <v>0</v>
      </c>
      <c r="BG27" s="22">
        <v>1</v>
      </c>
      <c r="BH27" s="22">
        <v>1</v>
      </c>
      <c r="BI27" s="22">
        <v>6</v>
      </c>
      <c r="BJ27" s="22">
        <v>8</v>
      </c>
    </row>
    <row r="28" spans="1:62" ht="15.75" customHeight="1">
      <c r="A28" s="22" t="s">
        <v>752</v>
      </c>
      <c r="B28" s="25" t="s">
        <v>753</v>
      </c>
      <c r="C28" s="22"/>
      <c r="D28" s="22"/>
      <c r="E28" s="22">
        <v>1</v>
      </c>
      <c r="F28" s="22">
        <v>1</v>
      </c>
      <c r="G28" s="28">
        <v>16</v>
      </c>
      <c r="H28" s="28">
        <v>12</v>
      </c>
      <c r="I28" s="30">
        <v>1950</v>
      </c>
      <c r="J28" s="34">
        <f t="shared" si="0"/>
        <v>18613</v>
      </c>
      <c r="K28" s="11" t="s">
        <v>755</v>
      </c>
      <c r="L28" s="25" t="s">
        <v>589</v>
      </c>
      <c r="M28" s="30">
        <v>5</v>
      </c>
      <c r="N28" s="17" t="s">
        <v>32</v>
      </c>
      <c r="O28" s="17"/>
      <c r="P28" s="25" t="s">
        <v>32</v>
      </c>
      <c r="Q28" s="25" t="s">
        <v>346</v>
      </c>
      <c r="R28" s="25">
        <v>31.768319000000002</v>
      </c>
      <c r="S28" s="25">
        <v>35.213709999999999</v>
      </c>
      <c r="T28" s="22">
        <v>2</v>
      </c>
      <c r="U28" s="22">
        <v>2</v>
      </c>
      <c r="V28" s="22">
        <v>2</v>
      </c>
      <c r="W28" s="22">
        <v>2</v>
      </c>
      <c r="X28" s="22">
        <v>2</v>
      </c>
      <c r="Y28" s="18"/>
      <c r="Z28" s="22">
        <v>5</v>
      </c>
      <c r="AA28" s="22">
        <v>2</v>
      </c>
      <c r="AB28" s="18" t="s">
        <v>221</v>
      </c>
      <c r="AC28" s="22">
        <v>6</v>
      </c>
      <c r="AD28" s="22">
        <v>2</v>
      </c>
      <c r="AE28" s="18" t="s">
        <v>221</v>
      </c>
      <c r="AF28" s="22">
        <v>99</v>
      </c>
      <c r="AG28" s="18"/>
      <c r="AH28" s="22">
        <v>99</v>
      </c>
      <c r="AI28" s="28">
        <v>99</v>
      </c>
      <c r="AJ28" s="18"/>
      <c r="AK28" s="22">
        <v>99</v>
      </c>
      <c r="AL28" s="22">
        <v>99</v>
      </c>
      <c r="AM28" s="22">
        <v>99</v>
      </c>
      <c r="AN28" s="22">
        <v>2</v>
      </c>
      <c r="AO28" s="22">
        <v>99</v>
      </c>
      <c r="AP28" s="22">
        <v>99</v>
      </c>
      <c r="AQ28" s="22" t="s">
        <v>770</v>
      </c>
      <c r="AR28" s="2" t="s">
        <v>771</v>
      </c>
      <c r="AS28" s="22">
        <v>5</v>
      </c>
      <c r="AT28" s="22">
        <v>6</v>
      </c>
      <c r="AU28" s="22">
        <v>3</v>
      </c>
      <c r="AV28" s="22">
        <v>3</v>
      </c>
      <c r="AW28" s="22">
        <v>4</v>
      </c>
      <c r="AX28" s="37">
        <v>4</v>
      </c>
      <c r="AY28" s="22">
        <v>4</v>
      </c>
      <c r="AZ28" s="22">
        <v>2</v>
      </c>
      <c r="BA28" s="38">
        <v>99</v>
      </c>
      <c r="BB28" s="22">
        <v>99</v>
      </c>
      <c r="BC28" s="22">
        <v>99</v>
      </c>
      <c r="BD28" s="22">
        <v>99</v>
      </c>
      <c r="BE28" s="37">
        <v>99</v>
      </c>
      <c r="BF28" s="22">
        <v>0</v>
      </c>
      <c r="BG28" s="22">
        <v>1</v>
      </c>
      <c r="BH28" s="22">
        <v>1</v>
      </c>
      <c r="BI28" s="22">
        <v>1</v>
      </c>
      <c r="BJ28" s="22">
        <v>7</v>
      </c>
    </row>
    <row r="29" spans="1:62" ht="15.75" customHeight="1">
      <c r="A29" s="22" t="s">
        <v>775</v>
      </c>
      <c r="B29" s="25" t="s">
        <v>32</v>
      </c>
      <c r="C29" s="22"/>
      <c r="D29" s="22"/>
      <c r="E29" s="22">
        <v>1</v>
      </c>
      <c r="F29" s="22">
        <v>1</v>
      </c>
      <c r="G29" s="28">
        <v>24</v>
      </c>
      <c r="H29" s="28">
        <v>1</v>
      </c>
      <c r="I29" s="30">
        <v>1951</v>
      </c>
      <c r="J29" s="34">
        <f t="shared" si="0"/>
        <v>18652</v>
      </c>
      <c r="K29" s="11" t="s">
        <v>778</v>
      </c>
      <c r="L29" s="25" t="s">
        <v>590</v>
      </c>
      <c r="M29" s="30">
        <v>5</v>
      </c>
      <c r="N29" s="17" t="s">
        <v>32</v>
      </c>
      <c r="O29" s="17"/>
      <c r="P29" s="25" t="s">
        <v>591</v>
      </c>
      <c r="Q29" s="25" t="s">
        <v>781</v>
      </c>
      <c r="R29" s="75">
        <v>31.532568999999999</v>
      </c>
      <c r="S29" s="75">
        <v>35.099826</v>
      </c>
      <c r="T29" s="22">
        <v>1</v>
      </c>
      <c r="U29" s="22">
        <v>2</v>
      </c>
      <c r="V29" s="22">
        <v>5</v>
      </c>
      <c r="W29" s="22">
        <v>2</v>
      </c>
      <c r="X29" s="22">
        <v>2</v>
      </c>
      <c r="Y29" s="18"/>
      <c r="Z29" s="22">
        <v>5</v>
      </c>
      <c r="AA29" s="22">
        <v>2</v>
      </c>
      <c r="AB29" s="18" t="s">
        <v>221</v>
      </c>
      <c r="AC29" s="22">
        <v>6</v>
      </c>
      <c r="AD29" s="22">
        <v>2</v>
      </c>
      <c r="AE29" s="18" t="s">
        <v>221</v>
      </c>
      <c r="AF29" s="22">
        <v>99</v>
      </c>
      <c r="AG29" s="18"/>
      <c r="AH29" s="22">
        <v>99</v>
      </c>
      <c r="AI29" s="28">
        <v>99</v>
      </c>
      <c r="AJ29" s="18"/>
      <c r="AK29" s="22">
        <v>99</v>
      </c>
      <c r="AL29" s="22">
        <v>99</v>
      </c>
      <c r="AM29" s="22">
        <v>99</v>
      </c>
      <c r="AN29" s="22">
        <v>99</v>
      </c>
      <c r="AO29" s="22">
        <v>99</v>
      </c>
      <c r="AP29" s="22">
        <v>99</v>
      </c>
      <c r="AQ29" s="22" t="s">
        <v>789</v>
      </c>
      <c r="AR29" s="2" t="s">
        <v>790</v>
      </c>
      <c r="AS29" s="22">
        <v>99</v>
      </c>
      <c r="AT29" s="22">
        <v>6</v>
      </c>
      <c r="AU29" s="22">
        <v>3</v>
      </c>
      <c r="AV29" s="22">
        <v>3</v>
      </c>
      <c r="AW29" s="22">
        <v>4</v>
      </c>
      <c r="AX29" s="37">
        <v>4</v>
      </c>
      <c r="AY29" s="22">
        <v>4</v>
      </c>
      <c r="AZ29" s="22">
        <v>2</v>
      </c>
      <c r="BA29" s="38">
        <v>99</v>
      </c>
      <c r="BB29" s="22">
        <v>99</v>
      </c>
      <c r="BC29" s="22">
        <v>99</v>
      </c>
      <c r="BD29" s="22">
        <v>99</v>
      </c>
      <c r="BE29" s="37">
        <v>99</v>
      </c>
      <c r="BF29" s="22">
        <v>0</v>
      </c>
      <c r="BG29" s="22">
        <v>1</v>
      </c>
      <c r="BH29" s="22">
        <v>1</v>
      </c>
      <c r="BI29" s="22">
        <v>999</v>
      </c>
      <c r="BJ29" s="22">
        <v>7</v>
      </c>
    </row>
    <row r="30" spans="1:62" ht="15.75" customHeight="1">
      <c r="A30" s="22" t="s">
        <v>797</v>
      </c>
      <c r="B30" s="25" t="s">
        <v>32</v>
      </c>
      <c r="C30" s="22"/>
      <c r="D30" s="22"/>
      <c r="E30" s="22">
        <v>1</v>
      </c>
      <c r="F30" s="22">
        <v>1</v>
      </c>
      <c r="G30" s="28">
        <v>14</v>
      </c>
      <c r="H30" s="28">
        <v>4</v>
      </c>
      <c r="I30" s="30">
        <v>1951</v>
      </c>
      <c r="J30" s="34">
        <f t="shared" si="0"/>
        <v>18732</v>
      </c>
      <c r="K30" s="11" t="s">
        <v>802</v>
      </c>
      <c r="L30" s="25" t="s">
        <v>592</v>
      </c>
      <c r="M30" s="30">
        <v>5</v>
      </c>
      <c r="N30" s="17" t="s">
        <v>32</v>
      </c>
      <c r="O30" s="17"/>
      <c r="P30" s="25" t="s">
        <v>593</v>
      </c>
      <c r="Q30" s="25" t="s">
        <v>691</v>
      </c>
      <c r="R30" s="25">
        <v>40.625931600000001</v>
      </c>
      <c r="S30" s="25">
        <v>-75.370457899999906</v>
      </c>
      <c r="T30" s="22">
        <v>1</v>
      </c>
      <c r="U30" s="22">
        <v>2</v>
      </c>
      <c r="V30" s="22">
        <v>5</v>
      </c>
      <c r="W30" s="22">
        <v>2</v>
      </c>
      <c r="X30" s="22">
        <v>2</v>
      </c>
      <c r="Y30" s="18"/>
      <c r="Z30" s="22">
        <v>5</v>
      </c>
      <c r="AA30" s="22">
        <v>1</v>
      </c>
      <c r="AB30" s="18" t="s">
        <v>221</v>
      </c>
      <c r="AC30" s="22">
        <v>6</v>
      </c>
      <c r="AD30" s="22">
        <v>2</v>
      </c>
      <c r="AE30" s="18" t="s">
        <v>221</v>
      </c>
      <c r="AF30" s="22">
        <v>99</v>
      </c>
      <c r="AG30" s="18"/>
      <c r="AH30" s="22">
        <v>99</v>
      </c>
      <c r="AI30" s="28">
        <v>99</v>
      </c>
      <c r="AJ30" s="18"/>
      <c r="AK30" s="22">
        <v>99</v>
      </c>
      <c r="AL30" s="22">
        <v>99</v>
      </c>
      <c r="AM30" s="22">
        <v>99</v>
      </c>
      <c r="AN30" s="22">
        <v>99</v>
      </c>
      <c r="AO30" s="22">
        <v>99</v>
      </c>
      <c r="AP30" s="22">
        <v>99</v>
      </c>
      <c r="AQ30" s="22" t="s">
        <v>809</v>
      </c>
      <c r="AR30" s="18" t="s">
        <v>221</v>
      </c>
      <c r="AS30" s="22">
        <v>99</v>
      </c>
      <c r="AT30" s="22">
        <v>6</v>
      </c>
      <c r="AU30" s="22">
        <v>3</v>
      </c>
      <c r="AV30" s="22">
        <v>3</v>
      </c>
      <c r="AW30" s="22">
        <v>4</v>
      </c>
      <c r="AX30" s="37">
        <v>4</v>
      </c>
      <c r="AY30" s="22">
        <v>4</v>
      </c>
      <c r="AZ30" s="22">
        <v>2</v>
      </c>
      <c r="BA30" s="38">
        <v>99</v>
      </c>
      <c r="BB30" s="22">
        <v>99</v>
      </c>
      <c r="BC30" s="22">
        <v>99</v>
      </c>
      <c r="BD30" s="22">
        <v>99</v>
      </c>
      <c r="BE30" s="37">
        <v>99</v>
      </c>
      <c r="BF30" s="22">
        <v>0</v>
      </c>
      <c r="BG30" s="22">
        <v>1</v>
      </c>
      <c r="BH30" s="22">
        <v>1</v>
      </c>
      <c r="BI30" s="22">
        <v>999</v>
      </c>
      <c r="BJ30" s="22">
        <v>8</v>
      </c>
    </row>
    <row r="31" spans="1:62" ht="15.75" customHeight="1">
      <c r="A31" s="22" t="s">
        <v>813</v>
      </c>
      <c r="B31" s="25" t="s">
        <v>814</v>
      </c>
      <c r="C31" s="22"/>
      <c r="D31" s="22"/>
      <c r="E31" s="22">
        <v>1</v>
      </c>
      <c r="F31" s="22">
        <v>1</v>
      </c>
      <c r="G31" s="28">
        <v>18</v>
      </c>
      <c r="H31" s="28">
        <v>4</v>
      </c>
      <c r="I31" s="30">
        <v>1951</v>
      </c>
      <c r="J31" s="34">
        <f t="shared" si="0"/>
        <v>18736</v>
      </c>
      <c r="K31" s="35" t="s">
        <v>221</v>
      </c>
      <c r="L31" s="25" t="s">
        <v>594</v>
      </c>
      <c r="M31" s="30">
        <v>1</v>
      </c>
      <c r="N31" s="17" t="s">
        <v>233</v>
      </c>
      <c r="O31" s="17"/>
      <c r="P31" s="18"/>
      <c r="Q31" s="41" t="s">
        <v>582</v>
      </c>
      <c r="R31" s="42">
        <v>39.912941199999999</v>
      </c>
      <c r="S31" s="42">
        <v>-104.79560549999999</v>
      </c>
      <c r="T31" s="22">
        <v>2</v>
      </c>
      <c r="U31" s="22">
        <v>1</v>
      </c>
      <c r="V31" s="22">
        <v>1</v>
      </c>
      <c r="W31" s="22">
        <v>2</v>
      </c>
      <c r="X31" s="22">
        <v>2</v>
      </c>
      <c r="Y31" s="18"/>
      <c r="Z31" s="22">
        <v>5</v>
      </c>
      <c r="AA31" s="22">
        <v>1</v>
      </c>
      <c r="AB31" s="18" t="s">
        <v>221</v>
      </c>
      <c r="AC31" s="22">
        <v>6</v>
      </c>
      <c r="AD31" s="22">
        <v>2</v>
      </c>
      <c r="AE31" s="18" t="s">
        <v>221</v>
      </c>
      <c r="AF31" s="22">
        <v>1</v>
      </c>
      <c r="AG31" s="18"/>
      <c r="AH31" s="22">
        <v>99</v>
      </c>
      <c r="AI31" s="28">
        <v>99</v>
      </c>
      <c r="AJ31" s="18"/>
      <c r="AK31" s="22">
        <v>99</v>
      </c>
      <c r="AL31" s="22">
        <v>99</v>
      </c>
      <c r="AM31" s="22">
        <v>99</v>
      </c>
      <c r="AN31" s="22">
        <v>2</v>
      </c>
      <c r="AO31" s="22">
        <v>99</v>
      </c>
      <c r="AP31" s="22">
        <v>99</v>
      </c>
      <c r="AQ31" s="18" t="s">
        <v>221</v>
      </c>
      <c r="AR31" s="18" t="s">
        <v>221</v>
      </c>
      <c r="AS31" s="22">
        <v>99</v>
      </c>
      <c r="AT31" s="22">
        <v>99</v>
      </c>
      <c r="AU31" s="22">
        <v>3</v>
      </c>
      <c r="AV31" s="22">
        <v>3</v>
      </c>
      <c r="AW31" s="22">
        <v>4</v>
      </c>
      <c r="AX31" s="37">
        <v>4</v>
      </c>
      <c r="AY31" s="22">
        <v>4</v>
      </c>
      <c r="AZ31" s="22">
        <v>2</v>
      </c>
      <c r="BA31" s="38">
        <v>99</v>
      </c>
      <c r="BB31" s="22">
        <v>99</v>
      </c>
      <c r="BC31" s="22">
        <v>99</v>
      </c>
      <c r="BD31" s="22">
        <v>99</v>
      </c>
      <c r="BE31" s="37">
        <v>99</v>
      </c>
      <c r="BF31" s="22">
        <v>999</v>
      </c>
      <c r="BG31" s="22">
        <v>999</v>
      </c>
      <c r="BH31" s="22">
        <v>999</v>
      </c>
      <c r="BI31" s="22">
        <v>999</v>
      </c>
      <c r="BJ31" s="22">
        <v>8</v>
      </c>
    </row>
    <row r="32" spans="1:62" ht="15.75" customHeight="1">
      <c r="A32" s="22" t="s">
        <v>826</v>
      </c>
      <c r="B32" s="25" t="s">
        <v>827</v>
      </c>
      <c r="C32" s="22"/>
      <c r="D32" s="22"/>
      <c r="E32" s="22">
        <v>2</v>
      </c>
      <c r="F32" s="22">
        <v>1</v>
      </c>
      <c r="G32" s="28">
        <v>7</v>
      </c>
      <c r="H32" s="28">
        <v>5</v>
      </c>
      <c r="I32" s="30">
        <v>1951</v>
      </c>
      <c r="J32" s="34">
        <f t="shared" si="0"/>
        <v>18755</v>
      </c>
      <c r="K32" s="39" t="s">
        <v>830</v>
      </c>
      <c r="L32" s="25" t="s">
        <v>596</v>
      </c>
      <c r="M32" s="30">
        <v>1</v>
      </c>
      <c r="N32" s="17" t="s">
        <v>233</v>
      </c>
      <c r="O32" s="17"/>
      <c r="P32" s="25" t="s">
        <v>32</v>
      </c>
      <c r="Q32" s="25" t="s">
        <v>346</v>
      </c>
      <c r="R32" s="25">
        <v>31.768319000000002</v>
      </c>
      <c r="S32" s="25">
        <v>35.213709999999999</v>
      </c>
      <c r="T32" s="22">
        <v>2</v>
      </c>
      <c r="U32" s="22">
        <v>1</v>
      </c>
      <c r="V32" s="22">
        <v>1</v>
      </c>
      <c r="W32" s="22">
        <v>2</v>
      </c>
      <c r="X32" s="22">
        <v>2</v>
      </c>
      <c r="Y32" s="18"/>
      <c r="Z32" s="22">
        <v>5</v>
      </c>
      <c r="AA32" s="22">
        <v>2</v>
      </c>
      <c r="AB32" s="18" t="s">
        <v>221</v>
      </c>
      <c r="AC32" s="22">
        <v>2</v>
      </c>
      <c r="AD32" s="22">
        <v>2</v>
      </c>
      <c r="AE32" s="18" t="s">
        <v>221</v>
      </c>
      <c r="AF32" s="22">
        <v>1</v>
      </c>
      <c r="AG32" s="18"/>
      <c r="AH32" s="22">
        <v>99</v>
      </c>
      <c r="AI32" s="28">
        <v>99</v>
      </c>
      <c r="AJ32" s="18"/>
      <c r="AK32" s="22">
        <v>99</v>
      </c>
      <c r="AL32" s="22">
        <v>99</v>
      </c>
      <c r="AM32" s="22">
        <v>99</v>
      </c>
      <c r="AN32" s="22">
        <v>2</v>
      </c>
      <c r="AO32" s="22">
        <v>99</v>
      </c>
      <c r="AP32" s="22">
        <v>99</v>
      </c>
      <c r="AQ32" s="22" t="s">
        <v>833</v>
      </c>
      <c r="AR32" s="2" t="s">
        <v>570</v>
      </c>
      <c r="AS32" s="22">
        <v>1</v>
      </c>
      <c r="AT32" s="22">
        <v>6</v>
      </c>
      <c r="AU32" s="22">
        <v>3</v>
      </c>
      <c r="AV32" s="22">
        <v>3</v>
      </c>
      <c r="AW32" s="22">
        <v>4</v>
      </c>
      <c r="AX32" s="37">
        <v>4</v>
      </c>
      <c r="AY32" s="22">
        <v>4</v>
      </c>
      <c r="AZ32" s="22">
        <v>2</v>
      </c>
      <c r="BA32" s="38">
        <v>99</v>
      </c>
      <c r="BB32" s="22">
        <v>99</v>
      </c>
      <c r="BC32" s="22">
        <v>99</v>
      </c>
      <c r="BD32" s="22">
        <v>99</v>
      </c>
      <c r="BE32" s="37">
        <v>99</v>
      </c>
      <c r="BF32" s="22">
        <v>0</v>
      </c>
      <c r="BG32" s="22">
        <v>1</v>
      </c>
      <c r="BH32" s="22">
        <v>1</v>
      </c>
      <c r="BI32" s="22">
        <v>999</v>
      </c>
      <c r="BJ32" s="22">
        <v>7</v>
      </c>
    </row>
    <row r="33" spans="1:62" ht="15.75" customHeight="1">
      <c r="A33" s="22" t="s">
        <v>835</v>
      </c>
      <c r="B33" s="25" t="s">
        <v>836</v>
      </c>
      <c r="C33" s="22"/>
      <c r="D33" s="22"/>
      <c r="E33" s="22">
        <v>2</v>
      </c>
      <c r="F33" s="22">
        <v>1</v>
      </c>
      <c r="G33" s="28">
        <v>5</v>
      </c>
      <c r="H33" s="28">
        <v>7</v>
      </c>
      <c r="I33" s="30">
        <v>1951</v>
      </c>
      <c r="J33" s="34">
        <f t="shared" si="0"/>
        <v>18814</v>
      </c>
      <c r="K33" s="35" t="s">
        <v>221</v>
      </c>
      <c r="L33" s="25" t="s">
        <v>599</v>
      </c>
      <c r="M33" s="30">
        <v>5</v>
      </c>
      <c r="N33" s="17" t="s">
        <v>32</v>
      </c>
      <c r="O33" s="17"/>
      <c r="P33" s="25" t="s">
        <v>32</v>
      </c>
      <c r="Q33" s="25" t="s">
        <v>346</v>
      </c>
      <c r="R33" s="25">
        <v>31.768319000000002</v>
      </c>
      <c r="S33" s="25">
        <v>35.213709999999999</v>
      </c>
      <c r="T33" s="22">
        <v>2</v>
      </c>
      <c r="U33" s="22">
        <v>2</v>
      </c>
      <c r="V33" s="22">
        <v>2</v>
      </c>
      <c r="W33" s="22">
        <v>2</v>
      </c>
      <c r="X33" s="22">
        <v>2</v>
      </c>
      <c r="Y33" s="18"/>
      <c r="Z33" s="22">
        <v>5</v>
      </c>
      <c r="AA33" s="22">
        <v>2</v>
      </c>
      <c r="AB33" s="18" t="s">
        <v>221</v>
      </c>
      <c r="AC33" s="22">
        <v>6</v>
      </c>
      <c r="AD33" s="22">
        <v>2</v>
      </c>
      <c r="AE33" s="18" t="s">
        <v>221</v>
      </c>
      <c r="AF33" s="22">
        <v>1</v>
      </c>
      <c r="AG33" s="18"/>
      <c r="AH33" s="22">
        <v>99</v>
      </c>
      <c r="AI33" s="28">
        <v>99</v>
      </c>
      <c r="AJ33" s="18"/>
      <c r="AK33" s="22">
        <v>99</v>
      </c>
      <c r="AL33" s="22">
        <v>99</v>
      </c>
      <c r="AM33" s="22">
        <v>99</v>
      </c>
      <c r="AN33" s="22">
        <v>2</v>
      </c>
      <c r="AO33" s="22">
        <v>99</v>
      </c>
      <c r="AP33" s="22">
        <v>99</v>
      </c>
      <c r="AQ33" s="22" t="s">
        <v>844</v>
      </c>
      <c r="AR33" s="2" t="s">
        <v>750</v>
      </c>
      <c r="AS33" s="22">
        <v>99</v>
      </c>
      <c r="AT33" s="22">
        <v>4</v>
      </c>
      <c r="AU33" s="22">
        <v>3</v>
      </c>
      <c r="AV33" s="22">
        <v>3</v>
      </c>
      <c r="AW33" s="22">
        <v>4</v>
      </c>
      <c r="AX33" s="37">
        <v>4</v>
      </c>
      <c r="AY33" s="22">
        <v>4</v>
      </c>
      <c r="AZ33" s="22">
        <v>2</v>
      </c>
      <c r="BA33" s="38">
        <v>99</v>
      </c>
      <c r="BB33" s="22">
        <v>99</v>
      </c>
      <c r="BC33" s="22">
        <v>99</v>
      </c>
      <c r="BD33" s="22">
        <v>99</v>
      </c>
      <c r="BE33" s="37">
        <v>99</v>
      </c>
      <c r="BF33" s="22">
        <v>3</v>
      </c>
      <c r="BG33" s="22">
        <v>0</v>
      </c>
      <c r="BH33" s="22">
        <v>3</v>
      </c>
      <c r="BI33" s="22">
        <v>999</v>
      </c>
      <c r="BJ33" s="22">
        <v>7</v>
      </c>
    </row>
    <row r="34" spans="1:62" ht="15.75" customHeight="1">
      <c r="A34" s="22" t="s">
        <v>849</v>
      </c>
      <c r="B34" s="25" t="s">
        <v>851</v>
      </c>
      <c r="C34" s="22"/>
      <c r="D34" s="22"/>
      <c r="E34" s="22">
        <v>1</v>
      </c>
      <c r="F34" s="22">
        <v>1</v>
      </c>
      <c r="G34" s="28">
        <v>18</v>
      </c>
      <c r="H34" s="28">
        <v>8</v>
      </c>
      <c r="I34" s="30">
        <v>1951</v>
      </c>
      <c r="J34" s="34">
        <f t="shared" si="0"/>
        <v>18858</v>
      </c>
      <c r="K34" s="35" t="s">
        <v>221</v>
      </c>
      <c r="L34" s="25" t="s">
        <v>600</v>
      </c>
      <c r="M34" s="30">
        <v>1</v>
      </c>
      <c r="N34" s="17" t="s">
        <v>233</v>
      </c>
      <c r="O34" s="17"/>
      <c r="P34" s="25" t="s">
        <v>539</v>
      </c>
      <c r="Q34" s="25" t="s">
        <v>545</v>
      </c>
      <c r="R34" s="25">
        <v>32.085299900000003</v>
      </c>
      <c r="S34" s="25">
        <v>34.781767599999903</v>
      </c>
      <c r="T34" s="22">
        <v>2</v>
      </c>
      <c r="U34" s="22">
        <v>2</v>
      </c>
      <c r="V34" s="22">
        <v>1</v>
      </c>
      <c r="W34" s="22">
        <v>3</v>
      </c>
      <c r="X34" s="22">
        <v>2</v>
      </c>
      <c r="Y34" s="18"/>
      <c r="Z34" s="22">
        <v>5</v>
      </c>
      <c r="AA34" s="22">
        <v>1</v>
      </c>
      <c r="AB34" s="18" t="s">
        <v>221</v>
      </c>
      <c r="AC34" s="22">
        <v>6</v>
      </c>
      <c r="AD34" s="22">
        <v>2</v>
      </c>
      <c r="AE34" s="18" t="s">
        <v>221</v>
      </c>
      <c r="AF34" s="22">
        <v>1</v>
      </c>
      <c r="AG34" s="18"/>
      <c r="AH34" s="22">
        <v>99</v>
      </c>
      <c r="AI34" s="28">
        <v>99</v>
      </c>
      <c r="AJ34" s="18"/>
      <c r="AK34" s="22">
        <v>99</v>
      </c>
      <c r="AL34" s="22">
        <v>99</v>
      </c>
      <c r="AM34" s="22">
        <v>99</v>
      </c>
      <c r="AN34" s="22">
        <v>2</v>
      </c>
      <c r="AO34" s="22">
        <v>99</v>
      </c>
      <c r="AP34" s="22">
        <v>99</v>
      </c>
      <c r="AQ34" s="18" t="s">
        <v>221</v>
      </c>
      <c r="AR34" s="18" t="s">
        <v>221</v>
      </c>
      <c r="AS34" s="22">
        <v>99</v>
      </c>
      <c r="AT34" s="22">
        <v>2</v>
      </c>
      <c r="AU34" s="22">
        <v>3</v>
      </c>
      <c r="AV34" s="22">
        <v>3</v>
      </c>
      <c r="AW34" s="22">
        <v>4</v>
      </c>
      <c r="AX34" s="37">
        <v>4</v>
      </c>
      <c r="AY34" s="22">
        <v>4</v>
      </c>
      <c r="AZ34" s="22">
        <v>2</v>
      </c>
      <c r="BA34" s="38">
        <v>99</v>
      </c>
      <c r="BB34" s="22">
        <v>99</v>
      </c>
      <c r="BC34" s="22">
        <v>99</v>
      </c>
      <c r="BD34" s="22">
        <v>99</v>
      </c>
      <c r="BE34" s="37">
        <v>99</v>
      </c>
      <c r="BF34" s="22">
        <v>2</v>
      </c>
      <c r="BG34" s="22">
        <v>0</v>
      </c>
      <c r="BH34" s="22">
        <v>2</v>
      </c>
      <c r="BI34" s="22">
        <v>999</v>
      </c>
      <c r="BJ34" s="22">
        <v>8</v>
      </c>
    </row>
    <row r="35" spans="1:62" ht="15.75" customHeight="1">
      <c r="A35" s="22" t="s">
        <v>860</v>
      </c>
      <c r="B35" s="22"/>
      <c r="C35" s="22"/>
      <c r="D35" s="22"/>
      <c r="E35" s="22">
        <v>2</v>
      </c>
      <c r="F35" s="22">
        <v>1</v>
      </c>
      <c r="G35" s="28">
        <v>21</v>
      </c>
      <c r="H35" s="28">
        <v>8</v>
      </c>
      <c r="I35" s="30">
        <v>1951</v>
      </c>
      <c r="J35" s="34">
        <f t="shared" si="0"/>
        <v>18861</v>
      </c>
      <c r="K35" s="11" t="s">
        <v>861</v>
      </c>
      <c r="L35" s="25" t="s">
        <v>601</v>
      </c>
      <c r="M35" s="30">
        <v>7</v>
      </c>
      <c r="N35" s="17" t="s">
        <v>447</v>
      </c>
      <c r="O35" s="17"/>
      <c r="P35" s="18"/>
      <c r="Q35" s="41" t="s">
        <v>582</v>
      </c>
      <c r="R35" s="42">
        <v>39.912941199999999</v>
      </c>
      <c r="S35" s="42">
        <v>-104.79560549999999</v>
      </c>
      <c r="T35" s="22">
        <v>2</v>
      </c>
      <c r="U35" s="22">
        <v>2</v>
      </c>
      <c r="V35" s="22">
        <v>1</v>
      </c>
      <c r="W35" s="22">
        <v>2</v>
      </c>
      <c r="X35" s="22">
        <v>2</v>
      </c>
      <c r="Y35" s="18"/>
      <c r="Z35" s="22">
        <v>1</v>
      </c>
      <c r="AA35" s="22">
        <v>3</v>
      </c>
      <c r="AB35" s="18" t="s">
        <v>221</v>
      </c>
      <c r="AC35" s="22">
        <v>6</v>
      </c>
      <c r="AD35" s="22">
        <v>2</v>
      </c>
      <c r="AE35" s="18" t="s">
        <v>221</v>
      </c>
      <c r="AF35" s="22">
        <v>1</v>
      </c>
      <c r="AG35" s="18"/>
      <c r="AH35" s="22">
        <v>99</v>
      </c>
      <c r="AI35" s="28">
        <v>99</v>
      </c>
      <c r="AJ35" s="18"/>
      <c r="AK35" s="22">
        <v>99</v>
      </c>
      <c r="AL35" s="22">
        <v>99</v>
      </c>
      <c r="AM35" s="22">
        <v>99</v>
      </c>
      <c r="AN35" s="22">
        <v>2</v>
      </c>
      <c r="AO35" s="22">
        <v>99</v>
      </c>
      <c r="AP35" s="22">
        <v>99</v>
      </c>
      <c r="AQ35" s="22" t="s">
        <v>865</v>
      </c>
      <c r="AR35" s="18" t="s">
        <v>221</v>
      </c>
      <c r="AS35" s="22">
        <v>99</v>
      </c>
      <c r="AT35" s="22">
        <v>6</v>
      </c>
      <c r="AU35" s="22">
        <v>3</v>
      </c>
      <c r="AV35" s="22">
        <v>3</v>
      </c>
      <c r="AW35" s="22">
        <v>4</v>
      </c>
      <c r="AX35" s="37">
        <v>4</v>
      </c>
      <c r="AY35" s="22">
        <v>4</v>
      </c>
      <c r="AZ35" s="22">
        <v>2</v>
      </c>
      <c r="BA35" s="38">
        <v>99</v>
      </c>
      <c r="BB35" s="22">
        <v>99</v>
      </c>
      <c r="BC35" s="22">
        <v>99</v>
      </c>
      <c r="BD35" s="22">
        <v>99</v>
      </c>
      <c r="BE35" s="37">
        <v>99</v>
      </c>
      <c r="BF35" s="22">
        <v>2</v>
      </c>
      <c r="BG35" s="22">
        <v>2</v>
      </c>
      <c r="BH35" s="22">
        <v>4</v>
      </c>
      <c r="BI35" s="22">
        <v>999</v>
      </c>
      <c r="BJ35" s="22">
        <v>9</v>
      </c>
    </row>
    <row r="36" spans="1:62" ht="15.75" customHeight="1">
      <c r="A36" s="22" t="s">
        <v>869</v>
      </c>
      <c r="B36" s="25" t="s">
        <v>711</v>
      </c>
      <c r="C36" s="22"/>
      <c r="D36" s="22"/>
      <c r="E36" s="22">
        <v>1</v>
      </c>
      <c r="F36" s="22">
        <v>1</v>
      </c>
      <c r="G36" s="28">
        <v>5</v>
      </c>
      <c r="H36" s="28">
        <v>9</v>
      </c>
      <c r="I36" s="30">
        <v>1951</v>
      </c>
      <c r="J36" s="34">
        <f t="shared" si="0"/>
        <v>18876</v>
      </c>
      <c r="K36" s="35" t="s">
        <v>221</v>
      </c>
      <c r="L36" s="25" t="s">
        <v>602</v>
      </c>
      <c r="M36" s="30">
        <v>8</v>
      </c>
      <c r="N36" s="17" t="s">
        <v>711</v>
      </c>
      <c r="O36" s="17"/>
      <c r="P36" s="18"/>
      <c r="Q36" s="41" t="s">
        <v>582</v>
      </c>
      <c r="R36" s="42">
        <v>39.912941199999999</v>
      </c>
      <c r="S36" s="42">
        <v>-104.79560549999999</v>
      </c>
      <c r="T36" s="22">
        <v>2</v>
      </c>
      <c r="U36" s="22">
        <v>2</v>
      </c>
      <c r="V36" s="22">
        <v>5</v>
      </c>
      <c r="W36" s="22">
        <v>2</v>
      </c>
      <c r="X36" s="22">
        <v>2</v>
      </c>
      <c r="Y36" s="18"/>
      <c r="Z36" s="22">
        <v>5</v>
      </c>
      <c r="AA36" s="22">
        <v>3</v>
      </c>
      <c r="AB36" s="18" t="s">
        <v>221</v>
      </c>
      <c r="AC36" s="22">
        <v>99</v>
      </c>
      <c r="AD36" s="22">
        <v>2</v>
      </c>
      <c r="AE36" s="18" t="s">
        <v>221</v>
      </c>
      <c r="AF36" s="22">
        <v>1</v>
      </c>
      <c r="AG36" s="18"/>
      <c r="AH36" s="22">
        <v>99</v>
      </c>
      <c r="AI36" s="28">
        <v>99</v>
      </c>
      <c r="AJ36" s="18"/>
      <c r="AK36" s="22">
        <v>99</v>
      </c>
      <c r="AL36" s="22">
        <v>99</v>
      </c>
      <c r="AM36" s="22">
        <v>99</v>
      </c>
      <c r="AN36" s="22">
        <v>2</v>
      </c>
      <c r="AO36" s="22">
        <v>99</v>
      </c>
      <c r="AP36" s="22">
        <v>99</v>
      </c>
      <c r="AQ36" s="22" t="s">
        <v>875</v>
      </c>
      <c r="AR36" s="2" t="s">
        <v>790</v>
      </c>
      <c r="AS36" s="22">
        <v>99</v>
      </c>
      <c r="AT36" s="22">
        <v>6</v>
      </c>
      <c r="AU36" s="22">
        <v>3</v>
      </c>
      <c r="AV36" s="22">
        <v>3</v>
      </c>
      <c r="AW36" s="22">
        <v>4</v>
      </c>
      <c r="AX36" s="37">
        <v>4</v>
      </c>
      <c r="AY36" s="22">
        <v>4</v>
      </c>
      <c r="AZ36" s="22">
        <v>2</v>
      </c>
      <c r="BA36" s="38">
        <v>99</v>
      </c>
      <c r="BB36" s="22">
        <v>99</v>
      </c>
      <c r="BC36" s="22">
        <v>99</v>
      </c>
      <c r="BD36" s="22">
        <v>99</v>
      </c>
      <c r="BE36" s="37">
        <v>99</v>
      </c>
      <c r="BF36" s="22">
        <v>1</v>
      </c>
      <c r="BG36" s="22">
        <v>1</v>
      </c>
      <c r="BH36" s="22">
        <v>2</v>
      </c>
      <c r="BI36" s="22">
        <v>999</v>
      </c>
      <c r="BJ36" s="22">
        <v>8</v>
      </c>
    </row>
    <row r="37" spans="1:62" ht="15.75" customHeight="1">
      <c r="A37" s="22" t="s">
        <v>876</v>
      </c>
      <c r="B37" s="25" t="s">
        <v>32</v>
      </c>
      <c r="C37" s="22"/>
      <c r="D37" s="22"/>
      <c r="E37" s="22">
        <v>1</v>
      </c>
      <c r="F37" s="22">
        <v>1</v>
      </c>
      <c r="G37" s="28">
        <v>22</v>
      </c>
      <c r="H37" s="28">
        <v>10</v>
      </c>
      <c r="I37" s="30">
        <v>1951</v>
      </c>
      <c r="J37" s="34">
        <f t="shared" si="0"/>
        <v>18923</v>
      </c>
      <c r="K37" s="35" t="s">
        <v>221</v>
      </c>
      <c r="L37" s="25" t="s">
        <v>604</v>
      </c>
      <c r="M37" s="30">
        <v>5</v>
      </c>
      <c r="N37" s="17" t="s">
        <v>32</v>
      </c>
      <c r="O37" s="17"/>
      <c r="P37" s="25" t="s">
        <v>605</v>
      </c>
      <c r="Q37" s="25" t="s">
        <v>714</v>
      </c>
      <c r="R37" s="75">
        <v>30.6035255</v>
      </c>
      <c r="S37" s="75">
        <v>-87.903604700000002</v>
      </c>
      <c r="T37" s="22">
        <v>2</v>
      </c>
      <c r="U37" s="22">
        <v>1</v>
      </c>
      <c r="V37" s="22">
        <v>5</v>
      </c>
      <c r="W37" s="22">
        <v>2</v>
      </c>
      <c r="X37" s="22">
        <v>2</v>
      </c>
      <c r="Y37" s="18"/>
      <c r="Z37" s="22">
        <v>5</v>
      </c>
      <c r="AA37" s="22">
        <v>2</v>
      </c>
      <c r="AB37" s="18" t="s">
        <v>221</v>
      </c>
      <c r="AC37" s="22">
        <v>6</v>
      </c>
      <c r="AD37" s="22">
        <v>2</v>
      </c>
      <c r="AE37" s="18" t="s">
        <v>221</v>
      </c>
      <c r="AF37" s="22">
        <v>1</v>
      </c>
      <c r="AG37" s="18"/>
      <c r="AH37" s="22">
        <v>99</v>
      </c>
      <c r="AI37" s="28">
        <v>99</v>
      </c>
      <c r="AJ37" s="18"/>
      <c r="AK37" s="22">
        <v>99</v>
      </c>
      <c r="AL37" s="22">
        <v>99</v>
      </c>
      <c r="AM37" s="22">
        <v>99</v>
      </c>
      <c r="AN37" s="22">
        <v>2</v>
      </c>
      <c r="AO37" s="22">
        <v>99</v>
      </c>
      <c r="AP37" s="22">
        <v>99</v>
      </c>
      <c r="AQ37" s="22" t="s">
        <v>886</v>
      </c>
      <c r="AR37" s="2" t="s">
        <v>887</v>
      </c>
      <c r="AS37" s="22">
        <v>5</v>
      </c>
      <c r="AT37" s="22">
        <v>4</v>
      </c>
      <c r="AU37" s="22">
        <v>3</v>
      </c>
      <c r="AV37" s="22">
        <v>3</v>
      </c>
      <c r="AW37" s="22">
        <v>4</v>
      </c>
      <c r="AX37" s="37">
        <v>4</v>
      </c>
      <c r="AY37" s="22">
        <v>4</v>
      </c>
      <c r="AZ37" s="22">
        <v>2</v>
      </c>
      <c r="BA37" s="38">
        <v>99</v>
      </c>
      <c r="BB37" s="22">
        <v>99</v>
      </c>
      <c r="BC37" s="22">
        <v>99</v>
      </c>
      <c r="BD37" s="22">
        <v>99</v>
      </c>
      <c r="BE37" s="37">
        <v>99</v>
      </c>
      <c r="BF37" s="22">
        <v>1</v>
      </c>
      <c r="BG37" s="22">
        <v>0</v>
      </c>
      <c r="BH37" s="22">
        <v>1</v>
      </c>
      <c r="BI37" s="22">
        <v>999</v>
      </c>
      <c r="BJ37" s="22">
        <v>7</v>
      </c>
    </row>
    <row r="38" spans="1:62" ht="15.75" customHeight="1">
      <c r="A38" s="22" t="s">
        <v>893</v>
      </c>
      <c r="B38" s="22"/>
      <c r="C38" s="22"/>
      <c r="D38" s="22"/>
      <c r="E38" s="22">
        <v>1</v>
      </c>
      <c r="F38" s="22">
        <v>1</v>
      </c>
      <c r="G38" s="28">
        <v>25</v>
      </c>
      <c r="H38" s="28">
        <v>11</v>
      </c>
      <c r="I38" s="30">
        <v>1951</v>
      </c>
      <c r="J38" s="34">
        <f t="shared" si="0"/>
        <v>18957</v>
      </c>
      <c r="K38" s="11" t="s">
        <v>690</v>
      </c>
      <c r="L38" s="25" t="s">
        <v>613</v>
      </c>
      <c r="M38" s="30">
        <v>5</v>
      </c>
      <c r="N38" s="17" t="s">
        <v>32</v>
      </c>
      <c r="O38" s="17"/>
      <c r="P38" s="25" t="s">
        <v>32</v>
      </c>
      <c r="Q38" s="25" t="s">
        <v>346</v>
      </c>
      <c r="R38" s="25">
        <v>31.768319000000002</v>
      </c>
      <c r="S38" s="25">
        <v>35.213709999999999</v>
      </c>
      <c r="T38" s="22">
        <v>2</v>
      </c>
      <c r="U38" s="22">
        <v>2</v>
      </c>
      <c r="V38" s="22">
        <v>2</v>
      </c>
      <c r="W38" s="22">
        <v>2</v>
      </c>
      <c r="X38" s="22">
        <v>2</v>
      </c>
      <c r="Y38" s="18"/>
      <c r="Z38" s="22">
        <v>5</v>
      </c>
      <c r="AA38" s="22">
        <v>2</v>
      </c>
      <c r="AB38" s="18" t="s">
        <v>221</v>
      </c>
      <c r="AC38" s="22">
        <v>6</v>
      </c>
      <c r="AD38" s="22">
        <v>2</v>
      </c>
      <c r="AE38" s="18" t="s">
        <v>221</v>
      </c>
      <c r="AF38" s="22">
        <v>1</v>
      </c>
      <c r="AG38" s="18"/>
      <c r="AH38" s="22">
        <v>99</v>
      </c>
      <c r="AI38" s="28">
        <v>99</v>
      </c>
      <c r="AJ38" s="18"/>
      <c r="AK38" s="22">
        <v>99</v>
      </c>
      <c r="AL38" s="22">
        <v>99</v>
      </c>
      <c r="AM38" s="22">
        <v>99</v>
      </c>
      <c r="AN38" s="22">
        <v>2</v>
      </c>
      <c r="AO38" s="22">
        <v>99</v>
      </c>
      <c r="AP38" s="22">
        <v>99</v>
      </c>
      <c r="AQ38" s="22" t="s">
        <v>901</v>
      </c>
      <c r="AR38" s="2" t="s">
        <v>730</v>
      </c>
      <c r="AS38" s="22">
        <v>99</v>
      </c>
      <c r="AT38" s="22">
        <v>6</v>
      </c>
      <c r="AU38" s="22">
        <v>3</v>
      </c>
      <c r="AV38" s="22">
        <v>3</v>
      </c>
      <c r="AW38" s="22">
        <v>4</v>
      </c>
      <c r="AX38" s="37">
        <v>4</v>
      </c>
      <c r="AY38" s="22">
        <v>4</v>
      </c>
      <c r="AZ38" s="22">
        <v>2</v>
      </c>
      <c r="BA38" s="38">
        <v>99</v>
      </c>
      <c r="BB38" s="22">
        <v>99</v>
      </c>
      <c r="BC38" s="22">
        <v>99</v>
      </c>
      <c r="BD38" s="22">
        <v>99</v>
      </c>
      <c r="BE38" s="37">
        <v>99</v>
      </c>
      <c r="BF38" s="22">
        <v>0</v>
      </c>
      <c r="BG38" s="22">
        <v>2</v>
      </c>
      <c r="BH38" s="22">
        <v>2</v>
      </c>
      <c r="BI38" s="22">
        <v>5</v>
      </c>
      <c r="BJ38" s="22">
        <v>7</v>
      </c>
    </row>
    <row r="39" spans="1:62" ht="15.75" customHeight="1">
      <c r="A39" s="22" t="s">
        <v>905</v>
      </c>
      <c r="B39" s="25" t="s">
        <v>906</v>
      </c>
      <c r="C39" s="22"/>
      <c r="D39" s="22"/>
      <c r="E39" s="22">
        <v>1</v>
      </c>
      <c r="F39" s="22">
        <v>1</v>
      </c>
      <c r="G39" s="28">
        <v>3</v>
      </c>
      <c r="H39" s="28">
        <v>12</v>
      </c>
      <c r="I39" s="30">
        <v>1951</v>
      </c>
      <c r="J39" s="34">
        <f t="shared" si="0"/>
        <v>18965</v>
      </c>
      <c r="K39" s="39" t="s">
        <v>328</v>
      </c>
      <c r="L39" s="25" t="s">
        <v>623</v>
      </c>
      <c r="M39" s="51"/>
      <c r="N39" s="52"/>
      <c r="O39" s="52"/>
      <c r="P39" s="25" t="s">
        <v>624</v>
      </c>
      <c r="Q39" s="25" t="s">
        <v>728</v>
      </c>
      <c r="R39" s="75">
        <v>30.071952899999999</v>
      </c>
      <c r="S39" s="75">
        <v>31.3300391</v>
      </c>
      <c r="T39" s="22">
        <v>1</v>
      </c>
      <c r="U39" s="22">
        <v>1</v>
      </c>
      <c r="V39" s="18"/>
      <c r="W39" s="22">
        <v>4</v>
      </c>
      <c r="X39" s="22">
        <v>2</v>
      </c>
      <c r="Y39" s="18"/>
      <c r="Z39" s="22">
        <v>3</v>
      </c>
      <c r="AA39" s="22">
        <v>3</v>
      </c>
      <c r="AB39" s="18" t="s">
        <v>221</v>
      </c>
      <c r="AC39" s="22">
        <v>6</v>
      </c>
      <c r="AD39" s="22">
        <v>2</v>
      </c>
      <c r="AE39" s="18" t="s">
        <v>221</v>
      </c>
      <c r="AF39" s="18"/>
      <c r="AG39" s="18"/>
      <c r="AH39" s="18"/>
      <c r="AI39" s="57"/>
      <c r="AJ39" s="18"/>
      <c r="AK39" s="18"/>
      <c r="AL39" s="18"/>
      <c r="AM39" s="18"/>
      <c r="AN39" s="18"/>
      <c r="AO39" s="18"/>
      <c r="AP39" s="18"/>
      <c r="AQ39" s="18" t="s">
        <v>221</v>
      </c>
      <c r="AR39" s="2" t="s">
        <v>921</v>
      </c>
      <c r="AS39" s="18"/>
      <c r="AT39" s="22">
        <v>6</v>
      </c>
      <c r="AU39" s="22">
        <v>3</v>
      </c>
      <c r="AV39" s="22">
        <v>3</v>
      </c>
      <c r="AW39" s="22">
        <v>4</v>
      </c>
      <c r="AX39" s="37">
        <v>4</v>
      </c>
      <c r="AY39" s="22">
        <v>4</v>
      </c>
      <c r="AZ39" s="22">
        <v>2</v>
      </c>
      <c r="BA39" s="88"/>
      <c r="BB39" s="18"/>
      <c r="BC39" s="18"/>
      <c r="BD39" s="18"/>
      <c r="BE39" s="89"/>
      <c r="BF39" s="22">
        <v>0</v>
      </c>
      <c r="BG39" s="22">
        <v>1</v>
      </c>
      <c r="BH39" s="22">
        <v>1</v>
      </c>
      <c r="BI39" s="22">
        <v>999</v>
      </c>
      <c r="BJ39" s="22">
        <v>9</v>
      </c>
    </row>
    <row r="40" spans="1:62" ht="15.75" customHeight="1">
      <c r="A40" s="22" t="s">
        <v>933</v>
      </c>
      <c r="B40" s="25" t="s">
        <v>934</v>
      </c>
      <c r="C40" s="22"/>
      <c r="D40" s="22"/>
      <c r="E40" s="22">
        <v>1</v>
      </c>
      <c r="F40" s="18"/>
      <c r="G40" s="28">
        <v>4</v>
      </c>
      <c r="H40" s="57"/>
      <c r="I40" s="30">
        <v>1952</v>
      </c>
      <c r="J40" s="34">
        <f t="shared" si="0"/>
        <v>18966</v>
      </c>
      <c r="K40" s="11" t="s">
        <v>861</v>
      </c>
      <c r="L40" s="25" t="s">
        <v>626</v>
      </c>
      <c r="M40" s="30">
        <v>3</v>
      </c>
      <c r="N40" s="17" t="s">
        <v>552</v>
      </c>
      <c r="O40" s="17"/>
      <c r="P40" s="25" t="s">
        <v>627</v>
      </c>
      <c r="Q40" s="25" t="s">
        <v>731</v>
      </c>
      <c r="R40" s="25">
        <v>32.499578999999997</v>
      </c>
      <c r="S40" s="25">
        <v>35.114134</v>
      </c>
      <c r="T40" s="22">
        <v>2</v>
      </c>
      <c r="U40" s="22">
        <v>1</v>
      </c>
      <c r="V40" s="22">
        <v>2</v>
      </c>
      <c r="W40" s="22">
        <v>3</v>
      </c>
      <c r="X40" s="22">
        <v>2</v>
      </c>
      <c r="Y40" s="18"/>
      <c r="Z40" s="22">
        <v>3</v>
      </c>
      <c r="AA40" s="22">
        <v>3</v>
      </c>
      <c r="AB40" s="18" t="s">
        <v>221</v>
      </c>
      <c r="AC40" s="18"/>
      <c r="AD40" s="22">
        <v>2</v>
      </c>
      <c r="AE40" s="18" t="s">
        <v>221</v>
      </c>
      <c r="AF40" s="18"/>
      <c r="AG40" s="18"/>
      <c r="AH40" s="18"/>
      <c r="AI40" s="57"/>
      <c r="AJ40" s="18"/>
      <c r="AK40" s="18"/>
      <c r="AL40" s="18"/>
      <c r="AM40" s="18"/>
      <c r="AN40" s="22">
        <v>2</v>
      </c>
      <c r="AO40" s="18"/>
      <c r="AP40" s="18"/>
      <c r="AQ40" s="22" t="s">
        <v>939</v>
      </c>
      <c r="AR40" s="18" t="s">
        <v>221</v>
      </c>
      <c r="AS40" s="18"/>
      <c r="AT40" s="22">
        <v>6</v>
      </c>
      <c r="AU40" s="22">
        <v>3</v>
      </c>
      <c r="AV40" s="22">
        <v>3</v>
      </c>
      <c r="AW40" s="22">
        <v>4</v>
      </c>
      <c r="AX40" s="37">
        <v>4</v>
      </c>
      <c r="AY40" s="22">
        <v>4</v>
      </c>
      <c r="AZ40" s="22">
        <v>2</v>
      </c>
      <c r="BA40" s="88"/>
      <c r="BB40" s="18"/>
      <c r="BC40" s="18"/>
      <c r="BD40" s="18"/>
      <c r="BE40" s="89"/>
      <c r="BF40" s="22">
        <v>0</v>
      </c>
      <c r="BG40" s="22">
        <v>5</v>
      </c>
      <c r="BH40" s="22">
        <v>5</v>
      </c>
      <c r="BI40" s="22">
        <v>999</v>
      </c>
      <c r="BJ40" s="22">
        <v>9</v>
      </c>
    </row>
    <row r="41" spans="1:62" ht="15.75" customHeight="1">
      <c r="A41" s="22" t="s">
        <v>943</v>
      </c>
      <c r="B41" s="25" t="s">
        <v>945</v>
      </c>
      <c r="C41" s="22"/>
      <c r="D41" s="22"/>
      <c r="E41" s="22">
        <v>1</v>
      </c>
      <c r="F41" s="22">
        <v>1</v>
      </c>
      <c r="G41" s="28">
        <v>16</v>
      </c>
      <c r="H41" s="28">
        <v>12</v>
      </c>
      <c r="I41" s="30">
        <v>1951</v>
      </c>
      <c r="J41" s="34">
        <f t="shared" si="0"/>
        <v>18978</v>
      </c>
      <c r="K41" s="35" t="s">
        <v>221</v>
      </c>
      <c r="L41" s="25" t="s">
        <v>628</v>
      </c>
      <c r="M41" s="30">
        <v>1</v>
      </c>
      <c r="N41" s="17" t="s">
        <v>233</v>
      </c>
      <c r="O41" s="17"/>
      <c r="P41" s="25" t="s">
        <v>32</v>
      </c>
      <c r="Q41" s="25" t="s">
        <v>346</v>
      </c>
      <c r="R41" s="25">
        <v>31.768319000000002</v>
      </c>
      <c r="S41" s="25">
        <v>35.213709999999999</v>
      </c>
      <c r="T41" s="22">
        <v>2</v>
      </c>
      <c r="U41" s="22">
        <v>1</v>
      </c>
      <c r="V41" s="22">
        <v>1</v>
      </c>
      <c r="W41" s="22">
        <v>2</v>
      </c>
      <c r="X41" s="22">
        <v>2</v>
      </c>
      <c r="Y41" s="18"/>
      <c r="Z41" s="22">
        <v>2</v>
      </c>
      <c r="AA41" s="22">
        <v>2</v>
      </c>
      <c r="AB41" s="18" t="s">
        <v>221</v>
      </c>
      <c r="AC41" s="22">
        <v>6</v>
      </c>
      <c r="AD41" s="22">
        <v>2</v>
      </c>
      <c r="AE41" s="18" t="s">
        <v>221</v>
      </c>
      <c r="AF41" s="18"/>
      <c r="AG41" s="18"/>
      <c r="AH41" s="18"/>
      <c r="AI41" s="57"/>
      <c r="AJ41" s="18"/>
      <c r="AK41" s="18"/>
      <c r="AL41" s="18"/>
      <c r="AM41" s="18"/>
      <c r="AN41" s="18"/>
      <c r="AO41" s="18"/>
      <c r="AP41" s="18"/>
      <c r="AQ41" s="22" t="s">
        <v>957</v>
      </c>
      <c r="AR41" s="2" t="s">
        <v>730</v>
      </c>
      <c r="AS41" s="18"/>
      <c r="AT41" s="22">
        <v>6</v>
      </c>
      <c r="AU41" s="22">
        <v>3</v>
      </c>
      <c r="AV41" s="22">
        <v>3</v>
      </c>
      <c r="AW41" s="22">
        <v>4</v>
      </c>
      <c r="AX41" s="37">
        <v>4</v>
      </c>
      <c r="AY41" s="22">
        <v>4</v>
      </c>
      <c r="AZ41" s="22">
        <v>2</v>
      </c>
      <c r="BA41" s="88"/>
      <c r="BB41" s="18"/>
      <c r="BC41" s="18"/>
      <c r="BD41" s="18"/>
      <c r="BE41" s="89"/>
      <c r="BF41" s="22">
        <v>0</v>
      </c>
      <c r="BG41" s="22">
        <v>1</v>
      </c>
      <c r="BH41" s="22">
        <v>1</v>
      </c>
      <c r="BI41" s="22">
        <v>999</v>
      </c>
      <c r="BJ41" s="22">
        <v>7</v>
      </c>
    </row>
    <row r="42" spans="1:62" ht="15.75" customHeight="1">
      <c r="A42" s="22" t="s">
        <v>963</v>
      </c>
      <c r="B42" s="25" t="s">
        <v>135</v>
      </c>
      <c r="C42" s="22"/>
      <c r="D42" s="22"/>
      <c r="E42" s="22">
        <v>1</v>
      </c>
      <c r="F42" s="22">
        <v>1</v>
      </c>
      <c r="G42" s="28">
        <v>28</v>
      </c>
      <c r="H42" s="28">
        <v>12</v>
      </c>
      <c r="I42" s="30">
        <v>1951</v>
      </c>
      <c r="J42" s="34">
        <f t="shared" si="0"/>
        <v>18990</v>
      </c>
      <c r="K42" s="39" t="s">
        <v>965</v>
      </c>
      <c r="L42" s="25" t="s">
        <v>629</v>
      </c>
      <c r="M42" s="51"/>
      <c r="N42" s="52"/>
      <c r="O42" s="52"/>
      <c r="P42" s="25" t="s">
        <v>630</v>
      </c>
      <c r="Q42" s="25" t="s">
        <v>735</v>
      </c>
      <c r="R42" s="75">
        <v>14.7654254</v>
      </c>
      <c r="S42" s="75">
        <v>121.041528</v>
      </c>
      <c r="T42" s="22">
        <v>1</v>
      </c>
      <c r="U42" s="22">
        <v>2</v>
      </c>
      <c r="V42" s="18"/>
      <c r="W42" s="22">
        <v>3</v>
      </c>
      <c r="X42" s="22">
        <v>2</v>
      </c>
      <c r="Y42" s="18"/>
      <c r="Z42" s="22">
        <v>2</v>
      </c>
      <c r="AA42" s="22">
        <v>2</v>
      </c>
      <c r="AB42" s="18" t="s">
        <v>221</v>
      </c>
      <c r="AC42" s="22">
        <v>6</v>
      </c>
      <c r="AD42" s="22">
        <v>2</v>
      </c>
      <c r="AE42" s="18" t="s">
        <v>221</v>
      </c>
      <c r="AF42" s="18"/>
      <c r="AG42" s="18"/>
      <c r="AH42" s="18"/>
      <c r="AI42" s="57"/>
      <c r="AJ42" s="18"/>
      <c r="AK42" s="18"/>
      <c r="AL42" s="18"/>
      <c r="AM42" s="18"/>
      <c r="AN42" s="18"/>
      <c r="AO42" s="18"/>
      <c r="AP42" s="18"/>
      <c r="AQ42" s="18" t="s">
        <v>221</v>
      </c>
      <c r="AR42" s="18" t="s">
        <v>221</v>
      </c>
      <c r="AS42" s="18"/>
      <c r="AT42" s="22">
        <v>6</v>
      </c>
      <c r="AU42" s="22">
        <v>3</v>
      </c>
      <c r="AV42" s="22">
        <v>3</v>
      </c>
      <c r="AW42" s="22">
        <v>4</v>
      </c>
      <c r="AX42" s="37">
        <v>4</v>
      </c>
      <c r="AY42" s="22">
        <v>4</v>
      </c>
      <c r="AZ42" s="22">
        <v>2</v>
      </c>
      <c r="BA42" s="88"/>
      <c r="BB42" s="18"/>
      <c r="BC42" s="18"/>
      <c r="BD42" s="18"/>
      <c r="BE42" s="89"/>
      <c r="BF42" s="22">
        <v>0</v>
      </c>
      <c r="BG42" s="22">
        <v>1</v>
      </c>
      <c r="BH42" s="22">
        <v>1</v>
      </c>
      <c r="BI42" s="22">
        <v>999</v>
      </c>
      <c r="BJ42" s="22">
        <v>7</v>
      </c>
    </row>
    <row r="43" spans="1:62" ht="15.75" customHeight="1">
      <c r="A43" s="22" t="s">
        <v>974</v>
      </c>
      <c r="B43" s="22"/>
      <c r="C43" s="22"/>
      <c r="D43" s="22"/>
      <c r="E43" s="22">
        <v>1</v>
      </c>
      <c r="F43" s="22">
        <v>1</v>
      </c>
      <c r="G43" s="28">
        <v>1</v>
      </c>
      <c r="H43" s="28">
        <v>1</v>
      </c>
      <c r="I43" s="30">
        <v>1952</v>
      </c>
      <c r="J43" s="34">
        <f t="shared" si="0"/>
        <v>18994</v>
      </c>
      <c r="K43" s="39" t="s">
        <v>328</v>
      </c>
      <c r="L43" s="25" t="s">
        <v>632</v>
      </c>
      <c r="M43" s="30">
        <v>7</v>
      </c>
      <c r="N43" s="17" t="s">
        <v>447</v>
      </c>
      <c r="O43" s="17"/>
      <c r="P43" s="18"/>
      <c r="Q43" s="41" t="s">
        <v>582</v>
      </c>
      <c r="R43" s="42">
        <v>39.912941199999999</v>
      </c>
      <c r="S43" s="42">
        <v>-104.79560549999999</v>
      </c>
      <c r="T43" s="22">
        <v>2</v>
      </c>
      <c r="U43" s="22">
        <v>2</v>
      </c>
      <c r="V43" s="22">
        <v>1</v>
      </c>
      <c r="W43" s="22">
        <v>2</v>
      </c>
      <c r="X43" s="22">
        <v>2</v>
      </c>
      <c r="Y43" s="18"/>
      <c r="Z43" s="22">
        <v>2</v>
      </c>
      <c r="AA43" s="22">
        <v>2</v>
      </c>
      <c r="AB43" s="18" t="s">
        <v>221</v>
      </c>
      <c r="AC43" s="22">
        <v>6</v>
      </c>
      <c r="AD43" s="22">
        <v>2</v>
      </c>
      <c r="AE43" s="18" t="s">
        <v>221</v>
      </c>
      <c r="AF43" s="18"/>
      <c r="AG43" s="18"/>
      <c r="AH43" s="18"/>
      <c r="AI43" s="57"/>
      <c r="AJ43" s="18"/>
      <c r="AK43" s="18"/>
      <c r="AL43" s="18"/>
      <c r="AM43" s="18"/>
      <c r="AN43" s="18"/>
      <c r="AO43" s="18"/>
      <c r="AP43" s="18"/>
      <c r="AQ43" s="18" t="s">
        <v>221</v>
      </c>
      <c r="AR43" s="2" t="s">
        <v>986</v>
      </c>
      <c r="AS43" s="22">
        <v>5</v>
      </c>
      <c r="AT43" s="22">
        <v>2</v>
      </c>
      <c r="AU43" s="22">
        <v>3</v>
      </c>
      <c r="AV43" s="22">
        <v>3</v>
      </c>
      <c r="AW43" s="22">
        <v>4</v>
      </c>
      <c r="AX43" s="37">
        <v>4</v>
      </c>
      <c r="AY43" s="22">
        <v>4</v>
      </c>
      <c r="AZ43" s="22">
        <v>2</v>
      </c>
      <c r="BA43" s="88"/>
      <c r="BB43" s="18"/>
      <c r="BC43" s="18"/>
      <c r="BD43" s="18"/>
      <c r="BE43" s="89"/>
      <c r="BF43" s="22">
        <v>1</v>
      </c>
      <c r="BG43" s="22">
        <v>0</v>
      </c>
      <c r="BH43" s="22">
        <v>1</v>
      </c>
      <c r="BI43" s="22">
        <v>999</v>
      </c>
      <c r="BJ43" s="22">
        <v>7</v>
      </c>
    </row>
    <row r="44" spans="1:62" ht="15.75" customHeight="1">
      <c r="A44" s="22" t="s">
        <v>990</v>
      </c>
      <c r="B44" s="25" t="s">
        <v>32</v>
      </c>
      <c r="C44" s="22"/>
      <c r="D44" s="22"/>
      <c r="E44" s="22">
        <v>1</v>
      </c>
      <c r="F44" s="18"/>
      <c r="G44" s="28">
        <v>2</v>
      </c>
      <c r="H44" s="28">
        <v>7</v>
      </c>
      <c r="I44" s="30">
        <v>1952</v>
      </c>
      <c r="J44" s="34">
        <f t="shared" si="0"/>
        <v>19177</v>
      </c>
      <c r="K44" s="11" t="s">
        <v>993</v>
      </c>
      <c r="L44" s="25" t="s">
        <v>638</v>
      </c>
      <c r="M44" s="30">
        <v>5</v>
      </c>
      <c r="N44" s="17" t="s">
        <v>32</v>
      </c>
      <c r="O44" s="17"/>
      <c r="P44" s="25" t="s">
        <v>32</v>
      </c>
      <c r="Q44" s="25" t="s">
        <v>346</v>
      </c>
      <c r="R44" s="25">
        <v>31.768319000000002</v>
      </c>
      <c r="S44" s="25">
        <v>35.213709999999999</v>
      </c>
      <c r="T44" s="22">
        <v>2</v>
      </c>
      <c r="U44" s="22">
        <v>2</v>
      </c>
      <c r="V44" s="22">
        <v>2</v>
      </c>
      <c r="W44" s="22">
        <v>2</v>
      </c>
      <c r="X44" s="22">
        <v>2</v>
      </c>
      <c r="Y44" s="18"/>
      <c r="Z44" s="22">
        <v>5</v>
      </c>
      <c r="AA44" s="22">
        <v>3</v>
      </c>
      <c r="AB44" s="18" t="s">
        <v>221</v>
      </c>
      <c r="AC44" s="22">
        <v>6</v>
      </c>
      <c r="AD44" s="22">
        <v>2</v>
      </c>
      <c r="AE44" s="2" t="s">
        <v>994</v>
      </c>
      <c r="AF44" s="22">
        <v>99</v>
      </c>
      <c r="AG44" s="18"/>
      <c r="AH44" s="22">
        <v>99</v>
      </c>
      <c r="AI44" s="28">
        <v>99</v>
      </c>
      <c r="AJ44" s="18"/>
      <c r="AK44" s="22">
        <v>99</v>
      </c>
      <c r="AL44" s="22">
        <v>99</v>
      </c>
      <c r="AM44" s="22">
        <v>99</v>
      </c>
      <c r="AN44" s="22">
        <v>2</v>
      </c>
      <c r="AO44" s="22">
        <v>99</v>
      </c>
      <c r="AP44" s="22">
        <v>99</v>
      </c>
      <c r="AQ44" s="22" t="s">
        <v>995</v>
      </c>
      <c r="AR44" s="2" t="s">
        <v>996</v>
      </c>
      <c r="AS44" s="22">
        <v>99</v>
      </c>
      <c r="AT44" s="22">
        <v>6</v>
      </c>
      <c r="AU44" s="22">
        <v>3</v>
      </c>
      <c r="AV44" s="22">
        <v>3</v>
      </c>
      <c r="AW44" s="22">
        <v>4</v>
      </c>
      <c r="AX44" s="37">
        <v>4</v>
      </c>
      <c r="AY44" s="22">
        <v>4</v>
      </c>
      <c r="AZ44" s="22">
        <v>2</v>
      </c>
      <c r="BA44" s="38">
        <v>99</v>
      </c>
      <c r="BB44" s="22">
        <v>99</v>
      </c>
      <c r="BC44" s="22">
        <v>99</v>
      </c>
      <c r="BD44" s="22">
        <v>99</v>
      </c>
      <c r="BE44" s="37">
        <v>99</v>
      </c>
      <c r="BF44" s="22">
        <v>0</v>
      </c>
      <c r="BG44" s="22">
        <v>1</v>
      </c>
      <c r="BH44" s="22">
        <v>1</v>
      </c>
      <c r="BI44" s="22">
        <v>999</v>
      </c>
      <c r="BJ44" s="22">
        <v>8</v>
      </c>
    </row>
    <row r="45" spans="1:62" ht="15.75" customHeight="1">
      <c r="A45" s="22" t="s">
        <v>998</v>
      </c>
      <c r="B45" s="25" t="s">
        <v>1000</v>
      </c>
      <c r="C45" s="22"/>
      <c r="D45" s="22"/>
      <c r="E45" s="22">
        <v>1</v>
      </c>
      <c r="F45" s="18"/>
      <c r="G45" s="28">
        <v>14</v>
      </c>
      <c r="H45" s="28">
        <v>7</v>
      </c>
      <c r="I45" s="30">
        <v>1952</v>
      </c>
      <c r="J45" s="34">
        <f t="shared" si="0"/>
        <v>19189</v>
      </c>
      <c r="K45" s="35" t="s">
        <v>221</v>
      </c>
      <c r="L45" s="25" t="s">
        <v>639</v>
      </c>
      <c r="M45" s="30">
        <v>7</v>
      </c>
      <c r="N45" s="17" t="s">
        <v>447</v>
      </c>
      <c r="O45" s="17"/>
      <c r="P45" s="18"/>
      <c r="Q45" s="41" t="s">
        <v>582</v>
      </c>
      <c r="R45" s="42">
        <v>39.912941199999999</v>
      </c>
      <c r="S45" s="42">
        <v>-104.79560549999999</v>
      </c>
      <c r="T45" s="22">
        <v>1</v>
      </c>
      <c r="U45" s="22">
        <v>2</v>
      </c>
      <c r="V45" s="22">
        <v>5</v>
      </c>
      <c r="W45" s="22">
        <v>2</v>
      </c>
      <c r="X45" s="22">
        <v>2</v>
      </c>
      <c r="Y45" s="18"/>
      <c r="Z45" s="22">
        <v>5</v>
      </c>
      <c r="AA45" s="22">
        <v>3</v>
      </c>
      <c r="AB45" s="18" t="s">
        <v>221</v>
      </c>
      <c r="AC45" s="22">
        <v>2</v>
      </c>
      <c r="AD45" s="22">
        <v>2</v>
      </c>
      <c r="AE45" s="2" t="s">
        <v>994</v>
      </c>
      <c r="AF45" s="22">
        <v>1</v>
      </c>
      <c r="AG45" s="18"/>
      <c r="AH45" s="22">
        <v>3</v>
      </c>
      <c r="AI45" s="28">
        <v>99</v>
      </c>
      <c r="AJ45" s="18"/>
      <c r="AK45" s="22">
        <v>99</v>
      </c>
      <c r="AL45" s="22">
        <v>99</v>
      </c>
      <c r="AM45" s="22">
        <v>99</v>
      </c>
      <c r="AN45" s="22">
        <v>2</v>
      </c>
      <c r="AO45" s="22">
        <v>99</v>
      </c>
      <c r="AP45" s="22">
        <v>99</v>
      </c>
      <c r="AQ45" s="22" t="s">
        <v>1013</v>
      </c>
      <c r="AR45" s="2" t="s">
        <v>1014</v>
      </c>
      <c r="AS45" s="22">
        <v>7</v>
      </c>
      <c r="AT45" s="22">
        <v>4</v>
      </c>
      <c r="AU45" s="22">
        <v>3</v>
      </c>
      <c r="AV45" s="22">
        <v>3</v>
      </c>
      <c r="AW45" s="22">
        <v>4</v>
      </c>
      <c r="AX45" s="37">
        <v>4</v>
      </c>
      <c r="AY45" s="22">
        <v>4</v>
      </c>
      <c r="AZ45" s="22">
        <v>2</v>
      </c>
      <c r="BA45" s="38">
        <v>99</v>
      </c>
      <c r="BB45" s="22">
        <v>99</v>
      </c>
      <c r="BC45" s="22">
        <v>99</v>
      </c>
      <c r="BD45" s="22">
        <v>99</v>
      </c>
      <c r="BE45" s="37">
        <v>99</v>
      </c>
      <c r="BF45" s="22">
        <v>1</v>
      </c>
      <c r="BG45" s="22">
        <v>0</v>
      </c>
      <c r="BH45" s="22">
        <v>1</v>
      </c>
      <c r="BI45" s="22">
        <v>999</v>
      </c>
      <c r="BJ45" s="22">
        <v>8</v>
      </c>
    </row>
    <row r="46" spans="1:62" ht="15.75" customHeight="1">
      <c r="A46" s="22" t="s">
        <v>1020</v>
      </c>
      <c r="B46" s="22"/>
      <c r="C46" s="22"/>
      <c r="D46" s="22"/>
      <c r="E46" s="22">
        <v>1</v>
      </c>
      <c r="F46" s="22">
        <v>2</v>
      </c>
      <c r="G46" s="28">
        <v>26</v>
      </c>
      <c r="H46" s="28">
        <v>9</v>
      </c>
      <c r="I46" s="30">
        <v>1952</v>
      </c>
      <c r="J46" s="34">
        <f t="shared" si="0"/>
        <v>19263</v>
      </c>
      <c r="K46" s="11" t="s">
        <v>1025</v>
      </c>
      <c r="L46" s="25" t="s">
        <v>643</v>
      </c>
      <c r="M46" s="30">
        <v>5</v>
      </c>
      <c r="N46" s="17" t="s">
        <v>32</v>
      </c>
      <c r="O46" s="17"/>
      <c r="P46" s="25" t="s">
        <v>32</v>
      </c>
      <c r="Q46" s="25" t="s">
        <v>346</v>
      </c>
      <c r="R46" s="25">
        <v>31.768319000000002</v>
      </c>
      <c r="S46" s="25">
        <v>35.213709999999999</v>
      </c>
      <c r="T46" s="22">
        <v>2</v>
      </c>
      <c r="U46" s="22">
        <v>2</v>
      </c>
      <c r="V46" s="22">
        <v>2</v>
      </c>
      <c r="W46" s="22">
        <v>2</v>
      </c>
      <c r="X46" s="22">
        <v>2</v>
      </c>
      <c r="Y46" s="18"/>
      <c r="Z46" s="22">
        <v>5</v>
      </c>
      <c r="AA46" s="22">
        <v>2</v>
      </c>
      <c r="AB46" s="18" t="s">
        <v>221</v>
      </c>
      <c r="AC46" s="22">
        <v>6</v>
      </c>
      <c r="AD46" s="22">
        <v>2</v>
      </c>
      <c r="AE46" s="22" t="s">
        <v>1028</v>
      </c>
      <c r="AF46" s="22">
        <v>1</v>
      </c>
      <c r="AG46" s="18"/>
      <c r="AH46" s="22">
        <v>3</v>
      </c>
      <c r="AI46" s="28">
        <v>99</v>
      </c>
      <c r="AJ46" s="18"/>
      <c r="AK46" s="22">
        <v>99</v>
      </c>
      <c r="AL46" s="22">
        <v>99</v>
      </c>
      <c r="AM46" s="22">
        <v>99</v>
      </c>
      <c r="AN46" s="22">
        <v>2</v>
      </c>
      <c r="AO46" s="22">
        <v>99</v>
      </c>
      <c r="AP46" s="22">
        <v>99</v>
      </c>
      <c r="AQ46" s="22" t="s">
        <v>1031</v>
      </c>
      <c r="AR46" s="2" t="s">
        <v>1033</v>
      </c>
      <c r="AS46" s="22">
        <v>5</v>
      </c>
      <c r="AT46" s="22">
        <v>5</v>
      </c>
      <c r="AU46" s="22">
        <v>3</v>
      </c>
      <c r="AV46" s="22">
        <v>3</v>
      </c>
      <c r="AW46" s="22">
        <v>4</v>
      </c>
      <c r="AX46" s="37">
        <v>4</v>
      </c>
      <c r="AY46" s="22">
        <v>4</v>
      </c>
      <c r="AZ46" s="22">
        <v>2</v>
      </c>
      <c r="BA46" s="38">
        <v>99</v>
      </c>
      <c r="BB46" s="22">
        <v>99</v>
      </c>
      <c r="BC46" s="22">
        <v>99</v>
      </c>
      <c r="BD46" s="22">
        <v>99</v>
      </c>
      <c r="BE46" s="37">
        <v>99</v>
      </c>
      <c r="BF46" s="22">
        <v>1</v>
      </c>
      <c r="BG46" s="22">
        <v>0</v>
      </c>
      <c r="BH46" s="22">
        <v>1</v>
      </c>
      <c r="BI46" s="22">
        <v>1</v>
      </c>
      <c r="BJ46" s="22">
        <v>7</v>
      </c>
    </row>
    <row r="47" spans="1:62" ht="15.75" customHeight="1">
      <c r="A47" s="22" t="s">
        <v>1038</v>
      </c>
      <c r="B47" s="25" t="s">
        <v>32</v>
      </c>
      <c r="C47" s="22"/>
      <c r="D47" s="22"/>
      <c r="E47" s="22">
        <v>1</v>
      </c>
      <c r="F47" s="22">
        <v>1</v>
      </c>
      <c r="G47" s="28">
        <v>6</v>
      </c>
      <c r="H47" s="28">
        <v>11</v>
      </c>
      <c r="I47" s="30">
        <v>1952</v>
      </c>
      <c r="J47" s="34">
        <f t="shared" si="0"/>
        <v>19304</v>
      </c>
      <c r="K47" s="11" t="s">
        <v>994</v>
      </c>
      <c r="L47" s="25" t="s">
        <v>645</v>
      </c>
      <c r="M47" s="30">
        <v>5</v>
      </c>
      <c r="N47" s="17" t="s">
        <v>32</v>
      </c>
      <c r="O47" s="17"/>
      <c r="P47" s="25" t="s">
        <v>539</v>
      </c>
      <c r="Q47" s="25" t="s">
        <v>545</v>
      </c>
      <c r="R47" s="25">
        <v>32.085299900000003</v>
      </c>
      <c r="S47" s="25">
        <v>34.781767599999903</v>
      </c>
      <c r="T47" s="22">
        <v>2</v>
      </c>
      <c r="U47" s="22">
        <v>2</v>
      </c>
      <c r="V47" s="22">
        <v>2</v>
      </c>
      <c r="W47" s="22">
        <v>3</v>
      </c>
      <c r="X47" s="22">
        <v>2</v>
      </c>
      <c r="Y47" s="18"/>
      <c r="Z47" s="22">
        <v>5</v>
      </c>
      <c r="AA47" s="22">
        <v>3</v>
      </c>
      <c r="AB47" s="18" t="s">
        <v>221</v>
      </c>
      <c r="AC47" s="22">
        <v>6</v>
      </c>
      <c r="AD47" s="22">
        <v>2</v>
      </c>
      <c r="AE47" s="22" t="s">
        <v>1046</v>
      </c>
      <c r="AF47" s="22">
        <v>1</v>
      </c>
      <c r="AG47" s="18"/>
      <c r="AH47" s="22">
        <v>3</v>
      </c>
      <c r="AI47" s="28">
        <v>99</v>
      </c>
      <c r="AJ47" s="18"/>
      <c r="AK47" s="22">
        <v>99</v>
      </c>
      <c r="AL47" s="22">
        <v>99</v>
      </c>
      <c r="AM47" s="22">
        <v>99</v>
      </c>
      <c r="AN47" s="22">
        <v>1</v>
      </c>
      <c r="AO47" s="22">
        <v>6</v>
      </c>
      <c r="AP47" s="22">
        <v>99</v>
      </c>
      <c r="AQ47" s="22" t="s">
        <v>1049</v>
      </c>
      <c r="AR47" s="18" t="s">
        <v>221</v>
      </c>
      <c r="AS47" s="22">
        <v>99</v>
      </c>
      <c r="AT47" s="22">
        <v>99</v>
      </c>
      <c r="AU47" s="22">
        <v>3</v>
      </c>
      <c r="AV47" s="22">
        <v>3</v>
      </c>
      <c r="AW47" s="22">
        <v>4</v>
      </c>
      <c r="AX47" s="37">
        <v>4</v>
      </c>
      <c r="AY47" s="22">
        <v>4</v>
      </c>
      <c r="AZ47" s="22">
        <v>2</v>
      </c>
      <c r="BA47" s="38">
        <v>99</v>
      </c>
      <c r="BB47" s="22">
        <v>99</v>
      </c>
      <c r="BC47" s="22">
        <v>99</v>
      </c>
      <c r="BD47" s="22">
        <v>99</v>
      </c>
      <c r="BE47" s="37">
        <v>99</v>
      </c>
      <c r="BF47" s="22">
        <v>0</v>
      </c>
      <c r="BG47" s="22">
        <v>0</v>
      </c>
      <c r="BH47" s="22">
        <v>0</v>
      </c>
      <c r="BI47" s="22">
        <v>1</v>
      </c>
      <c r="BJ47" s="22">
        <v>8</v>
      </c>
    </row>
    <row r="48" spans="1:62" ht="15.75" customHeight="1">
      <c r="A48" s="22" t="s">
        <v>1051</v>
      </c>
      <c r="B48" s="22"/>
      <c r="C48" s="22"/>
      <c r="D48" s="22"/>
      <c r="E48" s="22">
        <v>1</v>
      </c>
      <c r="F48" s="22">
        <v>1</v>
      </c>
      <c r="G48" s="28">
        <v>18</v>
      </c>
      <c r="H48" s="28">
        <v>11</v>
      </c>
      <c r="I48" s="30">
        <v>1952</v>
      </c>
      <c r="J48" s="34">
        <f t="shared" si="0"/>
        <v>19316</v>
      </c>
      <c r="K48" s="39" t="s">
        <v>1056</v>
      </c>
      <c r="L48" s="25" t="s">
        <v>646</v>
      </c>
      <c r="M48" s="30">
        <v>3</v>
      </c>
      <c r="N48" s="17" t="s">
        <v>552</v>
      </c>
      <c r="O48" s="17"/>
      <c r="P48" s="25" t="s">
        <v>647</v>
      </c>
      <c r="Q48" s="25" t="s">
        <v>744</v>
      </c>
      <c r="R48" s="25">
        <v>32.178195000000002</v>
      </c>
      <c r="S48" s="25">
        <v>34.907609999999998</v>
      </c>
      <c r="T48" s="22">
        <v>2</v>
      </c>
      <c r="U48" s="22">
        <v>1</v>
      </c>
      <c r="V48" s="22">
        <v>5</v>
      </c>
      <c r="W48" s="22">
        <v>3</v>
      </c>
      <c r="X48" s="22">
        <v>2</v>
      </c>
      <c r="Y48" s="18"/>
      <c r="Z48" s="22">
        <v>5</v>
      </c>
      <c r="AA48" s="22">
        <v>1</v>
      </c>
      <c r="AB48" s="18" t="s">
        <v>221</v>
      </c>
      <c r="AC48" s="22">
        <v>6</v>
      </c>
      <c r="AD48" s="22">
        <v>2</v>
      </c>
      <c r="AE48" s="22" t="s">
        <v>1061</v>
      </c>
      <c r="AF48" s="22">
        <v>99</v>
      </c>
      <c r="AG48" s="18"/>
      <c r="AH48" s="22">
        <v>99</v>
      </c>
      <c r="AI48" s="28">
        <v>99</v>
      </c>
      <c r="AJ48" s="18"/>
      <c r="AK48" s="22">
        <v>99</v>
      </c>
      <c r="AL48" s="22">
        <v>99</v>
      </c>
      <c r="AM48" s="22">
        <v>99</v>
      </c>
      <c r="AN48" s="22">
        <v>2</v>
      </c>
      <c r="AO48" s="22">
        <v>99</v>
      </c>
      <c r="AP48" s="22">
        <v>99</v>
      </c>
      <c r="AQ48" s="22" t="s">
        <v>1062</v>
      </c>
      <c r="AR48" s="18" t="s">
        <v>221</v>
      </c>
      <c r="AS48" s="22">
        <v>5</v>
      </c>
      <c r="AT48" s="22">
        <v>4</v>
      </c>
      <c r="AU48" s="22">
        <v>3</v>
      </c>
      <c r="AV48" s="22">
        <v>3</v>
      </c>
      <c r="AW48" s="22">
        <v>4</v>
      </c>
      <c r="AX48" s="37">
        <v>4</v>
      </c>
      <c r="AY48" s="22">
        <v>4</v>
      </c>
      <c r="AZ48" s="22">
        <v>2</v>
      </c>
      <c r="BA48" s="38">
        <v>99</v>
      </c>
      <c r="BB48" s="22">
        <v>99</v>
      </c>
      <c r="BC48" s="22">
        <v>99</v>
      </c>
      <c r="BD48" s="22">
        <v>99</v>
      </c>
      <c r="BE48" s="37">
        <v>99</v>
      </c>
      <c r="BF48" s="22">
        <v>1</v>
      </c>
      <c r="BG48" s="22">
        <v>0</v>
      </c>
      <c r="BH48" s="22">
        <v>1</v>
      </c>
      <c r="BI48" s="22">
        <v>4</v>
      </c>
      <c r="BJ48" s="22">
        <v>8</v>
      </c>
    </row>
    <row r="49" spans="1:62" ht="15.75" customHeight="1">
      <c r="A49" s="22" t="s">
        <v>1065</v>
      </c>
      <c r="B49" s="25" t="s">
        <v>1066</v>
      </c>
      <c r="C49" s="22"/>
      <c r="D49" s="22"/>
      <c r="E49" s="22">
        <v>1</v>
      </c>
      <c r="F49" s="22">
        <v>1</v>
      </c>
      <c r="G49" s="28">
        <v>26</v>
      </c>
      <c r="H49" s="28">
        <v>11</v>
      </c>
      <c r="I49" s="30">
        <v>1952</v>
      </c>
      <c r="J49" s="34">
        <f t="shared" si="0"/>
        <v>19324</v>
      </c>
      <c r="K49" s="39" t="s">
        <v>1056</v>
      </c>
      <c r="L49" s="25" t="s">
        <v>648</v>
      </c>
      <c r="M49" s="30">
        <v>5</v>
      </c>
      <c r="N49" s="17" t="s">
        <v>32</v>
      </c>
      <c r="O49" s="17"/>
      <c r="P49" s="25" t="s">
        <v>649</v>
      </c>
      <c r="Q49" s="25" t="s">
        <v>745</v>
      </c>
      <c r="R49" s="25">
        <v>32.321458</v>
      </c>
      <c r="S49" s="25">
        <v>34.853195999999997</v>
      </c>
      <c r="T49" s="22">
        <v>2</v>
      </c>
      <c r="U49" s="22">
        <v>2</v>
      </c>
      <c r="V49" s="22">
        <v>2</v>
      </c>
      <c r="W49" s="22">
        <v>3</v>
      </c>
      <c r="X49" s="22">
        <v>2</v>
      </c>
      <c r="Y49" s="18"/>
      <c r="Z49" s="22">
        <v>5</v>
      </c>
      <c r="AA49" s="22">
        <v>2</v>
      </c>
      <c r="AB49" s="18" t="s">
        <v>221</v>
      </c>
      <c r="AC49" s="22">
        <v>6</v>
      </c>
      <c r="AD49" s="22">
        <v>2</v>
      </c>
      <c r="AE49" s="22" t="s">
        <v>1071</v>
      </c>
      <c r="AF49" s="22">
        <v>1</v>
      </c>
      <c r="AG49" s="18"/>
      <c r="AH49" s="22">
        <v>3</v>
      </c>
      <c r="AI49" s="28">
        <v>99</v>
      </c>
      <c r="AJ49" s="18"/>
      <c r="AK49" s="22">
        <v>99</v>
      </c>
      <c r="AL49" s="22">
        <v>99</v>
      </c>
      <c r="AM49" s="22">
        <v>99</v>
      </c>
      <c r="AN49" s="22">
        <v>2</v>
      </c>
      <c r="AO49" s="22">
        <v>99</v>
      </c>
      <c r="AP49" s="22">
        <v>99</v>
      </c>
      <c r="AQ49" s="22" t="s">
        <v>1049</v>
      </c>
      <c r="AR49" s="18" t="s">
        <v>221</v>
      </c>
      <c r="AS49" s="22">
        <v>99</v>
      </c>
      <c r="AT49" s="22">
        <v>99</v>
      </c>
      <c r="AU49" s="22">
        <v>3</v>
      </c>
      <c r="AV49" s="22">
        <v>3</v>
      </c>
      <c r="AW49" s="22">
        <v>4</v>
      </c>
      <c r="AX49" s="37">
        <v>4</v>
      </c>
      <c r="AY49" s="22">
        <v>4</v>
      </c>
      <c r="AZ49" s="22">
        <v>2</v>
      </c>
      <c r="BA49" s="38">
        <v>99</v>
      </c>
      <c r="BB49" s="22">
        <v>99</v>
      </c>
      <c r="BC49" s="22">
        <v>99</v>
      </c>
      <c r="BD49" s="22">
        <v>99</v>
      </c>
      <c r="BE49" s="37">
        <v>99</v>
      </c>
      <c r="BF49" s="22">
        <v>0</v>
      </c>
      <c r="BG49" s="22">
        <v>0</v>
      </c>
      <c r="BH49" s="22">
        <v>0</v>
      </c>
      <c r="BI49" s="22">
        <v>999</v>
      </c>
      <c r="BJ49" s="22">
        <v>7</v>
      </c>
    </row>
    <row r="50" spans="1:62" ht="15.75" customHeight="1">
      <c r="A50" s="22" t="s">
        <v>1075</v>
      </c>
      <c r="B50" s="22"/>
      <c r="C50" s="22"/>
      <c r="D50" s="22"/>
      <c r="E50" s="22">
        <v>1</v>
      </c>
      <c r="F50" s="22">
        <v>1</v>
      </c>
      <c r="G50" s="28">
        <v>26</v>
      </c>
      <c r="H50" s="28">
        <v>11</v>
      </c>
      <c r="I50" s="30">
        <v>1952</v>
      </c>
      <c r="J50" s="34">
        <f t="shared" si="0"/>
        <v>19324</v>
      </c>
      <c r="K50" s="39" t="s">
        <v>1056</v>
      </c>
      <c r="L50" s="25" t="s">
        <v>651</v>
      </c>
      <c r="M50" s="30">
        <v>5</v>
      </c>
      <c r="N50" s="17" t="s">
        <v>32</v>
      </c>
      <c r="O50" s="17"/>
      <c r="P50" s="25" t="s">
        <v>32</v>
      </c>
      <c r="Q50" s="25" t="s">
        <v>346</v>
      </c>
      <c r="R50" s="25">
        <v>31.768319000000002</v>
      </c>
      <c r="S50" s="25">
        <v>35.213709999999999</v>
      </c>
      <c r="T50" s="22">
        <v>2</v>
      </c>
      <c r="U50" s="22">
        <v>2</v>
      </c>
      <c r="V50" s="22">
        <v>2</v>
      </c>
      <c r="W50" s="22">
        <v>2</v>
      </c>
      <c r="X50" s="22">
        <v>2</v>
      </c>
      <c r="Y50" s="18"/>
      <c r="Z50" s="22">
        <v>5</v>
      </c>
      <c r="AA50" s="22">
        <v>1</v>
      </c>
      <c r="AB50" s="18" t="s">
        <v>221</v>
      </c>
      <c r="AC50" s="22">
        <v>6</v>
      </c>
      <c r="AD50" s="22">
        <v>2</v>
      </c>
      <c r="AE50" s="22" t="s">
        <v>1080</v>
      </c>
      <c r="AF50" s="22">
        <v>1</v>
      </c>
      <c r="AG50" s="18"/>
      <c r="AH50" s="22">
        <v>3</v>
      </c>
      <c r="AI50" s="28">
        <v>99</v>
      </c>
      <c r="AJ50" s="18"/>
      <c r="AK50" s="22">
        <v>99</v>
      </c>
      <c r="AL50" s="22">
        <v>99</v>
      </c>
      <c r="AM50" s="22">
        <v>99</v>
      </c>
      <c r="AN50" s="22">
        <v>1</v>
      </c>
      <c r="AO50" s="22">
        <v>6</v>
      </c>
      <c r="AP50" s="22">
        <v>99</v>
      </c>
      <c r="AQ50" s="22" t="s">
        <v>1049</v>
      </c>
      <c r="AR50" s="18" t="s">
        <v>221</v>
      </c>
      <c r="AS50" s="22">
        <v>99</v>
      </c>
      <c r="AT50" s="22">
        <v>99</v>
      </c>
      <c r="AU50" s="22">
        <v>3</v>
      </c>
      <c r="AV50" s="22">
        <v>3</v>
      </c>
      <c r="AW50" s="22">
        <v>4</v>
      </c>
      <c r="AX50" s="37">
        <v>4</v>
      </c>
      <c r="AY50" s="22">
        <v>4</v>
      </c>
      <c r="AZ50" s="22">
        <v>2</v>
      </c>
      <c r="BA50" s="38">
        <v>99</v>
      </c>
      <c r="BB50" s="22">
        <v>99</v>
      </c>
      <c r="BC50" s="22">
        <v>99</v>
      </c>
      <c r="BD50" s="22">
        <v>99</v>
      </c>
      <c r="BE50" s="37">
        <v>99</v>
      </c>
      <c r="BF50" s="22">
        <v>0</v>
      </c>
      <c r="BG50" s="22">
        <v>0</v>
      </c>
      <c r="BH50" s="22">
        <v>0</v>
      </c>
      <c r="BI50" s="22">
        <v>1</v>
      </c>
      <c r="BJ50" s="22">
        <v>8</v>
      </c>
    </row>
    <row r="51" spans="1:62" ht="15.75" customHeight="1">
      <c r="A51" s="22" t="s">
        <v>1084</v>
      </c>
      <c r="B51" s="25" t="s">
        <v>1066</v>
      </c>
      <c r="C51" s="22"/>
      <c r="D51" s="22"/>
      <c r="E51" s="22">
        <v>1</v>
      </c>
      <c r="F51" s="22">
        <v>1</v>
      </c>
      <c r="G51" s="28">
        <v>27</v>
      </c>
      <c r="H51" s="28">
        <v>11</v>
      </c>
      <c r="I51" s="30">
        <v>1952</v>
      </c>
      <c r="J51" s="34">
        <f t="shared" si="0"/>
        <v>19325</v>
      </c>
      <c r="K51" s="39" t="s">
        <v>1087</v>
      </c>
      <c r="L51" s="25" t="s">
        <v>652</v>
      </c>
      <c r="M51" s="30">
        <v>5</v>
      </c>
      <c r="N51" s="17" t="s">
        <v>32</v>
      </c>
      <c r="O51" s="17"/>
      <c r="P51" s="25" t="s">
        <v>32</v>
      </c>
      <c r="Q51" s="25" t="s">
        <v>346</v>
      </c>
      <c r="R51" s="25">
        <v>31.768319000000002</v>
      </c>
      <c r="S51" s="25">
        <v>35.213709999999999</v>
      </c>
      <c r="T51" s="22">
        <v>2</v>
      </c>
      <c r="U51" s="22">
        <v>2</v>
      </c>
      <c r="V51" s="22">
        <v>5</v>
      </c>
      <c r="W51" s="22">
        <v>2</v>
      </c>
      <c r="X51" s="22">
        <v>2</v>
      </c>
      <c r="Y51" s="18"/>
      <c r="Z51" s="22">
        <v>5</v>
      </c>
      <c r="AA51" s="22">
        <v>1</v>
      </c>
      <c r="AB51" s="18" t="s">
        <v>221</v>
      </c>
      <c r="AC51" s="22">
        <v>9</v>
      </c>
      <c r="AD51" s="22">
        <v>2</v>
      </c>
      <c r="AE51" s="22" t="s">
        <v>1090</v>
      </c>
      <c r="AF51" s="22">
        <v>1</v>
      </c>
      <c r="AG51" s="18"/>
      <c r="AH51" s="22">
        <v>1</v>
      </c>
      <c r="AI51" s="28">
        <v>99</v>
      </c>
      <c r="AJ51" s="18"/>
      <c r="AK51" s="22">
        <v>99</v>
      </c>
      <c r="AL51" s="22">
        <v>99</v>
      </c>
      <c r="AM51" s="22">
        <v>99</v>
      </c>
      <c r="AN51" s="22">
        <v>2</v>
      </c>
      <c r="AO51" s="22">
        <v>99</v>
      </c>
      <c r="AP51" s="22">
        <v>99</v>
      </c>
      <c r="AQ51" s="22" t="s">
        <v>1049</v>
      </c>
      <c r="AR51" s="18" t="s">
        <v>221</v>
      </c>
      <c r="AS51" s="22">
        <v>99</v>
      </c>
      <c r="AT51" s="22">
        <v>99</v>
      </c>
      <c r="AU51" s="22">
        <v>3</v>
      </c>
      <c r="AV51" s="22">
        <v>3</v>
      </c>
      <c r="AW51" s="22">
        <v>4</v>
      </c>
      <c r="AX51" s="37">
        <v>4</v>
      </c>
      <c r="AY51" s="22">
        <v>4</v>
      </c>
      <c r="AZ51" s="22">
        <v>2</v>
      </c>
      <c r="BA51" s="38">
        <v>99</v>
      </c>
      <c r="BB51" s="22">
        <v>99</v>
      </c>
      <c r="BC51" s="22">
        <v>99</v>
      </c>
      <c r="BD51" s="22">
        <v>99</v>
      </c>
      <c r="BE51" s="37">
        <v>99</v>
      </c>
      <c r="BF51" s="22">
        <v>0</v>
      </c>
      <c r="BG51" s="22">
        <v>0</v>
      </c>
      <c r="BH51" s="22">
        <v>0</v>
      </c>
      <c r="BI51" s="22">
        <v>999</v>
      </c>
      <c r="BJ51" s="22">
        <v>7</v>
      </c>
    </row>
    <row r="52" spans="1:62" ht="15.75" customHeight="1">
      <c r="A52" s="22" t="s">
        <v>1094</v>
      </c>
      <c r="B52" s="25" t="s">
        <v>447</v>
      </c>
      <c r="C52" s="22"/>
      <c r="D52" s="22"/>
      <c r="E52" s="22">
        <v>1</v>
      </c>
      <c r="F52" s="22">
        <v>1</v>
      </c>
      <c r="G52" s="28">
        <v>19</v>
      </c>
      <c r="H52" s="28">
        <v>12</v>
      </c>
      <c r="I52" s="30">
        <v>1952</v>
      </c>
      <c r="J52" s="34">
        <f t="shared" si="0"/>
        <v>19347</v>
      </c>
      <c r="K52" s="39" t="s">
        <v>614</v>
      </c>
      <c r="L52" s="25" t="s">
        <v>653</v>
      </c>
      <c r="M52" s="30">
        <v>6</v>
      </c>
      <c r="N52" s="17" t="s">
        <v>1097</v>
      </c>
      <c r="O52" s="17"/>
      <c r="P52" s="18"/>
      <c r="Q52" s="41" t="s">
        <v>582</v>
      </c>
      <c r="R52" s="42">
        <v>39.912941199999999</v>
      </c>
      <c r="S52" s="42">
        <v>-104.79560549999999</v>
      </c>
      <c r="T52" s="18"/>
      <c r="U52" s="22">
        <v>2</v>
      </c>
      <c r="V52" s="22">
        <v>2</v>
      </c>
      <c r="W52" s="22">
        <v>3</v>
      </c>
      <c r="X52" s="22">
        <v>2</v>
      </c>
      <c r="Y52" s="18"/>
      <c r="Z52" s="22">
        <v>1</v>
      </c>
      <c r="AA52" s="22">
        <v>3</v>
      </c>
      <c r="AB52" s="18" t="s">
        <v>221</v>
      </c>
      <c r="AC52" s="22">
        <v>6</v>
      </c>
      <c r="AD52" s="22">
        <v>2</v>
      </c>
      <c r="AE52" s="2" t="s">
        <v>994</v>
      </c>
      <c r="AF52" s="22">
        <v>99</v>
      </c>
      <c r="AG52" s="18"/>
      <c r="AH52" s="22">
        <v>99</v>
      </c>
      <c r="AI52" s="28">
        <v>99</v>
      </c>
      <c r="AJ52" s="18"/>
      <c r="AK52" s="22">
        <v>99</v>
      </c>
      <c r="AL52" s="22">
        <v>99</v>
      </c>
      <c r="AM52" s="22">
        <v>99</v>
      </c>
      <c r="AN52" s="22">
        <v>2</v>
      </c>
      <c r="AO52" s="22">
        <v>99</v>
      </c>
      <c r="AP52" s="22">
        <v>99</v>
      </c>
      <c r="AQ52" s="22" t="s">
        <v>1103</v>
      </c>
      <c r="AR52" s="18" t="s">
        <v>221</v>
      </c>
      <c r="AS52" s="22">
        <v>99</v>
      </c>
      <c r="AT52" s="22">
        <v>6</v>
      </c>
      <c r="AU52" s="22">
        <v>3</v>
      </c>
      <c r="AV52" s="22">
        <v>3</v>
      </c>
      <c r="AW52" s="22">
        <v>4</v>
      </c>
      <c r="AX52" s="37">
        <v>4</v>
      </c>
      <c r="AY52" s="22">
        <v>4</v>
      </c>
      <c r="AZ52" s="22">
        <v>2</v>
      </c>
      <c r="BA52" s="38">
        <v>99</v>
      </c>
      <c r="BB52" s="22">
        <v>99</v>
      </c>
      <c r="BC52" s="22">
        <v>99</v>
      </c>
      <c r="BD52" s="22">
        <v>99</v>
      </c>
      <c r="BE52" s="37">
        <v>99</v>
      </c>
      <c r="BF52" s="22">
        <v>0</v>
      </c>
      <c r="BG52" s="22">
        <v>1</v>
      </c>
      <c r="BH52" s="22">
        <v>1</v>
      </c>
      <c r="BI52" s="22">
        <v>999</v>
      </c>
      <c r="BJ52" s="22">
        <v>9</v>
      </c>
    </row>
    <row r="53" spans="1:62" ht="15.75" customHeight="1">
      <c r="A53" s="22" t="s">
        <v>1105</v>
      </c>
      <c r="B53" s="25" t="s">
        <v>32</v>
      </c>
      <c r="C53" s="22"/>
      <c r="D53" s="22"/>
      <c r="E53" s="22">
        <v>1</v>
      </c>
      <c r="F53" s="22">
        <v>1</v>
      </c>
      <c r="G53" s="28">
        <v>22</v>
      </c>
      <c r="H53" s="28">
        <v>12</v>
      </c>
      <c r="I53" s="30">
        <v>1952</v>
      </c>
      <c r="J53" s="34">
        <f t="shared" si="0"/>
        <v>19350</v>
      </c>
      <c r="K53" s="11" t="s">
        <v>685</v>
      </c>
      <c r="L53" s="25" t="s">
        <v>655</v>
      </c>
      <c r="M53" s="30">
        <v>5</v>
      </c>
      <c r="N53" s="17" t="s">
        <v>32</v>
      </c>
      <c r="O53" s="17"/>
      <c r="P53" s="25" t="s">
        <v>656</v>
      </c>
      <c r="Q53" s="25" t="s">
        <v>751</v>
      </c>
      <c r="R53" s="25">
        <v>31.898042799999999</v>
      </c>
      <c r="S53" s="25">
        <v>35.204271400000003</v>
      </c>
      <c r="T53" s="22">
        <v>1</v>
      </c>
      <c r="U53" s="22">
        <v>2</v>
      </c>
      <c r="V53" s="22">
        <v>5</v>
      </c>
      <c r="W53" s="22">
        <v>3</v>
      </c>
      <c r="X53" s="22">
        <v>2</v>
      </c>
      <c r="Y53" s="18"/>
      <c r="Z53" s="22">
        <v>5</v>
      </c>
      <c r="AA53" s="22">
        <v>2</v>
      </c>
      <c r="AB53" s="18" t="s">
        <v>221</v>
      </c>
      <c r="AC53" s="22">
        <v>6</v>
      </c>
      <c r="AD53" s="22">
        <v>2</v>
      </c>
      <c r="AE53" s="22" t="s">
        <v>1111</v>
      </c>
      <c r="AF53" s="22">
        <v>1</v>
      </c>
      <c r="AG53" s="18"/>
      <c r="AH53" s="22">
        <v>99</v>
      </c>
      <c r="AI53" s="28">
        <v>99</v>
      </c>
      <c r="AJ53" s="18"/>
      <c r="AK53" s="22">
        <v>99</v>
      </c>
      <c r="AL53" s="22">
        <v>99</v>
      </c>
      <c r="AM53" s="22">
        <v>99</v>
      </c>
      <c r="AN53" s="22">
        <v>2</v>
      </c>
      <c r="AO53" s="22">
        <v>99</v>
      </c>
      <c r="AP53" s="22">
        <v>99</v>
      </c>
      <c r="AQ53" s="22" t="s">
        <v>1114</v>
      </c>
      <c r="AR53" s="2" t="s">
        <v>1115</v>
      </c>
      <c r="AS53" s="22">
        <v>5</v>
      </c>
      <c r="AT53" s="22">
        <v>3</v>
      </c>
      <c r="AU53" s="22">
        <v>3</v>
      </c>
      <c r="AV53" s="22">
        <v>3</v>
      </c>
      <c r="AW53" s="22">
        <v>4</v>
      </c>
      <c r="AX53" s="37">
        <v>4</v>
      </c>
      <c r="AY53" s="22">
        <v>4</v>
      </c>
      <c r="AZ53" s="22">
        <v>2</v>
      </c>
      <c r="BA53" s="38">
        <v>99</v>
      </c>
      <c r="BB53" s="22">
        <v>99</v>
      </c>
      <c r="BC53" s="22">
        <v>99</v>
      </c>
      <c r="BD53" s="22">
        <v>99</v>
      </c>
      <c r="BE53" s="37">
        <v>99</v>
      </c>
      <c r="BF53" s="22">
        <v>1</v>
      </c>
      <c r="BG53" s="22">
        <v>0</v>
      </c>
      <c r="BH53" s="22">
        <v>1</v>
      </c>
      <c r="BI53" s="22">
        <v>4</v>
      </c>
      <c r="BJ53" s="22">
        <v>8</v>
      </c>
    </row>
    <row r="54" spans="1:62" ht="15.75" customHeight="1">
      <c r="A54" s="22" t="s">
        <v>1118</v>
      </c>
      <c r="B54" s="25" t="s">
        <v>32</v>
      </c>
      <c r="C54" s="22"/>
      <c r="D54" s="22"/>
      <c r="E54" s="22">
        <v>1</v>
      </c>
      <c r="F54" s="22">
        <v>1</v>
      </c>
      <c r="G54" s="28">
        <v>30</v>
      </c>
      <c r="H54" s="28">
        <v>12</v>
      </c>
      <c r="I54" s="30">
        <v>1952</v>
      </c>
      <c r="J54" s="34">
        <f t="shared" si="0"/>
        <v>19358</v>
      </c>
      <c r="K54" s="39" t="s">
        <v>1056</v>
      </c>
      <c r="L54" s="25" t="s">
        <v>657</v>
      </c>
      <c r="M54" s="30">
        <v>5</v>
      </c>
      <c r="N54" s="17" t="s">
        <v>32</v>
      </c>
      <c r="O54" s="17"/>
      <c r="P54" s="25" t="s">
        <v>658</v>
      </c>
      <c r="Q54" s="25" t="s">
        <v>754</v>
      </c>
      <c r="R54" s="25">
        <v>32.015833000000001</v>
      </c>
      <c r="S54" s="25">
        <v>34.787384000000003</v>
      </c>
      <c r="T54" s="22">
        <v>2</v>
      </c>
      <c r="U54" s="22">
        <v>2</v>
      </c>
      <c r="V54" s="18"/>
      <c r="W54" s="22">
        <v>3</v>
      </c>
      <c r="X54" s="22">
        <v>2</v>
      </c>
      <c r="Y54" s="18"/>
      <c r="Z54" s="22">
        <v>5</v>
      </c>
      <c r="AA54" s="22">
        <v>1</v>
      </c>
      <c r="AB54" s="18" t="s">
        <v>221</v>
      </c>
      <c r="AC54" s="22">
        <v>6</v>
      </c>
      <c r="AD54" s="22">
        <v>2</v>
      </c>
      <c r="AE54" s="22" t="s">
        <v>1124</v>
      </c>
      <c r="AF54" s="22">
        <v>1</v>
      </c>
      <c r="AG54" s="18"/>
      <c r="AH54" s="22">
        <v>3</v>
      </c>
      <c r="AI54" s="28">
        <v>9</v>
      </c>
      <c r="AJ54" s="18"/>
      <c r="AK54" s="22">
        <v>99</v>
      </c>
      <c r="AL54" s="22">
        <v>99</v>
      </c>
      <c r="AM54" s="22">
        <v>99</v>
      </c>
      <c r="AN54" s="22">
        <v>1</v>
      </c>
      <c r="AO54" s="22">
        <v>6</v>
      </c>
      <c r="AP54" s="22">
        <v>99</v>
      </c>
      <c r="AQ54" s="22" t="s">
        <v>1049</v>
      </c>
      <c r="AR54" s="18" t="s">
        <v>221</v>
      </c>
      <c r="AS54" s="22">
        <v>99</v>
      </c>
      <c r="AT54" s="22">
        <v>99</v>
      </c>
      <c r="AU54" s="22">
        <v>3</v>
      </c>
      <c r="AV54" s="22">
        <v>3</v>
      </c>
      <c r="AW54" s="22">
        <v>4</v>
      </c>
      <c r="AX54" s="37">
        <v>4</v>
      </c>
      <c r="AY54" s="22">
        <v>4</v>
      </c>
      <c r="AZ54" s="22">
        <v>2</v>
      </c>
      <c r="BA54" s="38">
        <v>99</v>
      </c>
      <c r="BB54" s="22">
        <v>99</v>
      </c>
      <c r="BC54" s="22">
        <v>99</v>
      </c>
      <c r="BD54" s="22">
        <v>99</v>
      </c>
      <c r="BE54" s="37">
        <v>99</v>
      </c>
      <c r="BF54" s="22">
        <v>0</v>
      </c>
      <c r="BG54" s="22">
        <v>0</v>
      </c>
      <c r="BH54" s="22">
        <v>0</v>
      </c>
      <c r="BI54" s="22">
        <v>8</v>
      </c>
      <c r="BJ54" s="22">
        <v>3</v>
      </c>
    </row>
    <row r="55" spans="1:62" ht="15.75" customHeight="1">
      <c r="A55" s="22" t="s">
        <v>1132</v>
      </c>
      <c r="B55" s="25" t="s">
        <v>1133</v>
      </c>
      <c r="C55" s="22"/>
      <c r="D55" s="22"/>
      <c r="E55" s="22">
        <v>1</v>
      </c>
      <c r="F55" s="22">
        <v>1</v>
      </c>
      <c r="G55" s="28">
        <v>12</v>
      </c>
      <c r="H55" s="28">
        <v>1</v>
      </c>
      <c r="I55" s="30">
        <v>1954</v>
      </c>
      <c r="J55" s="34">
        <f t="shared" si="0"/>
        <v>19736</v>
      </c>
      <c r="K55" s="11" t="s">
        <v>1135</v>
      </c>
      <c r="L55" s="25" t="s">
        <v>701</v>
      </c>
      <c r="M55" s="30">
        <v>1</v>
      </c>
      <c r="N55" s="17" t="s">
        <v>233</v>
      </c>
      <c r="O55" s="17"/>
      <c r="P55" s="25" t="s">
        <v>703</v>
      </c>
      <c r="Q55" s="25" t="s">
        <v>786</v>
      </c>
      <c r="R55" s="75">
        <v>38.873021999999999</v>
      </c>
      <c r="S55" s="75">
        <v>-76.997738400000003</v>
      </c>
      <c r="T55" s="22">
        <v>2</v>
      </c>
      <c r="U55" s="22">
        <v>2</v>
      </c>
      <c r="V55" s="22">
        <v>1</v>
      </c>
      <c r="W55" s="22">
        <v>3</v>
      </c>
      <c r="X55" s="22">
        <v>2</v>
      </c>
      <c r="Y55" s="18"/>
      <c r="Z55" s="22">
        <v>5</v>
      </c>
      <c r="AA55" s="22">
        <v>1</v>
      </c>
      <c r="AB55" s="18" t="s">
        <v>221</v>
      </c>
      <c r="AC55" s="22">
        <v>6</v>
      </c>
      <c r="AD55" s="22">
        <v>99</v>
      </c>
      <c r="AE55" s="18" t="s">
        <v>221</v>
      </c>
      <c r="AF55" s="22">
        <v>1</v>
      </c>
      <c r="AG55" s="18"/>
      <c r="AH55" s="22">
        <v>99</v>
      </c>
      <c r="AI55" s="28">
        <v>99</v>
      </c>
      <c r="AJ55" s="18"/>
      <c r="AK55" s="22">
        <v>99</v>
      </c>
      <c r="AL55" s="22">
        <v>99</v>
      </c>
      <c r="AM55" s="22">
        <v>99</v>
      </c>
      <c r="AN55" s="22">
        <v>2</v>
      </c>
      <c r="AO55" s="22">
        <v>99</v>
      </c>
      <c r="AP55" s="22">
        <v>99</v>
      </c>
      <c r="AQ55" s="22" t="s">
        <v>1149</v>
      </c>
      <c r="AR55" s="2" t="s">
        <v>1150</v>
      </c>
      <c r="AS55" s="22">
        <v>99</v>
      </c>
      <c r="AT55" s="22">
        <v>4</v>
      </c>
      <c r="AU55" s="22">
        <v>3</v>
      </c>
      <c r="AV55" s="22">
        <v>3</v>
      </c>
      <c r="AW55" s="22">
        <v>4</v>
      </c>
      <c r="AX55" s="37">
        <v>4</v>
      </c>
      <c r="AY55" s="22">
        <v>4</v>
      </c>
      <c r="AZ55" s="22">
        <v>2</v>
      </c>
      <c r="BA55" s="38">
        <v>99</v>
      </c>
      <c r="BB55" s="22">
        <v>99</v>
      </c>
      <c r="BC55" s="22">
        <v>99</v>
      </c>
      <c r="BD55" s="22">
        <v>99</v>
      </c>
      <c r="BE55" s="37">
        <v>99</v>
      </c>
      <c r="BF55" s="22">
        <v>1</v>
      </c>
      <c r="BG55" s="22">
        <v>0</v>
      </c>
      <c r="BH55" s="22">
        <v>1</v>
      </c>
      <c r="BI55" s="22">
        <v>3</v>
      </c>
      <c r="BJ55" s="22">
        <v>3</v>
      </c>
    </row>
    <row r="56" spans="1:62" ht="15.75" customHeight="1">
      <c r="A56" s="22" t="s">
        <v>1152</v>
      </c>
      <c r="B56" s="22"/>
      <c r="C56" s="22"/>
      <c r="D56" s="22"/>
      <c r="E56" s="22">
        <v>2</v>
      </c>
      <c r="F56" s="22">
        <v>1</v>
      </c>
      <c r="G56" s="28">
        <v>27</v>
      </c>
      <c r="H56" s="28">
        <v>1</v>
      </c>
      <c r="I56" s="30">
        <v>1954</v>
      </c>
      <c r="J56" s="34">
        <f t="shared" si="0"/>
        <v>19751</v>
      </c>
      <c r="K56" s="11" t="s">
        <v>1157</v>
      </c>
      <c r="L56" s="25" t="s">
        <v>708</v>
      </c>
      <c r="M56" s="30">
        <v>5</v>
      </c>
      <c r="N56" s="17" t="s">
        <v>32</v>
      </c>
      <c r="O56" s="17"/>
      <c r="P56" s="25" t="s">
        <v>709</v>
      </c>
      <c r="Q56" s="25" t="s">
        <v>791</v>
      </c>
      <c r="R56" s="25">
        <v>32.049357000000001</v>
      </c>
      <c r="S56" s="25">
        <v>34.758355000000002</v>
      </c>
      <c r="T56" s="22">
        <v>2</v>
      </c>
      <c r="U56" s="22">
        <v>2</v>
      </c>
      <c r="V56" s="18"/>
      <c r="W56" s="22">
        <v>3</v>
      </c>
      <c r="X56" s="22">
        <v>2</v>
      </c>
      <c r="Y56" s="18"/>
      <c r="Z56" s="22">
        <v>5</v>
      </c>
      <c r="AA56" s="22">
        <v>2</v>
      </c>
      <c r="AB56" s="18" t="s">
        <v>221</v>
      </c>
      <c r="AC56" s="22">
        <v>6</v>
      </c>
      <c r="AD56" s="22">
        <v>2</v>
      </c>
      <c r="AE56" s="18" t="s">
        <v>221</v>
      </c>
      <c r="AF56" s="22">
        <v>1</v>
      </c>
      <c r="AG56" s="18"/>
      <c r="AH56" s="22">
        <v>99</v>
      </c>
      <c r="AI56" s="28">
        <v>99</v>
      </c>
      <c r="AJ56" s="18"/>
      <c r="AK56" s="22">
        <v>99</v>
      </c>
      <c r="AL56" s="22">
        <v>99</v>
      </c>
      <c r="AM56" s="22">
        <v>99</v>
      </c>
      <c r="AN56" s="22">
        <v>99</v>
      </c>
      <c r="AO56" s="22">
        <v>99</v>
      </c>
      <c r="AP56" s="22">
        <v>99</v>
      </c>
      <c r="AQ56" s="22" t="s">
        <v>1162</v>
      </c>
      <c r="AR56" s="2" t="s">
        <v>790</v>
      </c>
      <c r="AS56" s="22">
        <v>13</v>
      </c>
      <c r="AT56" s="22">
        <v>6</v>
      </c>
      <c r="AU56" s="22">
        <v>3</v>
      </c>
      <c r="AV56" s="22">
        <v>3</v>
      </c>
      <c r="AW56" s="22">
        <v>4</v>
      </c>
      <c r="AX56" s="37">
        <v>4</v>
      </c>
      <c r="AY56" s="22">
        <v>4</v>
      </c>
      <c r="AZ56" s="22">
        <v>2</v>
      </c>
      <c r="BA56" s="38">
        <v>99</v>
      </c>
      <c r="BB56" s="22">
        <v>99</v>
      </c>
      <c r="BC56" s="22">
        <v>99</v>
      </c>
      <c r="BD56" s="22">
        <v>99</v>
      </c>
      <c r="BE56" s="37">
        <v>99</v>
      </c>
      <c r="BF56" s="22">
        <v>0</v>
      </c>
      <c r="BG56" s="22">
        <v>1</v>
      </c>
      <c r="BH56" s="22">
        <v>1</v>
      </c>
      <c r="BI56" s="22">
        <v>1</v>
      </c>
      <c r="BJ56" s="22">
        <v>3</v>
      </c>
    </row>
    <row r="57" spans="1:62" ht="15.75" customHeight="1">
      <c r="A57" s="22" t="s">
        <v>1164</v>
      </c>
      <c r="B57" s="25" t="s">
        <v>1165</v>
      </c>
      <c r="C57" s="22"/>
      <c r="D57" s="22"/>
      <c r="E57" s="22">
        <v>1</v>
      </c>
      <c r="F57" s="22">
        <v>1</v>
      </c>
      <c r="G57" s="28">
        <v>5</v>
      </c>
      <c r="H57" s="28">
        <v>2</v>
      </c>
      <c r="I57" s="30">
        <v>1954</v>
      </c>
      <c r="J57" s="34">
        <f t="shared" si="0"/>
        <v>19760</v>
      </c>
      <c r="K57" s="39" t="s">
        <v>328</v>
      </c>
      <c r="L57" s="25" t="s">
        <v>713</v>
      </c>
      <c r="M57" s="30">
        <v>1</v>
      </c>
      <c r="N57" s="17" t="s">
        <v>233</v>
      </c>
      <c r="O57" s="17"/>
      <c r="P57" s="25" t="s">
        <v>542</v>
      </c>
      <c r="Q57" s="25" t="s">
        <v>798</v>
      </c>
      <c r="R57" s="25">
        <v>31.7403163</v>
      </c>
      <c r="S57" s="25">
        <v>35.217882500000002</v>
      </c>
      <c r="T57" s="22">
        <v>2</v>
      </c>
      <c r="U57" s="22">
        <v>1</v>
      </c>
      <c r="V57" s="22">
        <v>1</v>
      </c>
      <c r="W57" s="22">
        <v>2</v>
      </c>
      <c r="X57" s="22">
        <v>2</v>
      </c>
      <c r="Y57" s="18"/>
      <c r="Z57" s="22">
        <v>5</v>
      </c>
      <c r="AA57" s="22">
        <v>2</v>
      </c>
      <c r="AB57" s="18" t="s">
        <v>221</v>
      </c>
      <c r="AC57" s="22">
        <v>6</v>
      </c>
      <c r="AD57" s="22">
        <v>2</v>
      </c>
      <c r="AE57" s="18" t="s">
        <v>221</v>
      </c>
      <c r="AF57" s="22">
        <v>99</v>
      </c>
      <c r="AG57" s="18"/>
      <c r="AH57" s="22">
        <v>99</v>
      </c>
      <c r="AI57" s="28">
        <v>99</v>
      </c>
      <c r="AJ57" s="18"/>
      <c r="AK57" s="22">
        <v>99</v>
      </c>
      <c r="AL57" s="22">
        <v>99</v>
      </c>
      <c r="AM57" s="22">
        <v>99</v>
      </c>
      <c r="AN57" s="22">
        <v>99</v>
      </c>
      <c r="AO57" s="22">
        <v>99</v>
      </c>
      <c r="AP57" s="22">
        <v>99</v>
      </c>
      <c r="AQ57" s="18" t="s">
        <v>221</v>
      </c>
      <c r="AR57" s="18" t="s">
        <v>221</v>
      </c>
      <c r="AS57" s="22">
        <v>99</v>
      </c>
      <c r="AT57" s="22">
        <v>99</v>
      </c>
      <c r="AU57" s="22">
        <v>3</v>
      </c>
      <c r="AV57" s="22">
        <v>3</v>
      </c>
      <c r="AW57" s="22">
        <v>4</v>
      </c>
      <c r="AX57" s="37">
        <v>4</v>
      </c>
      <c r="AY57" s="22">
        <v>4</v>
      </c>
      <c r="AZ57" s="22">
        <v>2</v>
      </c>
      <c r="BA57" s="38">
        <v>99</v>
      </c>
      <c r="BB57" s="22">
        <v>99</v>
      </c>
      <c r="BC57" s="22">
        <v>99</v>
      </c>
      <c r="BD57" s="22">
        <v>99</v>
      </c>
      <c r="BE57" s="37">
        <v>99</v>
      </c>
      <c r="BF57" s="22">
        <v>1</v>
      </c>
      <c r="BG57" s="22">
        <v>0</v>
      </c>
      <c r="BH57" s="22">
        <v>1</v>
      </c>
      <c r="BI57" s="22">
        <v>999</v>
      </c>
      <c r="BJ57" s="22">
        <v>8</v>
      </c>
    </row>
    <row r="58" spans="1:62" ht="15.75" customHeight="1">
      <c r="A58" s="22" t="s">
        <v>1174</v>
      </c>
      <c r="B58" s="25" t="s">
        <v>1176</v>
      </c>
      <c r="C58" s="22"/>
      <c r="D58" s="22"/>
      <c r="E58" s="22">
        <v>1</v>
      </c>
      <c r="F58" s="22">
        <v>1</v>
      </c>
      <c r="G58" s="28">
        <v>7</v>
      </c>
      <c r="H58" s="28">
        <v>2</v>
      </c>
      <c r="I58" s="30">
        <v>1954</v>
      </c>
      <c r="J58" s="34">
        <f t="shared" si="0"/>
        <v>19762</v>
      </c>
      <c r="K58" s="39" t="s">
        <v>328</v>
      </c>
      <c r="L58" s="25" t="s">
        <v>715</v>
      </c>
      <c r="M58" s="30">
        <v>2</v>
      </c>
      <c r="N58" s="17" t="s">
        <v>1180</v>
      </c>
      <c r="O58" s="17"/>
      <c r="P58" s="25" t="s">
        <v>716</v>
      </c>
      <c r="Q58" s="25" t="s">
        <v>803</v>
      </c>
      <c r="R58" s="25">
        <v>-27.986423200000001</v>
      </c>
      <c r="S58" s="25">
        <v>153.38071859999999</v>
      </c>
      <c r="T58" s="22">
        <v>2</v>
      </c>
      <c r="U58" s="22">
        <v>1</v>
      </c>
      <c r="V58" s="22">
        <v>99</v>
      </c>
      <c r="W58" s="22">
        <v>99</v>
      </c>
      <c r="X58" s="22">
        <v>2</v>
      </c>
      <c r="Y58" s="18"/>
      <c r="Z58" s="22">
        <v>5</v>
      </c>
      <c r="AA58" s="22">
        <v>2</v>
      </c>
      <c r="AB58" s="18" t="s">
        <v>221</v>
      </c>
      <c r="AC58" s="22">
        <v>99</v>
      </c>
      <c r="AD58" s="22">
        <v>99</v>
      </c>
      <c r="AE58" s="18" t="s">
        <v>221</v>
      </c>
      <c r="AF58" s="22">
        <v>99</v>
      </c>
      <c r="AG58" s="18"/>
      <c r="AH58" s="22">
        <v>99</v>
      </c>
      <c r="AI58" s="28">
        <v>99</v>
      </c>
      <c r="AJ58" s="18"/>
      <c r="AK58" s="22">
        <v>99</v>
      </c>
      <c r="AL58" s="22">
        <v>99</v>
      </c>
      <c r="AM58" s="22">
        <v>99</v>
      </c>
      <c r="AN58" s="22">
        <v>99</v>
      </c>
      <c r="AO58" s="22">
        <v>99</v>
      </c>
      <c r="AP58" s="22">
        <v>99</v>
      </c>
      <c r="AQ58" s="22" t="s">
        <v>1188</v>
      </c>
      <c r="AR58" s="2" t="s">
        <v>996</v>
      </c>
      <c r="AS58" s="18"/>
      <c r="AT58" s="22">
        <v>99</v>
      </c>
      <c r="AU58" s="22">
        <v>3</v>
      </c>
      <c r="AV58" s="22">
        <v>3</v>
      </c>
      <c r="AW58" s="22">
        <v>4</v>
      </c>
      <c r="AX58" s="37">
        <v>4</v>
      </c>
      <c r="AY58" s="22">
        <v>4</v>
      </c>
      <c r="AZ58" s="22">
        <v>2</v>
      </c>
      <c r="BA58" s="38">
        <v>99</v>
      </c>
      <c r="BB58" s="22">
        <v>99</v>
      </c>
      <c r="BC58" s="22">
        <v>99</v>
      </c>
      <c r="BD58" s="22">
        <v>99</v>
      </c>
      <c r="BE58" s="37">
        <v>99</v>
      </c>
      <c r="BF58" s="22">
        <v>999</v>
      </c>
      <c r="BG58" s="22">
        <v>999</v>
      </c>
      <c r="BH58" s="22">
        <v>999</v>
      </c>
      <c r="BI58" s="22">
        <v>999</v>
      </c>
      <c r="BJ58" s="22">
        <v>8</v>
      </c>
    </row>
    <row r="59" spans="1:62" ht="15.75" customHeight="1">
      <c r="A59" s="22" t="s">
        <v>1192</v>
      </c>
      <c r="B59" s="95" t="s">
        <v>1193</v>
      </c>
      <c r="C59" s="22"/>
      <c r="D59" s="22"/>
      <c r="E59" s="22">
        <v>2</v>
      </c>
      <c r="F59" s="22">
        <v>1</v>
      </c>
      <c r="G59" s="28">
        <v>15</v>
      </c>
      <c r="H59" s="28">
        <v>2</v>
      </c>
      <c r="I59" s="30">
        <v>1954</v>
      </c>
      <c r="J59" s="34">
        <f t="shared" si="0"/>
        <v>19770</v>
      </c>
      <c r="K59" s="11" t="s">
        <v>1208</v>
      </c>
      <c r="L59" s="25" t="s">
        <v>717</v>
      </c>
      <c r="M59" s="30">
        <v>5</v>
      </c>
      <c r="N59" s="17" t="s">
        <v>32</v>
      </c>
      <c r="O59" s="17"/>
      <c r="P59" s="25" t="s">
        <v>709</v>
      </c>
      <c r="Q59" s="25" t="s">
        <v>791</v>
      </c>
      <c r="R59" s="25">
        <v>32.049357000000001</v>
      </c>
      <c r="S59" s="25">
        <v>34.758355000000002</v>
      </c>
      <c r="T59" s="22">
        <v>2</v>
      </c>
      <c r="U59" s="22">
        <v>2</v>
      </c>
      <c r="V59" s="18"/>
      <c r="W59" s="22">
        <v>3</v>
      </c>
      <c r="X59" s="22">
        <v>2</v>
      </c>
      <c r="Y59" s="18"/>
      <c r="Z59" s="22">
        <v>5</v>
      </c>
      <c r="AA59" s="18"/>
      <c r="AB59" s="18" t="s">
        <v>221</v>
      </c>
      <c r="AC59" s="22">
        <v>6</v>
      </c>
      <c r="AD59" s="22">
        <v>2</v>
      </c>
      <c r="AE59" s="18" t="s">
        <v>221</v>
      </c>
      <c r="AF59" s="22">
        <v>99</v>
      </c>
      <c r="AG59" s="18"/>
      <c r="AH59" s="22">
        <v>99</v>
      </c>
      <c r="AI59" s="28">
        <v>99</v>
      </c>
      <c r="AJ59" s="18"/>
      <c r="AK59" s="22">
        <v>99</v>
      </c>
      <c r="AL59" s="22">
        <v>99</v>
      </c>
      <c r="AM59" s="22">
        <v>99</v>
      </c>
      <c r="AN59" s="22">
        <v>99</v>
      </c>
      <c r="AO59" s="22">
        <v>99</v>
      </c>
      <c r="AP59" s="22">
        <v>99</v>
      </c>
      <c r="AQ59" s="22" t="s">
        <v>1215</v>
      </c>
      <c r="AR59" s="2" t="s">
        <v>737</v>
      </c>
      <c r="AS59" s="18"/>
      <c r="AT59" s="22">
        <v>6</v>
      </c>
      <c r="AU59" s="22">
        <v>3</v>
      </c>
      <c r="AV59" s="22">
        <v>3</v>
      </c>
      <c r="AW59" s="22">
        <v>4</v>
      </c>
      <c r="AX59" s="37">
        <v>4</v>
      </c>
      <c r="AY59" s="22">
        <v>4</v>
      </c>
      <c r="AZ59" s="22">
        <v>2</v>
      </c>
      <c r="BA59" s="38">
        <v>99</v>
      </c>
      <c r="BB59" s="22">
        <v>99</v>
      </c>
      <c r="BC59" s="22">
        <v>99</v>
      </c>
      <c r="BD59" s="22">
        <v>99</v>
      </c>
      <c r="BE59" s="37">
        <v>99</v>
      </c>
      <c r="BF59" s="22">
        <v>0</v>
      </c>
      <c r="BG59" s="22">
        <v>1</v>
      </c>
      <c r="BH59" s="22">
        <v>1</v>
      </c>
      <c r="BI59" s="22">
        <v>999</v>
      </c>
      <c r="BJ59" s="22">
        <v>3</v>
      </c>
    </row>
    <row r="60" spans="1:62" ht="15.75" customHeight="1">
      <c r="A60" s="22" t="s">
        <v>1222</v>
      </c>
      <c r="B60" s="25" t="s">
        <v>1223</v>
      </c>
      <c r="C60" s="22"/>
      <c r="D60" s="22"/>
      <c r="E60" s="22">
        <v>1</v>
      </c>
      <c r="F60" s="22">
        <v>1</v>
      </c>
      <c r="G60" s="28">
        <v>7</v>
      </c>
      <c r="H60" s="28">
        <v>3</v>
      </c>
      <c r="I60" s="30">
        <v>1954</v>
      </c>
      <c r="J60" s="34">
        <f t="shared" si="0"/>
        <v>19790</v>
      </c>
      <c r="K60" s="11" t="s">
        <v>1225</v>
      </c>
      <c r="L60" s="25" t="s">
        <v>720</v>
      </c>
      <c r="M60" s="30">
        <v>1</v>
      </c>
      <c r="N60" s="17" t="s">
        <v>233</v>
      </c>
      <c r="O60" s="17"/>
      <c r="P60" s="25" t="s">
        <v>721</v>
      </c>
      <c r="Q60" s="25" t="s">
        <v>806</v>
      </c>
      <c r="R60" s="25">
        <v>32.290630399999998</v>
      </c>
      <c r="S60" s="25">
        <v>34.998832</v>
      </c>
      <c r="T60" s="22">
        <v>2</v>
      </c>
      <c r="U60" s="22">
        <v>2</v>
      </c>
      <c r="V60" s="22">
        <v>1</v>
      </c>
      <c r="W60" s="22">
        <v>3</v>
      </c>
      <c r="X60" s="22">
        <v>2</v>
      </c>
      <c r="Y60" s="18"/>
      <c r="Z60" s="22">
        <v>5</v>
      </c>
      <c r="AA60" s="18"/>
      <c r="AB60" s="18" t="s">
        <v>221</v>
      </c>
      <c r="AC60" s="22">
        <v>6</v>
      </c>
      <c r="AD60" s="22">
        <v>99</v>
      </c>
      <c r="AE60" s="18" t="s">
        <v>221</v>
      </c>
      <c r="AF60" s="22">
        <v>1</v>
      </c>
      <c r="AG60" s="18"/>
      <c r="AH60" s="22">
        <v>99</v>
      </c>
      <c r="AI60" s="28">
        <v>99</v>
      </c>
      <c r="AJ60" s="18"/>
      <c r="AK60" s="22">
        <v>99</v>
      </c>
      <c r="AL60" s="22">
        <v>99</v>
      </c>
      <c r="AM60" s="22">
        <v>99</v>
      </c>
      <c r="AN60" s="22">
        <v>99</v>
      </c>
      <c r="AO60" s="22">
        <v>99</v>
      </c>
      <c r="AP60" s="22">
        <v>99</v>
      </c>
      <c r="AQ60" s="18" t="s">
        <v>221</v>
      </c>
      <c r="AR60" s="18" t="s">
        <v>221</v>
      </c>
      <c r="AS60" s="22">
        <v>99</v>
      </c>
      <c r="AT60" s="22">
        <v>99</v>
      </c>
      <c r="AU60" s="22">
        <v>3</v>
      </c>
      <c r="AV60" s="22">
        <v>3</v>
      </c>
      <c r="AW60" s="22">
        <v>4</v>
      </c>
      <c r="AX60" s="37">
        <v>4</v>
      </c>
      <c r="AY60" s="22">
        <v>4</v>
      </c>
      <c r="AZ60" s="22">
        <v>2</v>
      </c>
      <c r="BA60" s="38">
        <v>99</v>
      </c>
      <c r="BB60" s="22">
        <v>99</v>
      </c>
      <c r="BC60" s="22">
        <v>99</v>
      </c>
      <c r="BD60" s="22">
        <v>99</v>
      </c>
      <c r="BE60" s="37">
        <v>99</v>
      </c>
      <c r="BF60" s="22">
        <v>999</v>
      </c>
      <c r="BG60" s="22">
        <v>999</v>
      </c>
      <c r="BH60" s="22">
        <v>999</v>
      </c>
      <c r="BI60" s="22">
        <v>3</v>
      </c>
      <c r="BJ60" s="22">
        <v>8</v>
      </c>
    </row>
    <row r="61" spans="1:62" ht="15.75" customHeight="1">
      <c r="A61" s="96" t="s">
        <v>1236</v>
      </c>
      <c r="B61" s="22"/>
      <c r="C61" s="22"/>
      <c r="D61" s="22"/>
      <c r="E61" s="22">
        <v>4</v>
      </c>
      <c r="F61" s="22">
        <v>2</v>
      </c>
      <c r="G61" s="28">
        <v>17</v>
      </c>
      <c r="H61" s="28">
        <v>3</v>
      </c>
      <c r="I61" s="30">
        <v>1954</v>
      </c>
      <c r="J61" s="34">
        <f t="shared" si="0"/>
        <v>19800</v>
      </c>
      <c r="K61" s="11" t="s">
        <v>1250</v>
      </c>
      <c r="L61" s="25" t="s">
        <v>722</v>
      </c>
      <c r="M61" s="30">
        <v>8</v>
      </c>
      <c r="N61" s="17" t="s">
        <v>711</v>
      </c>
      <c r="O61" s="17"/>
      <c r="P61" s="18"/>
      <c r="Q61" s="41" t="s">
        <v>582</v>
      </c>
      <c r="R61" s="42">
        <v>39.912941199999999</v>
      </c>
      <c r="S61" s="42">
        <v>-104.79560549999999</v>
      </c>
      <c r="T61" s="22">
        <v>2</v>
      </c>
      <c r="U61" s="22">
        <v>2</v>
      </c>
      <c r="V61" s="22">
        <v>5</v>
      </c>
      <c r="W61" s="22">
        <v>2</v>
      </c>
      <c r="X61" s="22">
        <v>2</v>
      </c>
      <c r="Y61" s="18"/>
      <c r="Z61" s="22">
        <v>1</v>
      </c>
      <c r="AA61" s="22">
        <v>99</v>
      </c>
      <c r="AB61" s="2" t="s">
        <v>1255</v>
      </c>
      <c r="AC61" s="22">
        <v>6</v>
      </c>
      <c r="AD61" s="22">
        <v>2</v>
      </c>
      <c r="AE61" s="18" t="s">
        <v>221</v>
      </c>
      <c r="AF61" s="22">
        <v>1</v>
      </c>
      <c r="AG61" s="18"/>
      <c r="AH61" s="22">
        <v>99</v>
      </c>
      <c r="AI61" s="28">
        <v>99</v>
      </c>
      <c r="AJ61" s="18"/>
      <c r="AK61" s="22">
        <v>99</v>
      </c>
      <c r="AL61" s="22">
        <v>99</v>
      </c>
      <c r="AM61" s="22">
        <v>99</v>
      </c>
      <c r="AN61" s="22">
        <v>99</v>
      </c>
      <c r="AO61" s="22">
        <v>99</v>
      </c>
      <c r="AP61" s="22">
        <v>99</v>
      </c>
      <c r="AQ61" s="22" t="s">
        <v>1257</v>
      </c>
      <c r="AR61" s="2" t="s">
        <v>1258</v>
      </c>
      <c r="AS61" s="22">
        <v>4</v>
      </c>
      <c r="AT61" s="22">
        <v>6</v>
      </c>
      <c r="AU61" s="22">
        <v>3</v>
      </c>
      <c r="AV61" s="22">
        <v>3</v>
      </c>
      <c r="AW61" s="22">
        <v>4</v>
      </c>
      <c r="AX61" s="37">
        <v>4</v>
      </c>
      <c r="AY61" s="22">
        <v>4</v>
      </c>
      <c r="AZ61" s="22">
        <v>1</v>
      </c>
      <c r="BA61" s="38">
        <v>3</v>
      </c>
      <c r="BB61" s="22">
        <v>1</v>
      </c>
      <c r="BC61" s="22">
        <v>21</v>
      </c>
      <c r="BD61" s="22">
        <v>6</v>
      </c>
      <c r="BE61" s="37">
        <v>99</v>
      </c>
      <c r="BF61" s="22">
        <v>2</v>
      </c>
      <c r="BG61" s="22">
        <v>11</v>
      </c>
      <c r="BH61" s="22">
        <v>13</v>
      </c>
      <c r="BI61" s="22">
        <v>10</v>
      </c>
      <c r="BJ61" s="22">
        <v>2</v>
      </c>
    </row>
    <row r="62" spans="1:62" ht="15.75" customHeight="1">
      <c r="A62" s="22" t="s">
        <v>1261</v>
      </c>
      <c r="B62" s="25" t="s">
        <v>1262</v>
      </c>
      <c r="C62" s="22"/>
      <c r="D62" s="22"/>
      <c r="E62" s="22">
        <v>2</v>
      </c>
      <c r="F62" s="22">
        <v>1</v>
      </c>
      <c r="G62" s="28">
        <v>21</v>
      </c>
      <c r="H62" s="28">
        <v>3</v>
      </c>
      <c r="I62" s="30">
        <v>1954</v>
      </c>
      <c r="J62" s="34">
        <f t="shared" si="0"/>
        <v>19804</v>
      </c>
      <c r="K62" s="11" t="s">
        <v>633</v>
      </c>
      <c r="L62" s="25" t="s">
        <v>740</v>
      </c>
      <c r="M62" s="30">
        <v>5</v>
      </c>
      <c r="N62" s="17" t="s">
        <v>32</v>
      </c>
      <c r="O62" s="17"/>
      <c r="P62" s="25" t="s">
        <v>539</v>
      </c>
      <c r="Q62" s="25" t="s">
        <v>545</v>
      </c>
      <c r="R62" s="25">
        <v>32.085299900000003</v>
      </c>
      <c r="S62" s="25">
        <v>34.781767599999903</v>
      </c>
      <c r="T62" s="22">
        <v>2</v>
      </c>
      <c r="U62" s="22">
        <v>2</v>
      </c>
      <c r="V62" s="22">
        <v>5</v>
      </c>
      <c r="W62" s="22">
        <v>3</v>
      </c>
      <c r="X62" s="22">
        <v>2</v>
      </c>
      <c r="Y62" s="18"/>
      <c r="Z62" s="22">
        <v>1</v>
      </c>
      <c r="AA62" s="22">
        <v>99</v>
      </c>
      <c r="AB62" s="18" t="s">
        <v>221</v>
      </c>
      <c r="AC62" s="22">
        <v>6</v>
      </c>
      <c r="AD62" s="22">
        <v>99</v>
      </c>
      <c r="AE62" s="18" t="s">
        <v>221</v>
      </c>
      <c r="AF62" s="22">
        <v>99</v>
      </c>
      <c r="AG62" s="18"/>
      <c r="AH62" s="22">
        <v>99</v>
      </c>
      <c r="AI62" s="28">
        <v>99</v>
      </c>
      <c r="AJ62" s="18"/>
      <c r="AK62" s="22">
        <v>99</v>
      </c>
      <c r="AL62" s="22">
        <v>99</v>
      </c>
      <c r="AM62" s="22">
        <v>99</v>
      </c>
      <c r="AN62" s="22">
        <v>99</v>
      </c>
      <c r="AO62" s="22">
        <v>99</v>
      </c>
      <c r="AP62" s="22">
        <v>99</v>
      </c>
      <c r="AQ62" s="18" t="s">
        <v>221</v>
      </c>
      <c r="AR62" s="18" t="s">
        <v>221</v>
      </c>
      <c r="AS62" s="22">
        <v>99</v>
      </c>
      <c r="AT62" s="22">
        <v>99</v>
      </c>
      <c r="AU62" s="22">
        <v>3</v>
      </c>
      <c r="AV62" s="22">
        <v>3</v>
      </c>
      <c r="AW62" s="22">
        <v>4</v>
      </c>
      <c r="AX62" s="37">
        <v>4</v>
      </c>
      <c r="AY62" s="22">
        <v>4</v>
      </c>
      <c r="AZ62" s="22">
        <v>2</v>
      </c>
      <c r="BA62" s="38">
        <v>99</v>
      </c>
      <c r="BB62" s="22">
        <v>99</v>
      </c>
      <c r="BC62" s="22">
        <v>99</v>
      </c>
      <c r="BD62" s="22">
        <v>99</v>
      </c>
      <c r="BE62" s="37">
        <v>99</v>
      </c>
      <c r="BF62" s="22">
        <v>999</v>
      </c>
      <c r="BG62" s="22">
        <v>999</v>
      </c>
      <c r="BH62" s="22">
        <v>999</v>
      </c>
      <c r="BI62" s="22">
        <v>999</v>
      </c>
      <c r="BJ62" s="22">
        <v>9</v>
      </c>
    </row>
    <row r="63" spans="1:62" ht="15.75" customHeight="1">
      <c r="A63" s="22" t="s">
        <v>1271</v>
      </c>
      <c r="B63" s="22"/>
      <c r="C63" s="22"/>
      <c r="D63" s="22"/>
      <c r="E63" s="22">
        <v>2</v>
      </c>
      <c r="F63" s="22">
        <v>1</v>
      </c>
      <c r="G63" s="28">
        <v>26</v>
      </c>
      <c r="H63" s="28">
        <v>3</v>
      </c>
      <c r="I63" s="30">
        <v>1954</v>
      </c>
      <c r="J63" s="34">
        <f t="shared" si="0"/>
        <v>19809</v>
      </c>
      <c r="K63" s="11" t="s">
        <v>1276</v>
      </c>
      <c r="L63" s="25" t="s">
        <v>746</v>
      </c>
      <c r="M63" s="30">
        <v>5</v>
      </c>
      <c r="N63" s="17" t="s">
        <v>32</v>
      </c>
      <c r="O63" s="17"/>
      <c r="P63" s="25" t="s">
        <v>747</v>
      </c>
      <c r="Q63" s="25" t="s">
        <v>817</v>
      </c>
      <c r="R63" s="25">
        <v>33.098984999999999</v>
      </c>
      <c r="S63" s="25">
        <v>35.288522</v>
      </c>
      <c r="T63" s="22">
        <v>2</v>
      </c>
      <c r="U63" s="22">
        <v>1</v>
      </c>
      <c r="V63" s="22">
        <v>4</v>
      </c>
      <c r="W63" s="22">
        <v>2</v>
      </c>
      <c r="X63" s="22">
        <v>2</v>
      </c>
      <c r="Y63" s="18"/>
      <c r="Z63" s="22">
        <v>5</v>
      </c>
      <c r="AA63" s="22">
        <v>1</v>
      </c>
      <c r="AB63" s="18" t="s">
        <v>221</v>
      </c>
      <c r="AC63" s="22">
        <v>6</v>
      </c>
      <c r="AD63" s="22">
        <v>2</v>
      </c>
      <c r="AE63" s="18" t="s">
        <v>221</v>
      </c>
      <c r="AF63" s="22">
        <v>1</v>
      </c>
      <c r="AG63" s="18"/>
      <c r="AH63" s="22">
        <v>99</v>
      </c>
      <c r="AI63" s="28">
        <v>99</v>
      </c>
      <c r="AJ63" s="18"/>
      <c r="AK63" s="22">
        <v>99</v>
      </c>
      <c r="AL63" s="22">
        <v>99</v>
      </c>
      <c r="AM63" s="22">
        <v>99</v>
      </c>
      <c r="AN63" s="22">
        <v>99</v>
      </c>
      <c r="AO63" s="22">
        <v>99</v>
      </c>
      <c r="AP63" s="22">
        <v>99</v>
      </c>
      <c r="AQ63" s="22" t="s">
        <v>1280</v>
      </c>
      <c r="AR63" s="2" t="s">
        <v>1281</v>
      </c>
      <c r="AS63" s="22">
        <v>5</v>
      </c>
      <c r="AT63" s="22">
        <v>6</v>
      </c>
      <c r="AU63" s="22">
        <v>3</v>
      </c>
      <c r="AV63" s="22">
        <v>3</v>
      </c>
      <c r="AW63" s="22">
        <v>4</v>
      </c>
      <c r="AX63" s="37">
        <v>4</v>
      </c>
      <c r="AY63" s="22">
        <v>4</v>
      </c>
      <c r="AZ63" s="22">
        <v>1</v>
      </c>
      <c r="BA63" s="38">
        <v>1</v>
      </c>
      <c r="BB63" s="22">
        <v>1</v>
      </c>
      <c r="BC63" s="22">
        <v>99</v>
      </c>
      <c r="BD63" s="22">
        <v>99</v>
      </c>
      <c r="BE63" s="37">
        <v>99</v>
      </c>
      <c r="BF63" s="22">
        <v>0</v>
      </c>
      <c r="BG63" s="22">
        <v>1</v>
      </c>
      <c r="BH63" s="22">
        <v>1</v>
      </c>
      <c r="BI63" s="22">
        <v>2</v>
      </c>
      <c r="BJ63" s="22">
        <v>3</v>
      </c>
    </row>
    <row r="64" spans="1:62" ht="15.75" customHeight="1">
      <c r="A64" s="22" t="s">
        <v>1286</v>
      </c>
      <c r="B64" s="22"/>
      <c r="C64" s="22"/>
      <c r="D64" s="22"/>
      <c r="E64" s="22">
        <v>2</v>
      </c>
      <c r="F64" s="22">
        <v>1</v>
      </c>
      <c r="G64" s="28">
        <v>14</v>
      </c>
      <c r="H64" s="28">
        <v>4</v>
      </c>
      <c r="I64" s="30">
        <v>1954</v>
      </c>
      <c r="J64" s="34">
        <f t="shared" si="0"/>
        <v>19828</v>
      </c>
      <c r="K64" s="35" t="s">
        <v>221</v>
      </c>
      <c r="L64" s="25" t="s">
        <v>757</v>
      </c>
      <c r="M64" s="30">
        <v>3</v>
      </c>
      <c r="N64" s="17" t="s">
        <v>552</v>
      </c>
      <c r="O64" s="17"/>
      <c r="P64" s="25" t="s">
        <v>575</v>
      </c>
      <c r="Q64" s="25" t="s">
        <v>686</v>
      </c>
      <c r="R64" s="25">
        <v>46.1865606</v>
      </c>
      <c r="S64" s="25">
        <v>21.3122677</v>
      </c>
      <c r="T64" s="22">
        <v>2</v>
      </c>
      <c r="U64" s="22">
        <v>1</v>
      </c>
      <c r="V64" s="22">
        <v>5</v>
      </c>
      <c r="W64" s="22">
        <v>4</v>
      </c>
      <c r="X64" s="22">
        <v>2</v>
      </c>
      <c r="Y64" s="18"/>
      <c r="Z64" s="22">
        <v>5</v>
      </c>
      <c r="AA64" s="22">
        <v>1</v>
      </c>
      <c r="AB64" s="2" t="s">
        <v>1294</v>
      </c>
      <c r="AC64" s="22">
        <v>6</v>
      </c>
      <c r="AD64" s="22">
        <v>2</v>
      </c>
      <c r="AE64" s="18" t="s">
        <v>221</v>
      </c>
      <c r="AF64" s="22">
        <v>99</v>
      </c>
      <c r="AG64" s="18"/>
      <c r="AH64" s="22">
        <v>99</v>
      </c>
      <c r="AI64" s="28">
        <v>99</v>
      </c>
      <c r="AJ64" s="18"/>
      <c r="AK64" s="22">
        <v>99</v>
      </c>
      <c r="AL64" s="22">
        <v>99</v>
      </c>
      <c r="AM64" s="22">
        <v>99</v>
      </c>
      <c r="AN64" s="22">
        <v>2</v>
      </c>
      <c r="AO64" s="22">
        <v>99</v>
      </c>
      <c r="AP64" s="22">
        <v>99</v>
      </c>
      <c r="AQ64" s="22" t="s">
        <v>1296</v>
      </c>
      <c r="AR64" s="2" t="s">
        <v>637</v>
      </c>
      <c r="AS64" s="18"/>
      <c r="AT64" s="22">
        <v>4</v>
      </c>
      <c r="AU64" s="22">
        <v>3</v>
      </c>
      <c r="AV64" s="22">
        <v>3</v>
      </c>
      <c r="AW64" s="22">
        <v>4</v>
      </c>
      <c r="AX64" s="37">
        <v>4</v>
      </c>
      <c r="AY64" s="22">
        <v>4</v>
      </c>
      <c r="AZ64" s="22">
        <v>2</v>
      </c>
      <c r="BA64" s="38">
        <v>99</v>
      </c>
      <c r="BB64" s="22">
        <v>99</v>
      </c>
      <c r="BC64" s="22">
        <v>99</v>
      </c>
      <c r="BD64" s="22">
        <v>99</v>
      </c>
      <c r="BE64" s="37">
        <v>99</v>
      </c>
      <c r="BF64" s="22">
        <v>1</v>
      </c>
      <c r="BG64" s="22">
        <v>0</v>
      </c>
      <c r="BH64" s="22">
        <v>1</v>
      </c>
      <c r="BI64" s="22">
        <v>999</v>
      </c>
      <c r="BJ64" s="22">
        <v>8</v>
      </c>
    </row>
    <row r="65" spans="1:62" ht="15.75" customHeight="1">
      <c r="A65" s="18" t="s">
        <v>221</v>
      </c>
      <c r="B65" s="22"/>
      <c r="C65" s="22"/>
      <c r="D65" s="22"/>
      <c r="E65" s="22">
        <v>2</v>
      </c>
      <c r="F65" s="22">
        <v>1</v>
      </c>
      <c r="G65" s="28">
        <v>19</v>
      </c>
      <c r="H65" s="28">
        <v>4</v>
      </c>
      <c r="I65" s="30">
        <v>1954</v>
      </c>
      <c r="J65" s="34">
        <f t="shared" si="0"/>
        <v>19833</v>
      </c>
      <c r="K65" s="35" t="s">
        <v>221</v>
      </c>
      <c r="L65" s="18"/>
      <c r="M65" s="30">
        <v>1</v>
      </c>
      <c r="N65" s="17" t="s">
        <v>233</v>
      </c>
      <c r="O65" s="17"/>
      <c r="P65" s="25" t="s">
        <v>32</v>
      </c>
      <c r="Q65" s="25" t="s">
        <v>346</v>
      </c>
      <c r="R65" s="25">
        <v>31.768319000000002</v>
      </c>
      <c r="S65" s="25">
        <v>35.213709999999999</v>
      </c>
      <c r="T65" s="22">
        <v>2</v>
      </c>
      <c r="U65" s="22">
        <v>1</v>
      </c>
      <c r="V65" s="22">
        <v>1</v>
      </c>
      <c r="W65" s="22">
        <v>2</v>
      </c>
      <c r="X65" s="22">
        <v>2</v>
      </c>
      <c r="Y65" s="18"/>
      <c r="Z65" s="22">
        <v>1</v>
      </c>
      <c r="AA65" s="22">
        <v>2</v>
      </c>
      <c r="AB65" s="18" t="s">
        <v>221</v>
      </c>
      <c r="AC65" s="22">
        <v>6</v>
      </c>
      <c r="AD65" s="22">
        <v>99</v>
      </c>
      <c r="AE65" s="18" t="s">
        <v>221</v>
      </c>
      <c r="AF65" s="22">
        <v>99</v>
      </c>
      <c r="AG65" s="18"/>
      <c r="AH65" s="22">
        <v>99</v>
      </c>
      <c r="AI65" s="28">
        <v>99</v>
      </c>
      <c r="AJ65" s="18"/>
      <c r="AK65" s="22">
        <v>99</v>
      </c>
      <c r="AL65" s="22">
        <v>99</v>
      </c>
      <c r="AM65" s="22">
        <v>99</v>
      </c>
      <c r="AN65" s="22">
        <v>99</v>
      </c>
      <c r="AO65" s="22">
        <v>99</v>
      </c>
      <c r="AP65" s="22">
        <v>99</v>
      </c>
      <c r="AQ65" s="18" t="s">
        <v>221</v>
      </c>
      <c r="AR65" s="18" t="s">
        <v>221</v>
      </c>
      <c r="AS65" s="22">
        <v>99</v>
      </c>
      <c r="AT65" s="22">
        <v>99</v>
      </c>
      <c r="AU65" s="22">
        <v>3</v>
      </c>
      <c r="AV65" s="22">
        <v>3</v>
      </c>
      <c r="AW65" s="22">
        <v>4</v>
      </c>
      <c r="AX65" s="37">
        <v>4</v>
      </c>
      <c r="AY65" s="22">
        <v>4</v>
      </c>
      <c r="AZ65" s="22">
        <v>2</v>
      </c>
      <c r="BA65" s="38">
        <v>99</v>
      </c>
      <c r="BB65" s="22">
        <v>99</v>
      </c>
      <c r="BC65" s="22">
        <v>99</v>
      </c>
      <c r="BD65" s="22">
        <v>99</v>
      </c>
      <c r="BE65" s="37">
        <v>99</v>
      </c>
      <c r="BF65" s="22">
        <v>999</v>
      </c>
      <c r="BG65" s="22">
        <v>999</v>
      </c>
      <c r="BH65" s="22">
        <v>999</v>
      </c>
      <c r="BI65" s="22">
        <v>999</v>
      </c>
      <c r="BJ65" s="22">
        <v>3</v>
      </c>
    </row>
    <row r="66" spans="1:62" ht="15.75" customHeight="1">
      <c r="A66" s="22" t="s">
        <v>1309</v>
      </c>
      <c r="B66" s="22"/>
      <c r="C66" s="22"/>
      <c r="D66" s="22"/>
      <c r="E66" s="22">
        <v>2</v>
      </c>
      <c r="F66" s="22">
        <v>1</v>
      </c>
      <c r="G66" s="28">
        <v>5</v>
      </c>
      <c r="H66" s="28">
        <v>5</v>
      </c>
      <c r="I66" s="30">
        <v>1954</v>
      </c>
      <c r="J66" s="34">
        <f t="shared" si="0"/>
        <v>19849</v>
      </c>
      <c r="K66" s="39" t="s">
        <v>965</v>
      </c>
      <c r="L66" s="25" t="s">
        <v>759</v>
      </c>
      <c r="M66" s="30">
        <v>5</v>
      </c>
      <c r="N66" s="17" t="s">
        <v>32</v>
      </c>
      <c r="O66" s="17"/>
      <c r="P66" s="25" t="s">
        <v>760</v>
      </c>
      <c r="Q66" s="25" t="s">
        <v>824</v>
      </c>
      <c r="R66" s="25">
        <v>33.085918999999997</v>
      </c>
      <c r="S66" s="25">
        <v>35.315626999999999</v>
      </c>
      <c r="T66" s="22">
        <v>2</v>
      </c>
      <c r="U66" s="22">
        <v>1</v>
      </c>
      <c r="V66" s="22">
        <v>5</v>
      </c>
      <c r="W66" s="22">
        <v>2</v>
      </c>
      <c r="X66" s="22">
        <v>2</v>
      </c>
      <c r="Y66" s="18"/>
      <c r="Z66" s="22">
        <v>1</v>
      </c>
      <c r="AA66" s="22">
        <v>2</v>
      </c>
      <c r="AB66" s="18" t="s">
        <v>221</v>
      </c>
      <c r="AC66" s="22">
        <v>6</v>
      </c>
      <c r="AD66" s="22">
        <v>2</v>
      </c>
      <c r="AE66" s="18" t="s">
        <v>221</v>
      </c>
      <c r="AF66" s="22">
        <v>99</v>
      </c>
      <c r="AG66" s="18"/>
      <c r="AH66" s="22">
        <v>99</v>
      </c>
      <c r="AI66" s="28">
        <v>99</v>
      </c>
      <c r="AJ66" s="18"/>
      <c r="AK66" s="22">
        <v>99</v>
      </c>
      <c r="AL66" s="22">
        <v>99</v>
      </c>
      <c r="AM66" s="22">
        <v>99</v>
      </c>
      <c r="AN66" s="22">
        <v>99</v>
      </c>
      <c r="AO66" s="22">
        <v>99</v>
      </c>
      <c r="AP66" s="22">
        <v>99</v>
      </c>
      <c r="AQ66" s="18" t="s">
        <v>221</v>
      </c>
      <c r="AR66" s="18" t="s">
        <v>221</v>
      </c>
      <c r="AS66" s="22">
        <v>99</v>
      </c>
      <c r="AT66" s="22">
        <v>99</v>
      </c>
      <c r="AU66" s="22">
        <v>3</v>
      </c>
      <c r="AV66" s="22">
        <v>3</v>
      </c>
      <c r="AW66" s="22">
        <v>4</v>
      </c>
      <c r="AX66" s="37">
        <v>4</v>
      </c>
      <c r="AY66" s="22">
        <v>4</v>
      </c>
      <c r="AZ66" s="22">
        <v>2</v>
      </c>
      <c r="BA66" s="38">
        <v>99</v>
      </c>
      <c r="BB66" s="22">
        <v>99</v>
      </c>
      <c r="BC66" s="22">
        <v>99</v>
      </c>
      <c r="BD66" s="22">
        <v>99</v>
      </c>
      <c r="BE66" s="37">
        <v>99</v>
      </c>
      <c r="BF66" s="22">
        <v>999</v>
      </c>
      <c r="BG66" s="22">
        <v>999</v>
      </c>
      <c r="BH66" s="22">
        <v>999</v>
      </c>
      <c r="BI66" s="22">
        <v>999</v>
      </c>
      <c r="BJ66" s="22">
        <v>9</v>
      </c>
    </row>
    <row r="67" spans="1:62" ht="15.75" customHeight="1">
      <c r="A67" s="22" t="s">
        <v>1315</v>
      </c>
      <c r="B67" s="22"/>
      <c r="C67" s="22"/>
      <c r="D67" s="22"/>
      <c r="E67" s="22">
        <v>2</v>
      </c>
      <c r="F67" s="22">
        <v>1</v>
      </c>
      <c r="G67" s="28">
        <v>7</v>
      </c>
      <c r="H67" s="28">
        <v>5</v>
      </c>
      <c r="I67" s="30">
        <v>1954</v>
      </c>
      <c r="J67" s="34">
        <f t="shared" si="0"/>
        <v>19851</v>
      </c>
      <c r="K67" s="11" t="s">
        <v>1321</v>
      </c>
      <c r="L67" s="25" t="s">
        <v>762</v>
      </c>
      <c r="M67" s="30">
        <v>5</v>
      </c>
      <c r="N67" s="17" t="s">
        <v>32</v>
      </c>
      <c r="O67" s="17"/>
      <c r="P67" s="25" t="s">
        <v>32</v>
      </c>
      <c r="Q67" s="25" t="s">
        <v>346</v>
      </c>
      <c r="R67" s="25">
        <v>31.768319000000002</v>
      </c>
      <c r="S67" s="25">
        <v>35.213709999999999</v>
      </c>
      <c r="T67" s="22">
        <v>2</v>
      </c>
      <c r="U67" s="22">
        <v>1</v>
      </c>
      <c r="V67" s="22">
        <v>5</v>
      </c>
      <c r="W67" s="22">
        <v>2</v>
      </c>
      <c r="X67" s="22">
        <v>2</v>
      </c>
      <c r="Y67" s="18"/>
      <c r="Z67" s="22">
        <v>5</v>
      </c>
      <c r="AA67" s="22">
        <v>2</v>
      </c>
      <c r="AB67" s="18" t="s">
        <v>221</v>
      </c>
      <c r="AC67" s="22">
        <v>6</v>
      </c>
      <c r="AD67" s="22">
        <v>2</v>
      </c>
      <c r="AE67" s="18" t="s">
        <v>221</v>
      </c>
      <c r="AF67" s="22">
        <v>99</v>
      </c>
      <c r="AG67" s="18"/>
      <c r="AH67" s="22">
        <v>99</v>
      </c>
      <c r="AI67" s="28">
        <v>99</v>
      </c>
      <c r="AJ67" s="18"/>
      <c r="AK67" s="22">
        <v>99</v>
      </c>
      <c r="AL67" s="22">
        <v>99</v>
      </c>
      <c r="AM67" s="22">
        <v>99</v>
      </c>
      <c r="AN67" s="22">
        <v>2</v>
      </c>
      <c r="AO67" s="22">
        <v>99</v>
      </c>
      <c r="AP67" s="22">
        <v>99</v>
      </c>
      <c r="AQ67" s="22" t="s">
        <v>1330</v>
      </c>
      <c r="AR67" s="2" t="s">
        <v>637</v>
      </c>
      <c r="AS67" s="22">
        <v>5</v>
      </c>
      <c r="AT67" s="22">
        <v>6</v>
      </c>
      <c r="AU67" s="22">
        <v>3</v>
      </c>
      <c r="AV67" s="22">
        <v>3</v>
      </c>
      <c r="AW67" s="22">
        <v>4</v>
      </c>
      <c r="AX67" s="37">
        <v>4</v>
      </c>
      <c r="AY67" s="22">
        <v>4</v>
      </c>
      <c r="AZ67" s="22">
        <v>2</v>
      </c>
      <c r="BA67" s="38">
        <v>99</v>
      </c>
      <c r="BB67" s="22">
        <v>99</v>
      </c>
      <c r="BC67" s="22">
        <v>99</v>
      </c>
      <c r="BD67" s="22">
        <v>99</v>
      </c>
      <c r="BE67" s="37">
        <v>99</v>
      </c>
      <c r="BF67" s="22">
        <v>0</v>
      </c>
      <c r="BG67" s="22">
        <v>1</v>
      </c>
      <c r="BH67" s="22">
        <v>1</v>
      </c>
      <c r="BI67" s="22">
        <v>3</v>
      </c>
      <c r="BJ67" s="22">
        <v>3</v>
      </c>
    </row>
    <row r="68" spans="1:62" ht="15.75" customHeight="1">
      <c r="A68" s="22" t="s">
        <v>1334</v>
      </c>
      <c r="B68" s="22"/>
      <c r="C68" s="22"/>
      <c r="D68" s="22"/>
      <c r="E68" s="22">
        <v>1</v>
      </c>
      <c r="F68" s="22">
        <v>1</v>
      </c>
      <c r="G68" s="28">
        <v>10</v>
      </c>
      <c r="H68" s="28">
        <v>5</v>
      </c>
      <c r="I68" s="30">
        <v>1954</v>
      </c>
      <c r="J68" s="34">
        <f t="shared" si="0"/>
        <v>19854</v>
      </c>
      <c r="K68" s="39" t="s">
        <v>1337</v>
      </c>
      <c r="L68" s="25" t="s">
        <v>765</v>
      </c>
      <c r="M68" s="51"/>
      <c r="N68" s="52"/>
      <c r="O68" s="52"/>
      <c r="P68" s="25" t="s">
        <v>766</v>
      </c>
      <c r="Q68" s="25" t="s">
        <v>831</v>
      </c>
      <c r="R68" s="75">
        <v>30.829561999999999</v>
      </c>
      <c r="S68" s="75">
        <v>35.038816400000002</v>
      </c>
      <c r="T68" s="22">
        <v>1</v>
      </c>
      <c r="U68" s="22">
        <v>2</v>
      </c>
      <c r="V68" s="18"/>
      <c r="W68" s="22">
        <v>3</v>
      </c>
      <c r="X68" s="22">
        <v>2</v>
      </c>
      <c r="Y68" s="18"/>
      <c r="Z68" s="22">
        <v>5</v>
      </c>
      <c r="AA68" s="22">
        <v>1</v>
      </c>
      <c r="AB68" s="18" t="s">
        <v>221</v>
      </c>
      <c r="AC68" s="22">
        <v>99</v>
      </c>
      <c r="AD68" s="22">
        <v>99</v>
      </c>
      <c r="AE68" s="18" t="s">
        <v>221</v>
      </c>
      <c r="AF68" s="22">
        <v>99</v>
      </c>
      <c r="AG68" s="18"/>
      <c r="AH68" s="22">
        <v>99</v>
      </c>
      <c r="AI68" s="28">
        <v>99</v>
      </c>
      <c r="AJ68" s="18"/>
      <c r="AK68" s="22">
        <v>99</v>
      </c>
      <c r="AL68" s="22">
        <v>99</v>
      </c>
      <c r="AM68" s="22">
        <v>99</v>
      </c>
      <c r="AN68" s="22">
        <v>99</v>
      </c>
      <c r="AO68" s="22">
        <v>99</v>
      </c>
      <c r="AP68" s="22">
        <v>99</v>
      </c>
      <c r="AQ68" s="18" t="s">
        <v>221</v>
      </c>
      <c r="AR68" s="18" t="s">
        <v>221</v>
      </c>
      <c r="AS68" s="18"/>
      <c r="AT68" s="22">
        <v>6</v>
      </c>
      <c r="AU68" s="22">
        <v>3</v>
      </c>
      <c r="AV68" s="22">
        <v>3</v>
      </c>
      <c r="AW68" s="22">
        <v>4</v>
      </c>
      <c r="AX68" s="37">
        <v>4</v>
      </c>
      <c r="AY68" s="22">
        <v>4</v>
      </c>
      <c r="AZ68" s="22">
        <v>2</v>
      </c>
      <c r="BA68" s="38">
        <v>99</v>
      </c>
      <c r="BB68" s="22">
        <v>99</v>
      </c>
      <c r="BC68" s="22">
        <v>99</v>
      </c>
      <c r="BD68" s="22">
        <v>99</v>
      </c>
      <c r="BE68" s="37">
        <v>99</v>
      </c>
      <c r="BF68" s="22">
        <v>0</v>
      </c>
      <c r="BG68" s="22">
        <v>3</v>
      </c>
      <c r="BH68" s="22">
        <v>3</v>
      </c>
      <c r="BI68" s="22">
        <v>999</v>
      </c>
      <c r="BJ68" s="22">
        <v>8</v>
      </c>
    </row>
    <row r="69" spans="1:62" ht="15.75" customHeight="1">
      <c r="A69" s="22" t="s">
        <v>1349</v>
      </c>
      <c r="B69" s="22"/>
      <c r="C69" s="22"/>
      <c r="D69" s="22"/>
      <c r="E69" s="22">
        <v>1</v>
      </c>
      <c r="F69" s="22">
        <v>1</v>
      </c>
      <c r="G69" s="28">
        <v>6</v>
      </c>
      <c r="H69" s="28">
        <v>6</v>
      </c>
      <c r="I69" s="30">
        <v>1954</v>
      </c>
      <c r="J69" s="34">
        <f t="shared" si="0"/>
        <v>19881</v>
      </c>
      <c r="K69" s="39" t="s">
        <v>614</v>
      </c>
      <c r="L69" s="25" t="s">
        <v>768</v>
      </c>
      <c r="M69" s="30">
        <v>1</v>
      </c>
      <c r="N69" s="17" t="s">
        <v>233</v>
      </c>
      <c r="O69" s="17"/>
      <c r="P69" s="18"/>
      <c r="Q69" s="41" t="s">
        <v>582</v>
      </c>
      <c r="R69" s="42">
        <v>39.912941199999999</v>
      </c>
      <c r="S69" s="42">
        <v>-104.79560549999999</v>
      </c>
      <c r="T69" s="22">
        <v>2</v>
      </c>
      <c r="U69" s="22">
        <v>2</v>
      </c>
      <c r="V69" s="22">
        <v>1</v>
      </c>
      <c r="W69" s="22">
        <v>3</v>
      </c>
      <c r="X69" s="22">
        <v>2</v>
      </c>
      <c r="Y69" s="18"/>
      <c r="Z69" s="22">
        <v>5</v>
      </c>
      <c r="AA69" s="22">
        <v>1</v>
      </c>
      <c r="AB69" s="18" t="s">
        <v>221</v>
      </c>
      <c r="AC69" s="22">
        <v>6</v>
      </c>
      <c r="AD69" s="22">
        <v>2</v>
      </c>
      <c r="AE69" s="18" t="s">
        <v>221</v>
      </c>
      <c r="AF69" s="22">
        <v>99</v>
      </c>
      <c r="AG69" s="18"/>
      <c r="AH69" s="22">
        <v>99</v>
      </c>
      <c r="AI69" s="28">
        <v>99</v>
      </c>
      <c r="AJ69" s="18"/>
      <c r="AK69" s="22">
        <v>99</v>
      </c>
      <c r="AL69" s="22">
        <v>99</v>
      </c>
      <c r="AM69" s="22">
        <v>99</v>
      </c>
      <c r="AN69" s="22">
        <v>99</v>
      </c>
      <c r="AO69" s="22">
        <v>99</v>
      </c>
      <c r="AP69" s="22">
        <v>99</v>
      </c>
      <c r="AQ69" s="18" t="s">
        <v>221</v>
      </c>
      <c r="AR69" s="18" t="s">
        <v>221</v>
      </c>
      <c r="AS69" s="22">
        <v>99</v>
      </c>
      <c r="AT69" s="22">
        <v>99</v>
      </c>
      <c r="AU69" s="22">
        <v>3</v>
      </c>
      <c r="AV69" s="22">
        <v>3</v>
      </c>
      <c r="AW69" s="22">
        <v>4</v>
      </c>
      <c r="AX69" s="37">
        <v>4</v>
      </c>
      <c r="AY69" s="22">
        <v>4</v>
      </c>
      <c r="AZ69" s="22">
        <v>2</v>
      </c>
      <c r="BA69" s="38">
        <v>99</v>
      </c>
      <c r="BB69" s="22">
        <v>99</v>
      </c>
      <c r="BC69" s="22">
        <v>99</v>
      </c>
      <c r="BD69" s="22">
        <v>99</v>
      </c>
      <c r="BE69" s="37">
        <v>99</v>
      </c>
      <c r="BF69" s="22">
        <v>999</v>
      </c>
      <c r="BG69" s="22">
        <v>999</v>
      </c>
      <c r="BH69" s="22">
        <v>999</v>
      </c>
      <c r="BI69" s="22">
        <v>999</v>
      </c>
      <c r="BJ69" s="22">
        <v>8</v>
      </c>
    </row>
    <row r="70" spans="1:62" ht="15.75" customHeight="1">
      <c r="A70" s="22" t="s">
        <v>1364</v>
      </c>
      <c r="B70" s="22"/>
      <c r="C70" s="22"/>
      <c r="D70" s="22"/>
      <c r="E70" s="22">
        <v>1</v>
      </c>
      <c r="F70" s="22">
        <v>1</v>
      </c>
      <c r="G70" s="28">
        <v>19</v>
      </c>
      <c r="H70" s="28">
        <v>6</v>
      </c>
      <c r="I70" s="30">
        <v>1954</v>
      </c>
      <c r="J70" s="34">
        <f t="shared" si="0"/>
        <v>19894</v>
      </c>
      <c r="K70" s="39" t="s">
        <v>965</v>
      </c>
      <c r="L70" s="25" t="s">
        <v>773</v>
      </c>
      <c r="M70" s="30">
        <v>5</v>
      </c>
      <c r="N70" s="17" t="s">
        <v>32</v>
      </c>
      <c r="O70" s="17"/>
      <c r="P70" s="25" t="s">
        <v>119</v>
      </c>
      <c r="Q70" s="25" t="s">
        <v>780</v>
      </c>
      <c r="R70" s="25">
        <v>31.951014000000001</v>
      </c>
      <c r="S70" s="25">
        <v>34.888075000000001</v>
      </c>
      <c r="T70" s="22">
        <v>2</v>
      </c>
      <c r="U70" s="22">
        <v>2</v>
      </c>
      <c r="V70" s="22">
        <v>1</v>
      </c>
      <c r="W70" s="22">
        <v>3</v>
      </c>
      <c r="X70" s="22">
        <v>2</v>
      </c>
      <c r="Y70" s="18"/>
      <c r="Z70" s="22">
        <v>5</v>
      </c>
      <c r="AA70" s="22">
        <v>2</v>
      </c>
      <c r="AB70" s="18" t="s">
        <v>221</v>
      </c>
      <c r="AC70" s="22">
        <v>6</v>
      </c>
      <c r="AD70" s="22">
        <v>2</v>
      </c>
      <c r="AE70" s="18" t="s">
        <v>221</v>
      </c>
      <c r="AF70" s="22">
        <v>99</v>
      </c>
      <c r="AG70" s="18"/>
      <c r="AH70" s="22">
        <v>99</v>
      </c>
      <c r="AI70" s="28">
        <v>99</v>
      </c>
      <c r="AJ70" s="18"/>
      <c r="AK70" s="22">
        <v>99</v>
      </c>
      <c r="AL70" s="22">
        <v>99</v>
      </c>
      <c r="AM70" s="22">
        <v>99</v>
      </c>
      <c r="AN70" s="22">
        <v>99</v>
      </c>
      <c r="AO70" s="22">
        <v>99</v>
      </c>
      <c r="AP70" s="22">
        <v>99</v>
      </c>
      <c r="AQ70" s="18" t="s">
        <v>221</v>
      </c>
      <c r="AR70" s="18" t="s">
        <v>221</v>
      </c>
      <c r="AS70" s="22">
        <v>99</v>
      </c>
      <c r="AT70" s="22">
        <v>99</v>
      </c>
      <c r="AU70" s="22">
        <v>3</v>
      </c>
      <c r="AV70" s="22">
        <v>3</v>
      </c>
      <c r="AW70" s="22">
        <v>4</v>
      </c>
      <c r="AX70" s="37">
        <v>4</v>
      </c>
      <c r="AY70" s="22">
        <v>4</v>
      </c>
      <c r="AZ70" s="22">
        <v>2</v>
      </c>
      <c r="BA70" s="38">
        <v>99</v>
      </c>
      <c r="BB70" s="22">
        <v>99</v>
      </c>
      <c r="BC70" s="22">
        <v>99</v>
      </c>
      <c r="BD70" s="22">
        <v>99</v>
      </c>
      <c r="BE70" s="37">
        <v>99</v>
      </c>
      <c r="BF70" s="22">
        <v>0</v>
      </c>
      <c r="BG70" s="22">
        <v>0</v>
      </c>
      <c r="BH70" s="22">
        <v>0</v>
      </c>
      <c r="BI70" s="22">
        <v>999</v>
      </c>
      <c r="BJ70" s="22">
        <v>99</v>
      </c>
    </row>
    <row r="71" spans="1:62" ht="15.75" customHeight="1">
      <c r="A71" s="22" t="s">
        <v>1373</v>
      </c>
      <c r="B71" s="22"/>
      <c r="C71" s="22"/>
      <c r="D71" s="22"/>
      <c r="E71" s="22">
        <v>2</v>
      </c>
      <c r="F71" s="22">
        <v>1</v>
      </c>
      <c r="G71" s="28">
        <v>19</v>
      </c>
      <c r="H71" s="28">
        <v>6</v>
      </c>
      <c r="I71" s="30">
        <v>1954</v>
      </c>
      <c r="J71" s="34">
        <f t="shared" si="0"/>
        <v>19894</v>
      </c>
      <c r="K71" s="11" t="s">
        <v>1380</v>
      </c>
      <c r="L71" s="25" t="s">
        <v>776</v>
      </c>
      <c r="M71" s="30">
        <v>5</v>
      </c>
      <c r="N71" s="17" t="s">
        <v>32</v>
      </c>
      <c r="O71" s="17"/>
      <c r="P71" s="25" t="s">
        <v>539</v>
      </c>
      <c r="Q71" s="25" t="s">
        <v>545</v>
      </c>
      <c r="R71" s="25">
        <v>32.085299900000003</v>
      </c>
      <c r="S71" s="25">
        <v>34.781767599999903</v>
      </c>
      <c r="T71" s="22">
        <v>2</v>
      </c>
      <c r="U71" s="22">
        <v>2</v>
      </c>
      <c r="V71" s="22">
        <v>1</v>
      </c>
      <c r="W71" s="22">
        <v>3</v>
      </c>
      <c r="X71" s="22">
        <v>2</v>
      </c>
      <c r="Y71" s="18"/>
      <c r="Z71" s="22">
        <v>5</v>
      </c>
      <c r="AA71" s="22">
        <v>1</v>
      </c>
      <c r="AB71" s="2" t="s">
        <v>1385</v>
      </c>
      <c r="AC71" s="22">
        <v>6</v>
      </c>
      <c r="AD71" s="22">
        <v>2</v>
      </c>
      <c r="AE71" s="18" t="s">
        <v>221</v>
      </c>
      <c r="AF71" s="22">
        <v>1</v>
      </c>
      <c r="AG71" s="18"/>
      <c r="AH71" s="22">
        <v>99</v>
      </c>
      <c r="AI71" s="28">
        <v>99</v>
      </c>
      <c r="AJ71" s="18"/>
      <c r="AK71" s="22">
        <v>99</v>
      </c>
      <c r="AL71" s="22">
        <v>99</v>
      </c>
      <c r="AM71" s="22">
        <v>99</v>
      </c>
      <c r="AN71" s="22">
        <v>99</v>
      </c>
      <c r="AO71" s="22">
        <v>99</v>
      </c>
      <c r="AP71" s="22">
        <v>99</v>
      </c>
      <c r="AQ71" s="22" t="s">
        <v>1388</v>
      </c>
      <c r="AR71" s="18" t="s">
        <v>221</v>
      </c>
      <c r="AS71" s="22">
        <v>5</v>
      </c>
      <c r="AT71" s="22">
        <v>6</v>
      </c>
      <c r="AU71" s="22">
        <v>3</v>
      </c>
      <c r="AV71" s="22">
        <v>3</v>
      </c>
      <c r="AW71" s="22">
        <v>4</v>
      </c>
      <c r="AX71" s="37">
        <v>4</v>
      </c>
      <c r="AY71" s="22">
        <v>4</v>
      </c>
      <c r="AZ71" s="22">
        <v>2</v>
      </c>
      <c r="BA71" s="38">
        <v>99</v>
      </c>
      <c r="BB71" s="22">
        <v>99</v>
      </c>
      <c r="BC71" s="22">
        <v>99</v>
      </c>
      <c r="BD71" s="22">
        <v>99</v>
      </c>
      <c r="BE71" s="37">
        <v>99</v>
      </c>
      <c r="BF71" s="22">
        <v>0</v>
      </c>
      <c r="BG71" s="22">
        <v>3</v>
      </c>
      <c r="BH71" s="22">
        <v>3</v>
      </c>
      <c r="BI71" s="22">
        <v>999</v>
      </c>
      <c r="BJ71" s="22">
        <v>8</v>
      </c>
    </row>
    <row r="72" spans="1:62" ht="15.75" customHeight="1">
      <c r="A72" s="22" t="s">
        <v>1392</v>
      </c>
      <c r="B72" s="22"/>
      <c r="C72" s="22"/>
      <c r="D72" s="22"/>
      <c r="E72" s="22">
        <v>1</v>
      </c>
      <c r="F72" s="22">
        <v>1</v>
      </c>
      <c r="G72" s="28">
        <v>24</v>
      </c>
      <c r="H72" s="28">
        <v>6</v>
      </c>
      <c r="I72" s="30">
        <v>1954</v>
      </c>
      <c r="J72" s="34">
        <f t="shared" si="0"/>
        <v>19899</v>
      </c>
      <c r="K72" s="11" t="s">
        <v>1395</v>
      </c>
      <c r="L72" s="25" t="s">
        <v>779</v>
      </c>
      <c r="M72" s="30">
        <v>1</v>
      </c>
      <c r="N72" s="17" t="s">
        <v>233</v>
      </c>
      <c r="O72" s="17"/>
      <c r="P72" s="18"/>
      <c r="Q72" s="41" t="s">
        <v>582</v>
      </c>
      <c r="R72" s="42">
        <v>39.912941199999999</v>
      </c>
      <c r="S72" s="42">
        <v>-104.79560549999999</v>
      </c>
      <c r="T72" s="22">
        <v>1</v>
      </c>
      <c r="U72" s="22">
        <v>2</v>
      </c>
      <c r="V72" s="22">
        <v>1</v>
      </c>
      <c r="W72" s="22">
        <v>2</v>
      </c>
      <c r="X72" s="22">
        <v>2</v>
      </c>
      <c r="Y72" s="18"/>
      <c r="Z72" s="22">
        <v>5</v>
      </c>
      <c r="AA72" s="22">
        <v>2</v>
      </c>
      <c r="AB72" s="18" t="s">
        <v>221</v>
      </c>
      <c r="AC72" s="22">
        <v>6</v>
      </c>
      <c r="AD72" s="22">
        <v>2</v>
      </c>
      <c r="AE72" s="18" t="s">
        <v>221</v>
      </c>
      <c r="AF72" s="22">
        <v>1</v>
      </c>
      <c r="AG72" s="18"/>
      <c r="AH72" s="22">
        <v>99</v>
      </c>
      <c r="AI72" s="28">
        <v>99</v>
      </c>
      <c r="AJ72" s="18"/>
      <c r="AK72" s="22">
        <v>99</v>
      </c>
      <c r="AL72" s="22">
        <v>99</v>
      </c>
      <c r="AM72" s="22">
        <v>99</v>
      </c>
      <c r="AN72" s="22">
        <v>1</v>
      </c>
      <c r="AO72" s="22">
        <v>6</v>
      </c>
      <c r="AP72" s="22">
        <v>99</v>
      </c>
      <c r="AQ72" s="22" t="s">
        <v>1402</v>
      </c>
      <c r="AR72" s="2" t="s">
        <v>1281</v>
      </c>
      <c r="AS72" s="22">
        <v>4</v>
      </c>
      <c r="AT72" s="22">
        <v>6</v>
      </c>
      <c r="AU72" s="22">
        <v>3</v>
      </c>
      <c r="AV72" s="22">
        <v>3</v>
      </c>
      <c r="AW72" s="22">
        <v>4</v>
      </c>
      <c r="AX72" s="37">
        <v>4</v>
      </c>
      <c r="AY72" s="22">
        <v>4</v>
      </c>
      <c r="AZ72" s="22">
        <v>2</v>
      </c>
      <c r="BA72" s="38">
        <v>99</v>
      </c>
      <c r="BB72" s="22">
        <v>99</v>
      </c>
      <c r="BC72" s="22">
        <v>99</v>
      </c>
      <c r="BD72" s="22">
        <v>99</v>
      </c>
      <c r="BE72" s="37">
        <v>99</v>
      </c>
      <c r="BF72" s="22">
        <v>0</v>
      </c>
      <c r="BG72" s="22">
        <v>1</v>
      </c>
      <c r="BH72" s="22">
        <v>1</v>
      </c>
      <c r="BI72" s="22">
        <v>3</v>
      </c>
      <c r="BJ72" s="22">
        <v>7</v>
      </c>
    </row>
    <row r="73" spans="1:62" ht="15.75" customHeight="1">
      <c r="A73" s="22" t="s">
        <v>1406</v>
      </c>
      <c r="B73" s="22"/>
      <c r="C73" s="22"/>
      <c r="D73" s="22"/>
      <c r="E73" s="22">
        <v>2</v>
      </c>
      <c r="F73" s="22">
        <v>1</v>
      </c>
      <c r="G73" s="28">
        <v>27</v>
      </c>
      <c r="H73" s="28">
        <v>6</v>
      </c>
      <c r="I73" s="30">
        <v>1954</v>
      </c>
      <c r="J73" s="34">
        <f t="shared" si="0"/>
        <v>19902</v>
      </c>
      <c r="K73" s="11" t="s">
        <v>1408</v>
      </c>
      <c r="L73" s="25" t="s">
        <v>784</v>
      </c>
      <c r="M73" s="30">
        <v>4</v>
      </c>
      <c r="N73" s="17" t="s">
        <v>848</v>
      </c>
      <c r="O73" s="17"/>
      <c r="P73" s="18"/>
      <c r="Q73" s="41" t="s">
        <v>582</v>
      </c>
      <c r="R73" s="42">
        <v>39.912941199999999</v>
      </c>
      <c r="S73" s="42">
        <v>-104.79560549999999</v>
      </c>
      <c r="T73" s="22">
        <v>2</v>
      </c>
      <c r="U73" s="22">
        <v>1</v>
      </c>
      <c r="V73" s="22">
        <v>5</v>
      </c>
      <c r="W73" s="18"/>
      <c r="X73" s="22">
        <v>2</v>
      </c>
      <c r="Y73" s="18"/>
      <c r="Z73" s="22">
        <v>5</v>
      </c>
      <c r="AA73" s="22">
        <v>1</v>
      </c>
      <c r="AB73" s="18" t="s">
        <v>221</v>
      </c>
      <c r="AC73" s="22">
        <v>6</v>
      </c>
      <c r="AD73" s="22">
        <v>99</v>
      </c>
      <c r="AE73" s="18" t="s">
        <v>221</v>
      </c>
      <c r="AF73" s="22">
        <v>99</v>
      </c>
      <c r="AG73" s="18"/>
      <c r="AH73" s="22">
        <v>99</v>
      </c>
      <c r="AI73" s="28">
        <v>99</v>
      </c>
      <c r="AJ73" s="18"/>
      <c r="AK73" s="22">
        <v>99</v>
      </c>
      <c r="AL73" s="22">
        <v>99</v>
      </c>
      <c r="AM73" s="22">
        <v>99</v>
      </c>
      <c r="AN73" s="22">
        <v>99</v>
      </c>
      <c r="AO73" s="22">
        <v>99</v>
      </c>
      <c r="AP73" s="22">
        <v>99</v>
      </c>
      <c r="AQ73" s="18" t="s">
        <v>221</v>
      </c>
      <c r="AR73" s="18" t="s">
        <v>221</v>
      </c>
      <c r="AS73" s="22">
        <v>99</v>
      </c>
      <c r="AT73" s="22">
        <v>99</v>
      </c>
      <c r="AU73" s="22">
        <v>3</v>
      </c>
      <c r="AV73" s="22">
        <v>3</v>
      </c>
      <c r="AW73" s="22">
        <v>4</v>
      </c>
      <c r="AX73" s="37">
        <v>4</v>
      </c>
      <c r="AY73" s="22">
        <v>4</v>
      </c>
      <c r="AZ73" s="22">
        <v>2</v>
      </c>
      <c r="BA73" s="38">
        <v>99</v>
      </c>
      <c r="BB73" s="22">
        <v>99</v>
      </c>
      <c r="BC73" s="22">
        <v>99</v>
      </c>
      <c r="BD73" s="22">
        <v>99</v>
      </c>
      <c r="BE73" s="37">
        <v>99</v>
      </c>
      <c r="BF73" s="22">
        <v>999</v>
      </c>
      <c r="BG73" s="22">
        <v>999</v>
      </c>
      <c r="BH73" s="22">
        <v>999</v>
      </c>
      <c r="BI73" s="22">
        <v>999</v>
      </c>
      <c r="BJ73" s="22">
        <v>8</v>
      </c>
    </row>
    <row r="74" spans="1:62" ht="15.75" customHeight="1">
      <c r="A74" s="22" t="s">
        <v>1419</v>
      </c>
      <c r="B74" s="22"/>
      <c r="C74" s="22"/>
      <c r="D74" s="22"/>
      <c r="E74" s="22">
        <v>2</v>
      </c>
      <c r="F74" s="22">
        <v>1</v>
      </c>
      <c r="G74" s="28">
        <v>30</v>
      </c>
      <c r="H74" s="28">
        <v>6</v>
      </c>
      <c r="I74" s="30">
        <v>1954</v>
      </c>
      <c r="J74" s="34">
        <f t="shared" si="0"/>
        <v>19905</v>
      </c>
      <c r="K74" s="11" t="s">
        <v>1423</v>
      </c>
      <c r="L74" s="25" t="s">
        <v>787</v>
      </c>
      <c r="M74" s="30">
        <v>1</v>
      </c>
      <c r="N74" s="17" t="s">
        <v>233</v>
      </c>
      <c r="O74" s="17"/>
      <c r="P74" s="25" t="s">
        <v>788</v>
      </c>
      <c r="Q74" s="25" t="s">
        <v>853</v>
      </c>
      <c r="R74" s="75">
        <v>37.6096</v>
      </c>
      <c r="S74" s="75">
        <v>-80.587989999999905</v>
      </c>
      <c r="T74" s="22">
        <v>99</v>
      </c>
      <c r="U74" s="22">
        <v>1</v>
      </c>
      <c r="V74" s="22">
        <v>99</v>
      </c>
      <c r="W74" s="22">
        <v>3</v>
      </c>
      <c r="X74" s="22">
        <v>2</v>
      </c>
      <c r="Y74" s="18"/>
      <c r="Z74" s="22">
        <v>5</v>
      </c>
      <c r="AA74" s="22">
        <v>2</v>
      </c>
      <c r="AB74" s="2" t="s">
        <v>685</v>
      </c>
      <c r="AC74" s="22">
        <v>6</v>
      </c>
      <c r="AD74" s="22">
        <v>2</v>
      </c>
      <c r="AE74" s="18" t="s">
        <v>221</v>
      </c>
      <c r="AF74" s="22">
        <v>99</v>
      </c>
      <c r="AG74" s="18"/>
      <c r="AH74" s="22">
        <v>99</v>
      </c>
      <c r="AI74" s="28">
        <v>99</v>
      </c>
      <c r="AJ74" s="18"/>
      <c r="AK74" s="22">
        <v>99</v>
      </c>
      <c r="AL74" s="22">
        <v>99</v>
      </c>
      <c r="AM74" s="22">
        <v>99</v>
      </c>
      <c r="AN74" s="22">
        <v>2</v>
      </c>
      <c r="AO74" s="22">
        <v>99</v>
      </c>
      <c r="AP74" s="22">
        <v>99</v>
      </c>
      <c r="AQ74" s="22" t="s">
        <v>1435</v>
      </c>
      <c r="AR74" s="2" t="s">
        <v>570</v>
      </c>
      <c r="AS74" s="22">
        <v>5</v>
      </c>
      <c r="AT74" s="22">
        <v>2</v>
      </c>
      <c r="AU74" s="22">
        <v>3</v>
      </c>
      <c r="AV74" s="22">
        <v>3</v>
      </c>
      <c r="AW74" s="22">
        <v>4</v>
      </c>
      <c r="AX74" s="37">
        <v>4</v>
      </c>
      <c r="AY74" s="22">
        <v>4</v>
      </c>
      <c r="AZ74" s="22">
        <v>2</v>
      </c>
      <c r="BA74" s="38">
        <v>99</v>
      </c>
      <c r="BB74" s="22">
        <v>99</v>
      </c>
      <c r="BC74" s="22">
        <v>99</v>
      </c>
      <c r="BD74" s="22">
        <v>99</v>
      </c>
      <c r="BE74" s="37">
        <v>99</v>
      </c>
      <c r="BF74" s="22">
        <v>8</v>
      </c>
      <c r="BG74" s="22">
        <v>0</v>
      </c>
      <c r="BH74" s="22">
        <v>8</v>
      </c>
      <c r="BI74" s="22">
        <v>999</v>
      </c>
      <c r="BJ74" s="22">
        <v>7</v>
      </c>
    </row>
    <row r="75" spans="1:62" ht="15.75" customHeight="1">
      <c r="A75" s="22" t="s">
        <v>1436</v>
      </c>
      <c r="B75" s="22"/>
      <c r="C75" s="22"/>
      <c r="D75" s="22"/>
      <c r="E75" s="22">
        <v>3</v>
      </c>
      <c r="F75" s="22">
        <v>1</v>
      </c>
      <c r="G75" s="28">
        <v>30</v>
      </c>
      <c r="H75" s="28">
        <v>6</v>
      </c>
      <c r="I75" s="30">
        <v>1954</v>
      </c>
      <c r="J75" s="34">
        <f t="shared" si="0"/>
        <v>19905</v>
      </c>
      <c r="K75" s="11" t="s">
        <v>1441</v>
      </c>
      <c r="L75" s="25" t="s">
        <v>792</v>
      </c>
      <c r="M75" s="30">
        <v>5</v>
      </c>
      <c r="N75" s="17" t="s">
        <v>32</v>
      </c>
      <c r="O75" s="17"/>
      <c r="P75" s="25" t="s">
        <v>793</v>
      </c>
      <c r="Q75" s="25" t="s">
        <v>855</v>
      </c>
      <c r="R75" s="25">
        <v>33.242077999999999</v>
      </c>
      <c r="S75" s="25">
        <v>35.574142000000002</v>
      </c>
      <c r="T75" s="22">
        <v>2</v>
      </c>
      <c r="U75" s="22">
        <v>1</v>
      </c>
      <c r="V75" s="22">
        <v>1</v>
      </c>
      <c r="W75" s="22">
        <v>2</v>
      </c>
      <c r="X75" s="22">
        <v>2</v>
      </c>
      <c r="Y75" s="18"/>
      <c r="Z75" s="22">
        <v>5</v>
      </c>
      <c r="AA75" s="22">
        <v>1</v>
      </c>
      <c r="AB75" s="2" t="s">
        <v>685</v>
      </c>
      <c r="AC75" s="22">
        <v>7</v>
      </c>
      <c r="AD75" s="22">
        <v>2</v>
      </c>
      <c r="AE75" s="18" t="s">
        <v>221</v>
      </c>
      <c r="AF75" s="22">
        <v>99</v>
      </c>
      <c r="AG75" s="18"/>
      <c r="AH75" s="22">
        <v>99</v>
      </c>
      <c r="AI75" s="28">
        <v>99</v>
      </c>
      <c r="AJ75" s="18"/>
      <c r="AK75" s="22">
        <v>99</v>
      </c>
      <c r="AL75" s="22">
        <v>99</v>
      </c>
      <c r="AM75" s="22">
        <v>99</v>
      </c>
      <c r="AN75" s="22">
        <v>2</v>
      </c>
      <c r="AO75" s="22">
        <v>99</v>
      </c>
      <c r="AP75" s="22">
        <v>99</v>
      </c>
      <c r="AQ75" s="22" t="s">
        <v>1449</v>
      </c>
      <c r="AR75" s="18" t="s">
        <v>221</v>
      </c>
      <c r="AS75" s="22">
        <v>1</v>
      </c>
      <c r="AT75" s="22">
        <v>6</v>
      </c>
      <c r="AU75" s="22">
        <v>3</v>
      </c>
      <c r="AV75" s="22">
        <v>3</v>
      </c>
      <c r="AW75" s="22">
        <v>4</v>
      </c>
      <c r="AX75" s="37">
        <v>4</v>
      </c>
      <c r="AY75" s="22">
        <v>4</v>
      </c>
      <c r="AZ75" s="22">
        <v>2</v>
      </c>
      <c r="BA75" s="38">
        <v>99</v>
      </c>
      <c r="BB75" s="22">
        <v>99</v>
      </c>
      <c r="BC75" s="22">
        <v>99</v>
      </c>
      <c r="BD75" s="22">
        <v>99</v>
      </c>
      <c r="BE75" s="37">
        <v>99</v>
      </c>
      <c r="BF75" s="22">
        <v>2</v>
      </c>
      <c r="BG75" s="22">
        <v>1</v>
      </c>
      <c r="BH75" s="22">
        <v>3</v>
      </c>
      <c r="BI75" s="22">
        <v>999</v>
      </c>
      <c r="BJ75" s="22">
        <v>9</v>
      </c>
    </row>
    <row r="76" spans="1:62" ht="15.75" customHeight="1">
      <c r="A76" s="22" t="s">
        <v>1455</v>
      </c>
      <c r="B76" s="22"/>
      <c r="C76" s="22"/>
      <c r="D76" s="22"/>
      <c r="E76" s="22">
        <v>2</v>
      </c>
      <c r="F76" s="22">
        <v>1</v>
      </c>
      <c r="G76" s="28">
        <v>1</v>
      </c>
      <c r="H76" s="28">
        <v>7</v>
      </c>
      <c r="I76" s="30">
        <v>1954</v>
      </c>
      <c r="J76" s="34">
        <f t="shared" si="0"/>
        <v>19906</v>
      </c>
      <c r="K76" s="11" t="s">
        <v>1250</v>
      </c>
      <c r="L76" s="25" t="s">
        <v>795</v>
      </c>
      <c r="M76" s="30">
        <v>1</v>
      </c>
      <c r="N76" s="17" t="s">
        <v>233</v>
      </c>
      <c r="O76" s="17"/>
      <c r="P76" s="25" t="s">
        <v>796</v>
      </c>
      <c r="Q76" s="25" t="s">
        <v>857</v>
      </c>
      <c r="R76" s="25">
        <v>32.128972900000001</v>
      </c>
      <c r="S76" s="25">
        <v>34.853284000000002</v>
      </c>
      <c r="T76" s="22">
        <v>2</v>
      </c>
      <c r="U76" s="22">
        <v>1</v>
      </c>
      <c r="V76" s="22">
        <v>2</v>
      </c>
      <c r="W76" s="22">
        <v>4</v>
      </c>
      <c r="X76" s="22">
        <v>2</v>
      </c>
      <c r="Y76" s="18"/>
      <c r="Z76" s="22">
        <v>5</v>
      </c>
      <c r="AA76" s="22">
        <v>1</v>
      </c>
      <c r="AB76" s="2" t="s">
        <v>685</v>
      </c>
      <c r="AC76" s="22">
        <v>7</v>
      </c>
      <c r="AD76" s="22">
        <v>2</v>
      </c>
      <c r="AE76" s="18" t="s">
        <v>221</v>
      </c>
      <c r="AF76" s="22">
        <v>99</v>
      </c>
      <c r="AG76" s="18"/>
      <c r="AH76" s="22">
        <v>99</v>
      </c>
      <c r="AI76" s="28">
        <v>99</v>
      </c>
      <c r="AJ76" s="18"/>
      <c r="AK76" s="22">
        <v>99</v>
      </c>
      <c r="AL76" s="22">
        <v>99</v>
      </c>
      <c r="AM76" s="22">
        <v>99</v>
      </c>
      <c r="AN76" s="22">
        <v>2</v>
      </c>
      <c r="AO76" s="22">
        <v>99</v>
      </c>
      <c r="AP76" s="22">
        <v>99</v>
      </c>
      <c r="AQ76" s="18" t="s">
        <v>221</v>
      </c>
      <c r="AR76" s="18" t="s">
        <v>221</v>
      </c>
      <c r="AS76" s="22">
        <v>99</v>
      </c>
      <c r="AT76" s="22">
        <v>99</v>
      </c>
      <c r="AU76" s="22">
        <v>3</v>
      </c>
      <c r="AV76" s="22">
        <v>3</v>
      </c>
      <c r="AW76" s="22">
        <v>4</v>
      </c>
      <c r="AX76" s="37">
        <v>4</v>
      </c>
      <c r="AY76" s="22">
        <v>4</v>
      </c>
      <c r="AZ76" s="22">
        <v>2</v>
      </c>
      <c r="BA76" s="38">
        <v>99</v>
      </c>
      <c r="BB76" s="22">
        <v>99</v>
      </c>
      <c r="BC76" s="22">
        <v>99</v>
      </c>
      <c r="BD76" s="22">
        <v>99</v>
      </c>
      <c r="BE76" s="37">
        <v>99</v>
      </c>
      <c r="BF76" s="22">
        <v>999</v>
      </c>
      <c r="BG76" s="22">
        <v>999</v>
      </c>
      <c r="BH76" s="22">
        <v>999</v>
      </c>
      <c r="BI76" s="22">
        <v>999</v>
      </c>
      <c r="BJ76" s="22">
        <v>9</v>
      </c>
    </row>
    <row r="77" spans="1:62" ht="15.75" customHeight="1">
      <c r="A77" s="22" t="s">
        <v>1461</v>
      </c>
      <c r="B77" s="22"/>
      <c r="C77" s="22"/>
      <c r="D77" s="22"/>
      <c r="E77" s="22">
        <v>3</v>
      </c>
      <c r="F77" s="22">
        <v>99</v>
      </c>
      <c r="G77" s="28">
        <v>1</v>
      </c>
      <c r="H77" s="28">
        <v>7</v>
      </c>
      <c r="I77" s="30">
        <v>1954</v>
      </c>
      <c r="J77" s="34">
        <f t="shared" si="0"/>
        <v>19906</v>
      </c>
      <c r="K77" s="11" t="s">
        <v>1464</v>
      </c>
      <c r="L77" s="25" t="s">
        <v>799</v>
      </c>
      <c r="M77" s="30">
        <v>5</v>
      </c>
      <c r="N77" s="17" t="s">
        <v>32</v>
      </c>
      <c r="O77" s="17"/>
      <c r="P77" s="25" t="s">
        <v>800</v>
      </c>
      <c r="Q77" s="25" t="s">
        <v>859</v>
      </c>
      <c r="R77" s="25">
        <v>33.087634000000001</v>
      </c>
      <c r="S77" s="25">
        <v>35.173430000000003</v>
      </c>
      <c r="T77" s="22">
        <v>2</v>
      </c>
      <c r="U77" s="22">
        <v>1</v>
      </c>
      <c r="V77" s="22">
        <v>1</v>
      </c>
      <c r="W77" s="22">
        <v>2</v>
      </c>
      <c r="X77" s="22">
        <v>2</v>
      </c>
      <c r="Y77" s="18"/>
      <c r="Z77" s="22">
        <v>5</v>
      </c>
      <c r="AA77" s="22">
        <v>2</v>
      </c>
      <c r="AB77" s="2" t="s">
        <v>1385</v>
      </c>
      <c r="AC77" s="22">
        <v>6</v>
      </c>
      <c r="AD77" s="22">
        <v>2</v>
      </c>
      <c r="AE77" s="18" t="s">
        <v>221</v>
      </c>
      <c r="AF77" s="22">
        <v>99</v>
      </c>
      <c r="AG77" s="18"/>
      <c r="AH77" s="22">
        <v>99</v>
      </c>
      <c r="AI77" s="28">
        <v>99</v>
      </c>
      <c r="AJ77" s="18"/>
      <c r="AK77" s="22">
        <v>99</v>
      </c>
      <c r="AL77" s="22">
        <v>99</v>
      </c>
      <c r="AM77" s="22">
        <v>99</v>
      </c>
      <c r="AN77" s="22">
        <v>2</v>
      </c>
      <c r="AO77" s="22">
        <v>99</v>
      </c>
      <c r="AP77" s="22">
        <v>99</v>
      </c>
      <c r="AQ77" s="22" t="s">
        <v>1469</v>
      </c>
      <c r="AR77" s="2" t="s">
        <v>790</v>
      </c>
      <c r="AS77" s="22">
        <v>5</v>
      </c>
      <c r="AT77" s="22">
        <v>6</v>
      </c>
      <c r="AU77" s="22">
        <v>3</v>
      </c>
      <c r="AV77" s="22">
        <v>3</v>
      </c>
      <c r="AW77" s="22">
        <v>4</v>
      </c>
      <c r="AX77" s="37">
        <v>4</v>
      </c>
      <c r="AY77" s="22">
        <v>4</v>
      </c>
      <c r="AZ77" s="22">
        <v>2</v>
      </c>
      <c r="BA77" s="38">
        <v>99</v>
      </c>
      <c r="BB77" s="22">
        <v>99</v>
      </c>
      <c r="BC77" s="22">
        <v>99</v>
      </c>
      <c r="BD77" s="22">
        <v>99</v>
      </c>
      <c r="BE77" s="37">
        <v>99</v>
      </c>
      <c r="BF77" s="22">
        <v>23</v>
      </c>
      <c r="BG77" s="22">
        <v>1</v>
      </c>
      <c r="BH77" s="22">
        <v>24</v>
      </c>
      <c r="BI77" s="22">
        <v>999</v>
      </c>
      <c r="BJ77" s="22">
        <v>5</v>
      </c>
    </row>
    <row r="78" spans="1:62" ht="15.75" customHeight="1">
      <c r="A78" s="22" t="s">
        <v>1474</v>
      </c>
      <c r="B78" s="22"/>
      <c r="C78" s="22"/>
      <c r="D78" s="22"/>
      <c r="E78" s="22">
        <v>1</v>
      </c>
      <c r="F78" s="22">
        <v>1</v>
      </c>
      <c r="G78" s="28">
        <v>7</v>
      </c>
      <c r="H78" s="28">
        <v>7</v>
      </c>
      <c r="I78" s="30">
        <v>1954</v>
      </c>
      <c r="J78" s="34">
        <f t="shared" si="0"/>
        <v>19912</v>
      </c>
      <c r="K78" s="11" t="s">
        <v>1476</v>
      </c>
      <c r="L78" s="25" t="s">
        <v>804</v>
      </c>
      <c r="M78" s="30">
        <v>5</v>
      </c>
      <c r="N78" s="17" t="s">
        <v>32</v>
      </c>
      <c r="O78" s="17"/>
      <c r="P78" s="25" t="s">
        <v>32</v>
      </c>
      <c r="Q78" s="25" t="s">
        <v>346</v>
      </c>
      <c r="R78" s="25">
        <v>31.768319000000002</v>
      </c>
      <c r="S78" s="25">
        <v>35.213709999999999</v>
      </c>
      <c r="T78" s="22">
        <v>2</v>
      </c>
      <c r="U78" s="22">
        <v>2</v>
      </c>
      <c r="V78" s="22">
        <v>5</v>
      </c>
      <c r="W78" s="22">
        <v>2</v>
      </c>
      <c r="X78" s="22">
        <v>2</v>
      </c>
      <c r="Y78" s="18"/>
      <c r="Z78" s="22">
        <v>1</v>
      </c>
      <c r="AA78" s="22">
        <v>2</v>
      </c>
      <c r="AB78" s="18" t="s">
        <v>221</v>
      </c>
      <c r="AC78" s="22">
        <v>6</v>
      </c>
      <c r="AD78" s="22">
        <v>2</v>
      </c>
      <c r="AE78" s="18" t="s">
        <v>221</v>
      </c>
      <c r="AF78" s="22">
        <v>99</v>
      </c>
      <c r="AG78" s="18"/>
      <c r="AH78" s="22">
        <v>99</v>
      </c>
      <c r="AI78" s="28">
        <v>99</v>
      </c>
      <c r="AJ78" s="18"/>
      <c r="AK78" s="22">
        <v>99</v>
      </c>
      <c r="AL78" s="22">
        <v>99</v>
      </c>
      <c r="AM78" s="22">
        <v>99</v>
      </c>
      <c r="AN78" s="22">
        <v>2</v>
      </c>
      <c r="AO78" s="22">
        <v>99</v>
      </c>
      <c r="AP78" s="22">
        <v>99</v>
      </c>
      <c r="AQ78" s="18" t="s">
        <v>221</v>
      </c>
      <c r="AR78" s="18" t="s">
        <v>221</v>
      </c>
      <c r="AS78" s="22">
        <v>99</v>
      </c>
      <c r="AT78" s="22">
        <v>99</v>
      </c>
      <c r="AU78" s="22">
        <v>3</v>
      </c>
      <c r="AV78" s="22">
        <v>3</v>
      </c>
      <c r="AW78" s="22">
        <v>4</v>
      </c>
      <c r="AX78" s="37">
        <v>4</v>
      </c>
      <c r="AY78" s="22">
        <v>4</v>
      </c>
      <c r="AZ78" s="22">
        <v>2</v>
      </c>
      <c r="BA78" s="38">
        <v>99</v>
      </c>
      <c r="BB78" s="22">
        <v>99</v>
      </c>
      <c r="BC78" s="22">
        <v>99</v>
      </c>
      <c r="BD78" s="22">
        <v>99</v>
      </c>
      <c r="BE78" s="37">
        <v>99</v>
      </c>
      <c r="BF78" s="22">
        <v>0</v>
      </c>
      <c r="BG78" s="22">
        <v>0</v>
      </c>
      <c r="BH78" s="22">
        <v>0</v>
      </c>
      <c r="BI78" s="22">
        <v>999</v>
      </c>
      <c r="BJ78" s="22">
        <v>2</v>
      </c>
    </row>
    <row r="79" spans="1:62" ht="15.75" customHeight="1">
      <c r="A79" s="22" t="s">
        <v>1485</v>
      </c>
      <c r="B79" s="22"/>
      <c r="C79" s="22"/>
      <c r="D79" s="22"/>
      <c r="E79" s="22">
        <v>1</v>
      </c>
      <c r="F79" s="22">
        <v>1</v>
      </c>
      <c r="G79" s="28">
        <v>13</v>
      </c>
      <c r="H79" s="28">
        <v>7</v>
      </c>
      <c r="I79" s="30">
        <v>1954</v>
      </c>
      <c r="J79" s="34">
        <f t="shared" si="0"/>
        <v>19918</v>
      </c>
      <c r="K79" s="39" t="s">
        <v>830</v>
      </c>
      <c r="L79" s="25" t="s">
        <v>805</v>
      </c>
      <c r="M79" s="30">
        <v>5</v>
      </c>
      <c r="N79" s="17" t="s">
        <v>32</v>
      </c>
      <c r="O79" s="17"/>
      <c r="P79" s="25" t="s">
        <v>32</v>
      </c>
      <c r="Q79" s="25" t="s">
        <v>346</v>
      </c>
      <c r="R79" s="25">
        <v>31.768319000000002</v>
      </c>
      <c r="S79" s="25">
        <v>35.213709999999999</v>
      </c>
      <c r="T79" s="22">
        <v>2</v>
      </c>
      <c r="U79" s="22">
        <v>2</v>
      </c>
      <c r="V79" s="22">
        <v>5</v>
      </c>
      <c r="W79" s="22">
        <v>2</v>
      </c>
      <c r="X79" s="22">
        <v>2</v>
      </c>
      <c r="Y79" s="18"/>
      <c r="Z79" s="22">
        <v>5</v>
      </c>
      <c r="AA79" s="22">
        <v>2</v>
      </c>
      <c r="AB79" s="18" t="s">
        <v>221</v>
      </c>
      <c r="AC79" s="22">
        <v>6</v>
      </c>
      <c r="AD79" s="22">
        <v>2</v>
      </c>
      <c r="AE79" s="18" t="s">
        <v>221</v>
      </c>
      <c r="AF79" s="22">
        <v>1</v>
      </c>
      <c r="AG79" s="18"/>
      <c r="AH79" s="22">
        <v>99</v>
      </c>
      <c r="AI79" s="28">
        <v>99</v>
      </c>
      <c r="AJ79" s="18"/>
      <c r="AK79" s="22">
        <v>99</v>
      </c>
      <c r="AL79" s="22">
        <v>99</v>
      </c>
      <c r="AM79" s="22">
        <v>99</v>
      </c>
      <c r="AN79" s="22">
        <v>2</v>
      </c>
      <c r="AO79" s="22">
        <v>99</v>
      </c>
      <c r="AP79" s="22">
        <v>99</v>
      </c>
      <c r="AQ79" s="18" t="s">
        <v>221</v>
      </c>
      <c r="AR79" s="18" t="s">
        <v>221</v>
      </c>
      <c r="AS79" s="22">
        <v>99</v>
      </c>
      <c r="AT79" s="22">
        <v>99</v>
      </c>
      <c r="AU79" s="22">
        <v>3</v>
      </c>
      <c r="AV79" s="22">
        <v>3</v>
      </c>
      <c r="AW79" s="22">
        <v>4</v>
      </c>
      <c r="AX79" s="37">
        <v>4</v>
      </c>
      <c r="AY79" s="22">
        <v>4</v>
      </c>
      <c r="AZ79" s="22">
        <v>2</v>
      </c>
      <c r="BA79" s="38">
        <v>99</v>
      </c>
      <c r="BB79" s="22">
        <v>99</v>
      </c>
      <c r="BC79" s="22">
        <v>99</v>
      </c>
      <c r="BD79" s="22">
        <v>99</v>
      </c>
      <c r="BE79" s="37">
        <v>99</v>
      </c>
      <c r="BF79" s="22">
        <v>0</v>
      </c>
      <c r="BG79" s="22">
        <v>0</v>
      </c>
      <c r="BH79" s="22">
        <v>0</v>
      </c>
      <c r="BI79" s="22">
        <v>999</v>
      </c>
      <c r="BJ79" s="22">
        <v>7</v>
      </c>
    </row>
    <row r="80" spans="1:62" ht="15.75" customHeight="1">
      <c r="A80" s="22" t="s">
        <v>1498</v>
      </c>
      <c r="B80" s="22"/>
      <c r="C80" s="22"/>
      <c r="D80" s="22"/>
      <c r="E80" s="22">
        <v>1</v>
      </c>
      <c r="F80" s="22">
        <v>1</v>
      </c>
      <c r="G80" s="28">
        <v>21</v>
      </c>
      <c r="H80" s="28">
        <v>7</v>
      </c>
      <c r="I80" s="30">
        <v>1954</v>
      </c>
      <c r="J80" s="34">
        <f t="shared" si="0"/>
        <v>19926</v>
      </c>
      <c r="K80" s="39" t="s">
        <v>1503</v>
      </c>
      <c r="L80" s="25" t="s">
        <v>807</v>
      </c>
      <c r="M80" s="30">
        <v>1</v>
      </c>
      <c r="N80" s="17" t="s">
        <v>233</v>
      </c>
      <c r="O80" s="17"/>
      <c r="P80" s="25" t="s">
        <v>808</v>
      </c>
      <c r="Q80" s="25" t="s">
        <v>862</v>
      </c>
      <c r="R80" s="75">
        <v>30.798611099999999</v>
      </c>
      <c r="S80" s="75">
        <v>35.2461111</v>
      </c>
      <c r="T80" s="22">
        <v>2</v>
      </c>
      <c r="U80" s="22">
        <v>1</v>
      </c>
      <c r="V80" s="22">
        <v>2</v>
      </c>
      <c r="W80" s="22">
        <v>4</v>
      </c>
      <c r="X80" s="22">
        <v>2</v>
      </c>
      <c r="Y80" s="18"/>
      <c r="Z80" s="22">
        <v>5</v>
      </c>
      <c r="AA80" s="22">
        <v>1</v>
      </c>
      <c r="AB80" s="18" t="s">
        <v>221</v>
      </c>
      <c r="AC80" s="22">
        <v>6</v>
      </c>
      <c r="AD80" s="22">
        <v>2</v>
      </c>
      <c r="AE80" s="18" t="s">
        <v>221</v>
      </c>
      <c r="AF80" s="22">
        <v>1</v>
      </c>
      <c r="AG80" s="18"/>
      <c r="AH80" s="22">
        <v>99</v>
      </c>
      <c r="AI80" s="28">
        <v>99</v>
      </c>
      <c r="AJ80" s="18"/>
      <c r="AK80" s="22">
        <v>99</v>
      </c>
      <c r="AL80" s="22">
        <v>99</v>
      </c>
      <c r="AM80" s="22">
        <v>99</v>
      </c>
      <c r="AN80" s="22">
        <v>99</v>
      </c>
      <c r="AO80" s="22">
        <v>99</v>
      </c>
      <c r="AP80" s="22">
        <v>99</v>
      </c>
      <c r="AQ80" s="18" t="s">
        <v>221</v>
      </c>
      <c r="AR80" s="18" t="s">
        <v>221</v>
      </c>
      <c r="AS80" s="22">
        <v>99</v>
      </c>
      <c r="AT80" s="22">
        <v>99</v>
      </c>
      <c r="AU80" s="22">
        <v>3</v>
      </c>
      <c r="AV80" s="22">
        <v>3</v>
      </c>
      <c r="AW80" s="22">
        <v>4</v>
      </c>
      <c r="AX80" s="37">
        <v>4</v>
      </c>
      <c r="AY80" s="22">
        <v>4</v>
      </c>
      <c r="AZ80" s="22">
        <v>1</v>
      </c>
      <c r="BA80" s="38">
        <v>9</v>
      </c>
      <c r="BB80" s="22">
        <v>99</v>
      </c>
      <c r="BC80" s="22">
        <v>99</v>
      </c>
      <c r="BD80" s="22">
        <v>99</v>
      </c>
      <c r="BE80" s="37">
        <v>99</v>
      </c>
      <c r="BF80" s="22">
        <v>999</v>
      </c>
      <c r="BG80" s="22">
        <v>999</v>
      </c>
      <c r="BH80" s="22">
        <v>999</v>
      </c>
      <c r="BI80" s="22">
        <v>3</v>
      </c>
      <c r="BJ80" s="22">
        <v>9</v>
      </c>
    </row>
    <row r="81" spans="1:62" ht="15.75" customHeight="1">
      <c r="A81" s="22" t="s">
        <v>1515</v>
      </c>
      <c r="B81" s="22"/>
      <c r="C81" s="22"/>
      <c r="D81" s="22"/>
      <c r="E81" s="22">
        <v>2</v>
      </c>
      <c r="F81" s="22">
        <v>1</v>
      </c>
      <c r="G81" s="28">
        <v>24</v>
      </c>
      <c r="H81" s="28">
        <v>7</v>
      </c>
      <c r="I81" s="30">
        <v>1954</v>
      </c>
      <c r="J81" s="34">
        <f t="shared" si="0"/>
        <v>19929</v>
      </c>
      <c r="K81" s="11" t="s">
        <v>690</v>
      </c>
      <c r="L81" s="25" t="s">
        <v>812</v>
      </c>
      <c r="M81" s="30">
        <v>1</v>
      </c>
      <c r="N81" s="17" t="s">
        <v>233</v>
      </c>
      <c r="O81" s="17"/>
      <c r="P81" s="18"/>
      <c r="Q81" s="41" t="s">
        <v>582</v>
      </c>
      <c r="R81" s="42">
        <v>39.912941199999999</v>
      </c>
      <c r="S81" s="42">
        <v>-104.79560549999999</v>
      </c>
      <c r="T81" s="22">
        <v>99</v>
      </c>
      <c r="U81" s="22">
        <v>99</v>
      </c>
      <c r="V81" s="22">
        <v>99</v>
      </c>
      <c r="W81" s="22">
        <v>3</v>
      </c>
      <c r="X81" s="22">
        <v>2</v>
      </c>
      <c r="Y81" s="18"/>
      <c r="Z81" s="22">
        <v>5</v>
      </c>
      <c r="AA81" s="22">
        <v>1</v>
      </c>
      <c r="AB81" s="18" t="s">
        <v>221</v>
      </c>
      <c r="AC81" s="22">
        <v>6</v>
      </c>
      <c r="AD81" s="22">
        <v>2</v>
      </c>
      <c r="AE81" s="18" t="s">
        <v>221</v>
      </c>
      <c r="AF81" s="22">
        <v>99</v>
      </c>
      <c r="AG81" s="18"/>
      <c r="AH81" s="22">
        <v>99</v>
      </c>
      <c r="AI81" s="28">
        <v>99</v>
      </c>
      <c r="AJ81" s="18"/>
      <c r="AK81" s="22">
        <v>99</v>
      </c>
      <c r="AL81" s="22">
        <v>99</v>
      </c>
      <c r="AM81" s="22">
        <v>99</v>
      </c>
      <c r="AN81" s="22">
        <v>2</v>
      </c>
      <c r="AO81" s="22">
        <v>99</v>
      </c>
      <c r="AP81" s="22">
        <v>99</v>
      </c>
      <c r="AQ81" s="22" t="s">
        <v>1526</v>
      </c>
      <c r="AR81" s="2" t="s">
        <v>1527</v>
      </c>
      <c r="AS81" s="22">
        <v>1</v>
      </c>
      <c r="AT81" s="22">
        <v>6</v>
      </c>
      <c r="AU81" s="22">
        <v>3</v>
      </c>
      <c r="AV81" s="22">
        <v>3</v>
      </c>
      <c r="AW81" s="22">
        <v>4</v>
      </c>
      <c r="AX81" s="37">
        <v>4</v>
      </c>
      <c r="AY81" s="22">
        <v>4</v>
      </c>
      <c r="AZ81" s="22">
        <v>2</v>
      </c>
      <c r="BA81" s="38">
        <v>99</v>
      </c>
      <c r="BB81" s="22">
        <v>99</v>
      </c>
      <c r="BC81" s="22">
        <v>99</v>
      </c>
      <c r="BD81" s="22">
        <v>99</v>
      </c>
      <c r="BE81" s="37">
        <v>99</v>
      </c>
      <c r="BF81" s="22">
        <v>0</v>
      </c>
      <c r="BG81" s="22">
        <v>1</v>
      </c>
      <c r="BH81" s="22">
        <v>1</v>
      </c>
      <c r="BI81" s="22">
        <v>999</v>
      </c>
      <c r="BJ81" s="22">
        <v>8</v>
      </c>
    </row>
    <row r="82" spans="1:62" ht="15.75" customHeight="1">
      <c r="A82" s="22" t="s">
        <v>1534</v>
      </c>
      <c r="B82" s="22"/>
      <c r="C82" s="22"/>
      <c r="D82" s="22"/>
      <c r="E82" s="22">
        <v>2</v>
      </c>
      <c r="F82" s="22">
        <v>1</v>
      </c>
      <c r="G82" s="28">
        <v>26</v>
      </c>
      <c r="H82" s="28">
        <v>7</v>
      </c>
      <c r="I82" s="30">
        <v>1954</v>
      </c>
      <c r="J82" s="34">
        <f t="shared" si="0"/>
        <v>19931</v>
      </c>
      <c r="K82" s="11" t="s">
        <v>1537</v>
      </c>
      <c r="L82" s="25" t="s">
        <v>818</v>
      </c>
      <c r="M82" s="30">
        <v>5</v>
      </c>
      <c r="N82" s="17" t="s">
        <v>32</v>
      </c>
      <c r="O82" s="17"/>
      <c r="P82" s="25" t="s">
        <v>819</v>
      </c>
      <c r="Q82" s="25" t="s">
        <v>864</v>
      </c>
      <c r="R82" s="25">
        <v>33.015585399999999</v>
      </c>
      <c r="S82" s="25">
        <v>35.784354</v>
      </c>
      <c r="T82" s="22">
        <v>2</v>
      </c>
      <c r="U82" s="22">
        <v>1</v>
      </c>
      <c r="V82" s="22">
        <v>5</v>
      </c>
      <c r="W82" s="22">
        <v>2</v>
      </c>
      <c r="X82" s="22">
        <v>2</v>
      </c>
      <c r="Y82" s="18"/>
      <c r="Z82" s="22">
        <v>5</v>
      </c>
      <c r="AA82" s="22">
        <v>1</v>
      </c>
      <c r="AB82" s="2" t="s">
        <v>1545</v>
      </c>
      <c r="AC82" s="22">
        <v>6</v>
      </c>
      <c r="AD82" s="22">
        <v>2</v>
      </c>
      <c r="AE82" s="18" t="s">
        <v>221</v>
      </c>
      <c r="AF82" s="22">
        <v>1</v>
      </c>
      <c r="AG82" s="18"/>
      <c r="AH82" s="22">
        <v>99</v>
      </c>
      <c r="AI82" s="28">
        <v>99</v>
      </c>
      <c r="AJ82" s="18"/>
      <c r="AK82" s="22">
        <v>99</v>
      </c>
      <c r="AL82" s="22">
        <v>99</v>
      </c>
      <c r="AM82" s="22">
        <v>99</v>
      </c>
      <c r="AN82" s="22">
        <v>2</v>
      </c>
      <c r="AO82" s="22">
        <v>99</v>
      </c>
      <c r="AP82" s="22">
        <v>99</v>
      </c>
      <c r="AQ82" s="22" t="s">
        <v>1553</v>
      </c>
      <c r="AR82" s="2" t="s">
        <v>1554</v>
      </c>
      <c r="AS82" s="18"/>
      <c r="AT82" s="22">
        <v>2</v>
      </c>
      <c r="AU82" s="22">
        <v>3</v>
      </c>
      <c r="AV82" s="22">
        <v>3</v>
      </c>
      <c r="AW82" s="22">
        <v>4</v>
      </c>
      <c r="AX82" s="37">
        <v>4</v>
      </c>
      <c r="AY82" s="22">
        <v>4</v>
      </c>
      <c r="AZ82" s="22">
        <v>2</v>
      </c>
      <c r="BA82" s="38">
        <v>99</v>
      </c>
      <c r="BB82" s="22">
        <v>99</v>
      </c>
      <c r="BC82" s="22">
        <v>99</v>
      </c>
      <c r="BD82" s="22">
        <v>99</v>
      </c>
      <c r="BE82" s="37">
        <v>99</v>
      </c>
      <c r="BF82" s="22">
        <v>5</v>
      </c>
      <c r="BG82" s="22">
        <v>0</v>
      </c>
      <c r="BH82" s="22">
        <v>5</v>
      </c>
      <c r="BI82" s="22">
        <v>999</v>
      </c>
      <c r="BJ82" s="22">
        <v>8</v>
      </c>
    </row>
    <row r="83" spans="1:62" ht="15.75" customHeight="1">
      <c r="A83" s="22" t="s">
        <v>1555</v>
      </c>
      <c r="B83" s="22"/>
      <c r="C83" s="22"/>
      <c r="D83" s="22"/>
      <c r="E83" s="22">
        <v>1</v>
      </c>
      <c r="F83" s="22">
        <v>1</v>
      </c>
      <c r="G83" s="28">
        <v>4</v>
      </c>
      <c r="H83" s="28">
        <v>8</v>
      </c>
      <c r="I83" s="30">
        <v>1954</v>
      </c>
      <c r="J83" s="34">
        <f t="shared" si="0"/>
        <v>19940</v>
      </c>
      <c r="K83" s="39" t="s">
        <v>830</v>
      </c>
      <c r="L83" s="25" t="s">
        <v>821</v>
      </c>
      <c r="M83" s="30">
        <v>1</v>
      </c>
      <c r="N83" s="17" t="s">
        <v>233</v>
      </c>
      <c r="O83" s="17"/>
      <c r="P83" s="25" t="s">
        <v>822</v>
      </c>
      <c r="Q83" s="25" t="s">
        <v>867</v>
      </c>
      <c r="R83" s="25">
        <v>33.058979000000001</v>
      </c>
      <c r="S83" s="25">
        <v>35.433235000000003</v>
      </c>
      <c r="T83" s="22">
        <v>2</v>
      </c>
      <c r="U83" s="22">
        <v>1</v>
      </c>
      <c r="V83" s="22">
        <v>1</v>
      </c>
      <c r="W83" s="22">
        <v>2</v>
      </c>
      <c r="X83" s="22">
        <v>2</v>
      </c>
      <c r="Y83" s="18"/>
      <c r="Z83" s="22">
        <v>1</v>
      </c>
      <c r="AA83" s="22">
        <v>1</v>
      </c>
      <c r="AB83" s="18" t="s">
        <v>221</v>
      </c>
      <c r="AC83" s="22">
        <v>6</v>
      </c>
      <c r="AD83" s="22">
        <v>2</v>
      </c>
      <c r="AE83" s="18" t="s">
        <v>221</v>
      </c>
      <c r="AF83" s="22">
        <v>99</v>
      </c>
      <c r="AG83" s="18"/>
      <c r="AH83" s="22">
        <v>99</v>
      </c>
      <c r="AI83" s="28">
        <v>99</v>
      </c>
      <c r="AJ83" s="18"/>
      <c r="AK83" s="22">
        <v>99</v>
      </c>
      <c r="AL83" s="22">
        <v>99</v>
      </c>
      <c r="AM83" s="22">
        <v>99</v>
      </c>
      <c r="AN83" s="22">
        <v>99</v>
      </c>
      <c r="AO83" s="22">
        <v>99</v>
      </c>
      <c r="AP83" s="22">
        <v>99</v>
      </c>
      <c r="AQ83" s="18" t="s">
        <v>221</v>
      </c>
      <c r="AR83" s="18" t="s">
        <v>221</v>
      </c>
      <c r="AS83" s="22">
        <v>99</v>
      </c>
      <c r="AT83" s="22">
        <v>99</v>
      </c>
      <c r="AU83" s="22">
        <v>3</v>
      </c>
      <c r="AV83" s="22">
        <v>3</v>
      </c>
      <c r="AW83" s="22">
        <v>4</v>
      </c>
      <c r="AX83" s="37">
        <v>4</v>
      </c>
      <c r="AY83" s="22">
        <v>4</v>
      </c>
      <c r="AZ83" s="22">
        <v>1</v>
      </c>
      <c r="BA83" s="38">
        <v>9</v>
      </c>
      <c r="BB83" s="22">
        <v>99</v>
      </c>
      <c r="BC83" s="22">
        <v>99</v>
      </c>
      <c r="BD83" s="22">
        <v>99</v>
      </c>
      <c r="BE83" s="37">
        <v>99</v>
      </c>
      <c r="BF83" s="22">
        <v>0</v>
      </c>
      <c r="BG83" s="22">
        <v>0</v>
      </c>
      <c r="BH83" s="22">
        <v>0</v>
      </c>
      <c r="BI83" s="22">
        <v>999</v>
      </c>
      <c r="BJ83" s="22">
        <v>9</v>
      </c>
    </row>
    <row r="84" spans="1:62" ht="15.75" customHeight="1">
      <c r="A84" s="22" t="s">
        <v>1567</v>
      </c>
      <c r="B84" s="22"/>
      <c r="C84" s="22"/>
      <c r="D84" s="22"/>
      <c r="E84" s="22">
        <v>1</v>
      </c>
      <c r="F84" s="22">
        <v>1</v>
      </c>
      <c r="G84" s="28">
        <v>9</v>
      </c>
      <c r="H84" s="28">
        <v>8</v>
      </c>
      <c r="I84" s="30">
        <v>1954</v>
      </c>
      <c r="J84" s="34">
        <f t="shared" si="0"/>
        <v>19945</v>
      </c>
      <c r="K84" s="11" t="s">
        <v>524</v>
      </c>
      <c r="L84" s="25" t="s">
        <v>823</v>
      </c>
      <c r="M84" s="30">
        <v>5</v>
      </c>
      <c r="N84" s="17" t="s">
        <v>32</v>
      </c>
      <c r="O84" s="17"/>
      <c r="P84" s="25" t="s">
        <v>32</v>
      </c>
      <c r="Q84" s="25" t="s">
        <v>346</v>
      </c>
      <c r="R84" s="25">
        <v>31.768319000000002</v>
      </c>
      <c r="S84" s="25">
        <v>35.213709999999999</v>
      </c>
      <c r="T84" s="22">
        <v>2</v>
      </c>
      <c r="U84" s="22">
        <v>2</v>
      </c>
      <c r="V84" s="22">
        <v>5</v>
      </c>
      <c r="W84" s="22">
        <v>2</v>
      </c>
      <c r="X84" s="22">
        <v>2</v>
      </c>
      <c r="Y84" s="18"/>
      <c r="Z84" s="22">
        <v>5</v>
      </c>
      <c r="AA84" s="22">
        <v>1</v>
      </c>
      <c r="AB84" s="2" t="s">
        <v>734</v>
      </c>
      <c r="AC84" s="22">
        <v>6</v>
      </c>
      <c r="AD84" s="22">
        <v>2</v>
      </c>
      <c r="AE84" s="18" t="s">
        <v>221</v>
      </c>
      <c r="AF84" s="22">
        <v>1</v>
      </c>
      <c r="AG84" s="18"/>
      <c r="AH84" s="22">
        <v>99</v>
      </c>
      <c r="AI84" s="28">
        <v>99</v>
      </c>
      <c r="AJ84" s="18"/>
      <c r="AK84" s="22">
        <v>99</v>
      </c>
      <c r="AL84" s="22">
        <v>99</v>
      </c>
      <c r="AM84" s="22">
        <v>99</v>
      </c>
      <c r="AN84" s="22">
        <v>2</v>
      </c>
      <c r="AO84" s="22">
        <v>99</v>
      </c>
      <c r="AP84" s="22">
        <v>99</v>
      </c>
      <c r="AQ84" s="18" t="s">
        <v>221</v>
      </c>
      <c r="AR84" s="18" t="s">
        <v>221</v>
      </c>
      <c r="AS84" s="22">
        <v>99</v>
      </c>
      <c r="AT84" s="22">
        <v>99</v>
      </c>
      <c r="AU84" s="22">
        <v>3</v>
      </c>
      <c r="AV84" s="22">
        <v>3</v>
      </c>
      <c r="AW84" s="22">
        <v>4</v>
      </c>
      <c r="AX84" s="37">
        <v>4</v>
      </c>
      <c r="AY84" s="22">
        <v>4</v>
      </c>
      <c r="AZ84" s="22">
        <v>2</v>
      </c>
      <c r="BA84" s="38">
        <v>99</v>
      </c>
      <c r="BB84" s="22">
        <v>99</v>
      </c>
      <c r="BC84" s="22">
        <v>99</v>
      </c>
      <c r="BD84" s="22">
        <v>99</v>
      </c>
      <c r="BE84" s="37">
        <v>99</v>
      </c>
      <c r="BF84" s="22">
        <v>0</v>
      </c>
      <c r="BG84" s="22">
        <v>0</v>
      </c>
      <c r="BH84" s="22">
        <v>0</v>
      </c>
      <c r="BI84" s="22">
        <v>999</v>
      </c>
      <c r="BJ84" s="22">
        <v>8</v>
      </c>
    </row>
    <row r="85" spans="1:62" ht="13">
      <c r="A85" s="22" t="s">
        <v>1583</v>
      </c>
      <c r="B85" s="22"/>
      <c r="C85" s="22"/>
      <c r="D85" s="22"/>
      <c r="E85" s="22">
        <v>1</v>
      </c>
      <c r="F85" s="22">
        <v>1</v>
      </c>
      <c r="G85" s="28">
        <v>12</v>
      </c>
      <c r="H85" s="28">
        <v>8</v>
      </c>
      <c r="I85" s="30">
        <v>1954</v>
      </c>
      <c r="J85" s="34">
        <f t="shared" si="0"/>
        <v>19948</v>
      </c>
      <c r="K85" s="11" t="s">
        <v>690</v>
      </c>
      <c r="L85" s="25" t="s">
        <v>825</v>
      </c>
      <c r="M85" s="30">
        <v>14</v>
      </c>
      <c r="N85" s="52"/>
      <c r="O85" s="52"/>
      <c r="P85" s="18"/>
      <c r="Q85" s="41" t="s">
        <v>582</v>
      </c>
      <c r="R85" s="42">
        <v>39.912941199999999</v>
      </c>
      <c r="S85" s="42">
        <v>-104.79560549999999</v>
      </c>
      <c r="T85" s="22">
        <v>1</v>
      </c>
      <c r="U85" s="22">
        <v>2</v>
      </c>
      <c r="V85" s="18"/>
      <c r="W85" s="18"/>
      <c r="X85" s="18"/>
      <c r="Y85" s="18"/>
      <c r="Z85" s="22">
        <v>5</v>
      </c>
      <c r="AA85" s="22">
        <v>1</v>
      </c>
      <c r="AB85" s="18" t="s">
        <v>221</v>
      </c>
      <c r="AC85" s="22">
        <v>9</v>
      </c>
      <c r="AD85" s="22">
        <v>2</v>
      </c>
      <c r="AE85" s="18" t="s">
        <v>221</v>
      </c>
      <c r="AF85" s="22">
        <v>99</v>
      </c>
      <c r="AG85" s="18"/>
      <c r="AH85" s="22">
        <v>99</v>
      </c>
      <c r="AI85" s="28">
        <v>99</v>
      </c>
      <c r="AJ85" s="18"/>
      <c r="AK85" s="22">
        <v>99</v>
      </c>
      <c r="AL85" s="22">
        <v>99</v>
      </c>
      <c r="AM85" s="22">
        <v>99</v>
      </c>
      <c r="AN85" s="22">
        <v>99</v>
      </c>
      <c r="AO85" s="22">
        <v>99</v>
      </c>
      <c r="AP85" s="22">
        <v>99</v>
      </c>
      <c r="AQ85" s="18" t="s">
        <v>221</v>
      </c>
      <c r="AR85" s="18" t="s">
        <v>221</v>
      </c>
      <c r="AS85" s="22">
        <v>99</v>
      </c>
      <c r="AT85" s="22">
        <v>99</v>
      </c>
      <c r="AU85" s="22">
        <v>3</v>
      </c>
      <c r="AV85" s="22">
        <v>3</v>
      </c>
      <c r="AW85" s="22">
        <v>4</v>
      </c>
      <c r="AX85" s="37">
        <v>4</v>
      </c>
      <c r="AY85" s="22">
        <v>4</v>
      </c>
      <c r="AZ85" s="22">
        <v>2</v>
      </c>
      <c r="BA85" s="38">
        <v>99</v>
      </c>
      <c r="BB85" s="22">
        <v>99</v>
      </c>
      <c r="BC85" s="22">
        <v>99</v>
      </c>
      <c r="BD85" s="22">
        <v>99</v>
      </c>
      <c r="BE85" s="37">
        <v>99</v>
      </c>
      <c r="BF85" s="22">
        <v>0</v>
      </c>
      <c r="BG85" s="22">
        <v>0</v>
      </c>
      <c r="BH85" s="22">
        <v>0</v>
      </c>
      <c r="BI85" s="22">
        <v>999</v>
      </c>
      <c r="BJ85" s="22">
        <v>10</v>
      </c>
    </row>
    <row r="86" spans="1:62" ht="13">
      <c r="A86" s="22" t="s">
        <v>1602</v>
      </c>
      <c r="B86" s="22"/>
      <c r="C86" s="22"/>
      <c r="D86" s="22"/>
      <c r="E86" s="22">
        <v>1</v>
      </c>
      <c r="F86" s="22">
        <v>1</v>
      </c>
      <c r="G86" s="28">
        <v>27</v>
      </c>
      <c r="H86" s="28">
        <v>8</v>
      </c>
      <c r="I86" s="30">
        <v>1954</v>
      </c>
      <c r="J86" s="34">
        <f t="shared" si="0"/>
        <v>19963</v>
      </c>
      <c r="K86" s="39" t="s">
        <v>328</v>
      </c>
      <c r="L86" s="25" t="s">
        <v>828</v>
      </c>
      <c r="M86" s="30">
        <v>1</v>
      </c>
      <c r="N86" s="17" t="s">
        <v>233</v>
      </c>
      <c r="O86" s="17"/>
      <c r="P86" s="18"/>
      <c r="Q86" s="41" t="s">
        <v>582</v>
      </c>
      <c r="R86" s="42">
        <v>39.912941199999999</v>
      </c>
      <c r="S86" s="42">
        <v>-104.79560549999999</v>
      </c>
      <c r="T86" s="22">
        <v>2</v>
      </c>
      <c r="U86" s="22">
        <v>2</v>
      </c>
      <c r="V86" s="22">
        <v>1</v>
      </c>
      <c r="W86" s="22">
        <v>3</v>
      </c>
      <c r="X86" s="22">
        <v>2</v>
      </c>
      <c r="Y86" s="18"/>
      <c r="Z86" s="22">
        <v>5</v>
      </c>
      <c r="AA86" s="22">
        <v>1</v>
      </c>
      <c r="AB86" s="18" t="s">
        <v>221</v>
      </c>
      <c r="AC86" s="22">
        <v>6</v>
      </c>
      <c r="AD86" s="22">
        <v>2</v>
      </c>
      <c r="AE86" s="18" t="s">
        <v>221</v>
      </c>
      <c r="AF86" s="22">
        <v>99</v>
      </c>
      <c r="AG86" s="18"/>
      <c r="AH86" s="22">
        <v>99</v>
      </c>
      <c r="AI86" s="28">
        <v>99</v>
      </c>
      <c r="AJ86" s="18"/>
      <c r="AK86" s="22">
        <v>99</v>
      </c>
      <c r="AL86" s="22">
        <v>99</v>
      </c>
      <c r="AM86" s="22">
        <v>99</v>
      </c>
      <c r="AN86" s="22">
        <v>99</v>
      </c>
      <c r="AO86" s="22">
        <v>99</v>
      </c>
      <c r="AP86" s="22">
        <v>99</v>
      </c>
      <c r="AQ86" s="18" t="s">
        <v>221</v>
      </c>
      <c r="AR86" s="18" t="s">
        <v>221</v>
      </c>
      <c r="AS86" s="22">
        <v>99</v>
      </c>
      <c r="AT86" s="22">
        <v>99</v>
      </c>
      <c r="AU86" s="22">
        <v>3</v>
      </c>
      <c r="AV86" s="22">
        <v>3</v>
      </c>
      <c r="AW86" s="22">
        <v>4</v>
      </c>
      <c r="AX86" s="37">
        <v>4</v>
      </c>
      <c r="AY86" s="22">
        <v>4</v>
      </c>
      <c r="AZ86" s="22">
        <v>2</v>
      </c>
      <c r="BA86" s="38">
        <v>99</v>
      </c>
      <c r="BB86" s="22">
        <v>99</v>
      </c>
      <c r="BC86" s="22">
        <v>99</v>
      </c>
      <c r="BD86" s="22">
        <v>99</v>
      </c>
      <c r="BE86" s="37">
        <v>99</v>
      </c>
      <c r="BF86" s="22">
        <v>0</v>
      </c>
      <c r="BG86" s="22">
        <v>0</v>
      </c>
      <c r="BH86" s="22">
        <v>0</v>
      </c>
      <c r="BI86" s="22">
        <v>999</v>
      </c>
      <c r="BJ86" s="22">
        <v>8</v>
      </c>
    </row>
    <row r="87" spans="1:62" ht="13">
      <c r="A87" s="22" t="s">
        <v>1617</v>
      </c>
      <c r="B87" s="22"/>
      <c r="C87" s="22"/>
      <c r="D87" s="22"/>
      <c r="E87" s="22">
        <v>2</v>
      </c>
      <c r="F87" s="22">
        <v>1</v>
      </c>
      <c r="G87" s="28">
        <v>29</v>
      </c>
      <c r="H87" s="28">
        <v>8</v>
      </c>
      <c r="I87" s="30">
        <v>1954</v>
      </c>
      <c r="J87" s="34">
        <f t="shared" si="0"/>
        <v>19965</v>
      </c>
      <c r="K87" s="11" t="s">
        <v>1619</v>
      </c>
      <c r="L87" s="25" t="s">
        <v>832</v>
      </c>
      <c r="M87" s="30">
        <v>5</v>
      </c>
      <c r="N87" s="17" t="s">
        <v>32</v>
      </c>
      <c r="O87" s="17"/>
      <c r="P87" s="18"/>
      <c r="Q87" s="41" t="s">
        <v>582</v>
      </c>
      <c r="R87" s="42">
        <v>39.912941199999999</v>
      </c>
      <c r="S87" s="42">
        <v>-104.79560549999999</v>
      </c>
      <c r="T87" s="22">
        <v>99</v>
      </c>
      <c r="U87" s="22">
        <v>99</v>
      </c>
      <c r="V87" s="22">
        <v>99</v>
      </c>
      <c r="W87" s="22">
        <v>99</v>
      </c>
      <c r="X87" s="22">
        <v>2</v>
      </c>
      <c r="Y87" s="18"/>
      <c r="Z87" s="22">
        <v>5</v>
      </c>
      <c r="AA87" s="22">
        <v>2</v>
      </c>
      <c r="AB87" s="18" t="s">
        <v>221</v>
      </c>
      <c r="AC87" s="22">
        <v>6</v>
      </c>
      <c r="AD87" s="22">
        <v>2</v>
      </c>
      <c r="AE87" s="18" t="s">
        <v>221</v>
      </c>
      <c r="AF87" s="22">
        <v>99</v>
      </c>
      <c r="AG87" s="18"/>
      <c r="AH87" s="22">
        <v>99</v>
      </c>
      <c r="AI87" s="28">
        <v>99</v>
      </c>
      <c r="AJ87" s="18"/>
      <c r="AK87" s="22">
        <v>99</v>
      </c>
      <c r="AL87" s="22">
        <v>99</v>
      </c>
      <c r="AM87" s="22">
        <v>99</v>
      </c>
      <c r="AN87" s="22">
        <v>99</v>
      </c>
      <c r="AO87" s="22">
        <v>99</v>
      </c>
      <c r="AP87" s="22">
        <v>99</v>
      </c>
      <c r="AQ87" s="22" t="s">
        <v>1627</v>
      </c>
      <c r="AR87" s="2" t="s">
        <v>719</v>
      </c>
      <c r="AS87" s="22">
        <v>5</v>
      </c>
      <c r="AT87" s="22">
        <v>4</v>
      </c>
      <c r="AU87" s="22">
        <v>3</v>
      </c>
      <c r="AV87" s="22">
        <v>3</v>
      </c>
      <c r="AW87" s="22">
        <v>4</v>
      </c>
      <c r="AX87" s="37">
        <v>4</v>
      </c>
      <c r="AY87" s="22">
        <v>4</v>
      </c>
      <c r="AZ87" s="22">
        <v>2</v>
      </c>
      <c r="BA87" s="38">
        <v>99</v>
      </c>
      <c r="BB87" s="22">
        <v>99</v>
      </c>
      <c r="BC87" s="22">
        <v>99</v>
      </c>
      <c r="BD87" s="22">
        <v>99</v>
      </c>
      <c r="BE87" s="37">
        <v>99</v>
      </c>
      <c r="BF87" s="22">
        <v>1</v>
      </c>
      <c r="BG87" s="22">
        <v>1</v>
      </c>
      <c r="BH87" s="22">
        <v>2</v>
      </c>
      <c r="BI87" s="22">
        <v>999</v>
      </c>
      <c r="BJ87" s="22">
        <v>3</v>
      </c>
    </row>
    <row r="88" spans="1:62" ht="13">
      <c r="A88" s="22" t="s">
        <v>1633</v>
      </c>
      <c r="B88" s="22"/>
      <c r="C88" s="22"/>
      <c r="D88" s="22"/>
      <c r="E88" s="22">
        <v>2</v>
      </c>
      <c r="F88" s="22">
        <v>1</v>
      </c>
      <c r="G88" s="28">
        <v>5</v>
      </c>
      <c r="H88" s="28">
        <v>9</v>
      </c>
      <c r="I88" s="30">
        <v>1954</v>
      </c>
      <c r="J88" s="34">
        <f t="shared" si="0"/>
        <v>19972</v>
      </c>
      <c r="K88" s="39" t="s">
        <v>328</v>
      </c>
      <c r="L88" s="25" t="s">
        <v>837</v>
      </c>
      <c r="M88" s="30">
        <v>7</v>
      </c>
      <c r="N88" s="17" t="s">
        <v>447</v>
      </c>
      <c r="O88" s="17"/>
      <c r="P88" s="18"/>
      <c r="Q88" s="41" t="s">
        <v>582</v>
      </c>
      <c r="R88" s="42">
        <v>39.912941199999999</v>
      </c>
      <c r="S88" s="42">
        <v>-104.79560549999999</v>
      </c>
      <c r="T88" s="22">
        <v>2</v>
      </c>
      <c r="U88" s="22">
        <v>2</v>
      </c>
      <c r="V88" s="22">
        <v>1</v>
      </c>
      <c r="W88" s="22">
        <v>3</v>
      </c>
      <c r="X88" s="22">
        <v>2</v>
      </c>
      <c r="Y88" s="18"/>
      <c r="Z88" s="22">
        <v>5</v>
      </c>
      <c r="AA88" s="22">
        <v>1</v>
      </c>
      <c r="AB88" s="18" t="s">
        <v>221</v>
      </c>
      <c r="AC88" s="22">
        <v>6</v>
      </c>
      <c r="AD88" s="22">
        <v>2</v>
      </c>
      <c r="AE88" s="18" t="s">
        <v>221</v>
      </c>
      <c r="AF88" s="22">
        <v>1</v>
      </c>
      <c r="AG88" s="18"/>
      <c r="AH88" s="22">
        <v>99</v>
      </c>
      <c r="AI88" s="28">
        <v>99</v>
      </c>
      <c r="AJ88" s="18"/>
      <c r="AK88" s="22">
        <v>99</v>
      </c>
      <c r="AL88" s="22">
        <v>99</v>
      </c>
      <c r="AM88" s="22">
        <v>99</v>
      </c>
      <c r="AN88" s="22">
        <v>99</v>
      </c>
      <c r="AO88" s="22">
        <v>99</v>
      </c>
      <c r="AP88" s="22">
        <v>99</v>
      </c>
      <c r="AQ88" s="22" t="s">
        <v>1646</v>
      </c>
      <c r="AR88" s="18" t="s">
        <v>221</v>
      </c>
      <c r="AS88" s="22">
        <v>4</v>
      </c>
      <c r="AT88" s="22">
        <v>6</v>
      </c>
      <c r="AU88" s="22">
        <v>3</v>
      </c>
      <c r="AV88" s="22">
        <v>3</v>
      </c>
      <c r="AW88" s="22">
        <v>4</v>
      </c>
      <c r="AX88" s="37">
        <v>4</v>
      </c>
      <c r="AY88" s="22">
        <v>4</v>
      </c>
      <c r="AZ88" s="22">
        <v>2</v>
      </c>
      <c r="BA88" s="38">
        <v>99</v>
      </c>
      <c r="BB88" s="22">
        <v>99</v>
      </c>
      <c r="BC88" s="22">
        <v>99</v>
      </c>
      <c r="BD88" s="22">
        <v>99</v>
      </c>
      <c r="BE88" s="37">
        <v>99</v>
      </c>
      <c r="BF88" s="22">
        <v>0</v>
      </c>
      <c r="BG88" s="22">
        <v>1</v>
      </c>
      <c r="BH88" s="22">
        <v>1</v>
      </c>
      <c r="BI88" s="22">
        <v>999</v>
      </c>
      <c r="BJ88" s="22">
        <v>8</v>
      </c>
    </row>
    <row r="89" spans="1:62" ht="13">
      <c r="A89" s="22" t="s">
        <v>1653</v>
      </c>
      <c r="B89" s="22"/>
      <c r="C89" s="22"/>
      <c r="D89" s="22"/>
      <c r="E89" s="22">
        <v>2</v>
      </c>
      <c r="F89" s="22">
        <v>1</v>
      </c>
      <c r="G89" s="28">
        <v>5</v>
      </c>
      <c r="H89" s="28">
        <v>9</v>
      </c>
      <c r="I89" s="30">
        <v>1954</v>
      </c>
      <c r="J89" s="34">
        <f t="shared" si="0"/>
        <v>19972</v>
      </c>
      <c r="K89" s="39" t="s">
        <v>328</v>
      </c>
      <c r="L89" s="25" t="s">
        <v>840</v>
      </c>
      <c r="M89" s="51"/>
      <c r="N89" s="52"/>
      <c r="O89" s="52"/>
      <c r="P89" s="25" t="s">
        <v>841</v>
      </c>
      <c r="Q89" s="25" t="s">
        <v>885</v>
      </c>
      <c r="R89" s="75">
        <v>30.489355499999999</v>
      </c>
      <c r="S89" s="75">
        <v>-99.772010899999998</v>
      </c>
      <c r="T89" s="22">
        <v>2</v>
      </c>
      <c r="U89" s="22">
        <v>1</v>
      </c>
      <c r="V89" s="18"/>
      <c r="W89" s="22">
        <v>3</v>
      </c>
      <c r="X89" s="22">
        <v>2</v>
      </c>
      <c r="Y89" s="18"/>
      <c r="Z89" s="22">
        <v>5</v>
      </c>
      <c r="AA89" s="22">
        <v>1</v>
      </c>
      <c r="AB89" s="18" t="s">
        <v>221</v>
      </c>
      <c r="AC89" s="22">
        <v>99</v>
      </c>
      <c r="AD89" s="22">
        <v>2</v>
      </c>
      <c r="AE89" s="18" t="s">
        <v>221</v>
      </c>
      <c r="AF89" s="22">
        <v>99</v>
      </c>
      <c r="AG89" s="18"/>
      <c r="AH89" s="22">
        <v>99</v>
      </c>
      <c r="AI89" s="28">
        <v>99</v>
      </c>
      <c r="AJ89" s="18"/>
      <c r="AK89" s="22">
        <v>99</v>
      </c>
      <c r="AL89" s="22">
        <v>99</v>
      </c>
      <c r="AM89" s="22">
        <v>99</v>
      </c>
      <c r="AN89" s="22">
        <v>99</v>
      </c>
      <c r="AO89" s="22">
        <v>99</v>
      </c>
      <c r="AP89" s="22">
        <v>99</v>
      </c>
      <c r="AQ89" s="18" t="s">
        <v>221</v>
      </c>
      <c r="AR89" s="18" t="s">
        <v>221</v>
      </c>
      <c r="AS89" s="18"/>
      <c r="AT89" s="22">
        <v>6</v>
      </c>
      <c r="AU89" s="22">
        <v>3</v>
      </c>
      <c r="AV89" s="22">
        <v>3</v>
      </c>
      <c r="AW89" s="22">
        <v>4</v>
      </c>
      <c r="AX89" s="37">
        <v>4</v>
      </c>
      <c r="AY89" s="22">
        <v>4</v>
      </c>
      <c r="AZ89" s="22">
        <v>2</v>
      </c>
      <c r="BA89" s="38">
        <v>99</v>
      </c>
      <c r="BB89" s="22">
        <v>99</v>
      </c>
      <c r="BC89" s="22">
        <v>99</v>
      </c>
      <c r="BD89" s="22">
        <v>99</v>
      </c>
      <c r="BE89" s="37">
        <v>99</v>
      </c>
      <c r="BF89" s="22">
        <v>2</v>
      </c>
      <c r="BG89" s="22">
        <v>1</v>
      </c>
      <c r="BH89" s="22">
        <v>3</v>
      </c>
      <c r="BI89" s="22">
        <v>999</v>
      </c>
      <c r="BJ89" s="22">
        <v>8</v>
      </c>
    </row>
    <row r="90" spans="1:62" ht="13">
      <c r="A90" s="22" t="s">
        <v>1661</v>
      </c>
      <c r="B90" s="22"/>
      <c r="C90" s="22"/>
      <c r="D90" s="22"/>
      <c r="E90" s="22">
        <v>2</v>
      </c>
      <c r="F90" s="22">
        <v>1</v>
      </c>
      <c r="G90" s="28">
        <v>21</v>
      </c>
      <c r="H90" s="28">
        <v>9</v>
      </c>
      <c r="I90" s="30">
        <v>1954</v>
      </c>
      <c r="J90" s="34">
        <f t="shared" si="0"/>
        <v>19988</v>
      </c>
      <c r="K90" s="11" t="s">
        <v>1662</v>
      </c>
      <c r="L90" s="25" t="s">
        <v>842</v>
      </c>
      <c r="M90" s="30">
        <v>7</v>
      </c>
      <c r="N90" s="17" t="s">
        <v>447</v>
      </c>
      <c r="O90" s="17"/>
      <c r="P90" s="18"/>
      <c r="Q90" s="41" t="s">
        <v>582</v>
      </c>
      <c r="R90" s="42">
        <v>39.912941199999999</v>
      </c>
      <c r="S90" s="42">
        <v>-104.79560549999999</v>
      </c>
      <c r="T90" s="22">
        <v>2</v>
      </c>
      <c r="U90" s="22">
        <v>2</v>
      </c>
      <c r="V90" s="22">
        <v>1</v>
      </c>
      <c r="W90" s="22">
        <v>3</v>
      </c>
      <c r="X90" s="22">
        <v>2</v>
      </c>
      <c r="Y90" s="18"/>
      <c r="Z90" s="22">
        <v>5</v>
      </c>
      <c r="AA90" s="22">
        <v>1</v>
      </c>
      <c r="AB90" s="18" t="s">
        <v>221</v>
      </c>
      <c r="AC90" s="22">
        <v>9</v>
      </c>
      <c r="AD90" s="22">
        <v>2</v>
      </c>
      <c r="AE90" s="18" t="s">
        <v>221</v>
      </c>
      <c r="AF90" s="22">
        <v>1</v>
      </c>
      <c r="AG90" s="18"/>
      <c r="AH90" s="22">
        <v>99</v>
      </c>
      <c r="AI90" s="28">
        <v>99</v>
      </c>
      <c r="AJ90" s="18"/>
      <c r="AK90" s="22">
        <v>99</v>
      </c>
      <c r="AL90" s="22">
        <v>99</v>
      </c>
      <c r="AM90" s="22">
        <v>99</v>
      </c>
      <c r="AN90" s="22">
        <v>99</v>
      </c>
      <c r="AO90" s="22">
        <v>99</v>
      </c>
      <c r="AP90" s="22">
        <v>99</v>
      </c>
      <c r="AQ90" s="18" t="s">
        <v>221</v>
      </c>
      <c r="AR90" s="18" t="s">
        <v>221</v>
      </c>
      <c r="AS90" s="18"/>
      <c r="AT90" s="18"/>
      <c r="AU90" s="22">
        <v>3</v>
      </c>
      <c r="AV90" s="22">
        <v>3</v>
      </c>
      <c r="AW90" s="22">
        <v>4</v>
      </c>
      <c r="AX90" s="37">
        <v>4</v>
      </c>
      <c r="AY90" s="22">
        <v>4</v>
      </c>
      <c r="AZ90" s="22">
        <v>2</v>
      </c>
      <c r="BA90" s="38">
        <v>99</v>
      </c>
      <c r="BB90" s="22">
        <v>99</v>
      </c>
      <c r="BC90" s="22">
        <v>99</v>
      </c>
      <c r="BD90" s="22">
        <v>99</v>
      </c>
      <c r="BE90" s="37">
        <v>99</v>
      </c>
      <c r="BF90" s="22">
        <v>0</v>
      </c>
      <c r="BG90" s="22">
        <v>0</v>
      </c>
      <c r="BH90" s="22">
        <v>0</v>
      </c>
      <c r="BI90" s="22">
        <v>4</v>
      </c>
      <c r="BJ90" s="22">
        <v>7</v>
      </c>
    </row>
    <row r="91" spans="1:62" ht="13">
      <c r="A91" s="22" t="s">
        <v>1666</v>
      </c>
      <c r="B91" s="22"/>
      <c r="C91" s="22"/>
      <c r="D91" s="22"/>
      <c r="E91" s="22">
        <v>2</v>
      </c>
      <c r="F91" s="22">
        <v>1</v>
      </c>
      <c r="G91" s="28">
        <v>21</v>
      </c>
      <c r="H91" s="28">
        <v>9</v>
      </c>
      <c r="I91" s="30">
        <v>1954</v>
      </c>
      <c r="J91" s="34">
        <f t="shared" si="0"/>
        <v>19988</v>
      </c>
      <c r="K91" s="11" t="s">
        <v>1294</v>
      </c>
      <c r="L91" s="25" t="s">
        <v>846</v>
      </c>
      <c r="M91" s="51"/>
      <c r="N91" s="52"/>
      <c r="O91" s="52"/>
      <c r="P91" s="25" t="s">
        <v>847</v>
      </c>
      <c r="Q91" s="25" t="s">
        <v>1668</v>
      </c>
      <c r="R91" s="75">
        <v>31.522561</v>
      </c>
      <c r="S91" s="75">
        <v>34.453592999999998</v>
      </c>
      <c r="T91" s="22">
        <v>1</v>
      </c>
      <c r="U91" s="22">
        <v>1</v>
      </c>
      <c r="V91" s="18"/>
      <c r="W91" s="22">
        <v>3</v>
      </c>
      <c r="X91" s="22">
        <v>2</v>
      </c>
      <c r="Y91" s="18"/>
      <c r="Z91" s="22">
        <v>5</v>
      </c>
      <c r="AA91" s="22">
        <v>1</v>
      </c>
      <c r="AB91" s="18" t="s">
        <v>221</v>
      </c>
      <c r="AC91" s="22">
        <v>6</v>
      </c>
      <c r="AD91" s="22">
        <v>2</v>
      </c>
      <c r="AE91" s="18" t="s">
        <v>221</v>
      </c>
      <c r="AF91" s="22">
        <v>1</v>
      </c>
      <c r="AG91" s="18"/>
      <c r="AH91" s="22">
        <v>99</v>
      </c>
      <c r="AI91" s="28">
        <v>99</v>
      </c>
      <c r="AJ91" s="18"/>
      <c r="AK91" s="22">
        <v>99</v>
      </c>
      <c r="AL91" s="22">
        <v>99</v>
      </c>
      <c r="AM91" s="22">
        <v>99</v>
      </c>
      <c r="AN91" s="22">
        <v>99</v>
      </c>
      <c r="AO91" s="22">
        <v>99</v>
      </c>
      <c r="AP91" s="22">
        <v>99</v>
      </c>
      <c r="AQ91" s="18" t="s">
        <v>221</v>
      </c>
      <c r="AR91" s="18" t="s">
        <v>221</v>
      </c>
      <c r="AS91" s="18"/>
      <c r="AT91" s="22">
        <v>2</v>
      </c>
      <c r="AU91" s="22">
        <v>3</v>
      </c>
      <c r="AV91" s="22">
        <v>3</v>
      </c>
      <c r="AW91" s="22">
        <v>4</v>
      </c>
      <c r="AX91" s="37">
        <v>4</v>
      </c>
      <c r="AY91" s="22">
        <v>4</v>
      </c>
      <c r="AZ91" s="22">
        <v>2</v>
      </c>
      <c r="BA91" s="38">
        <v>99</v>
      </c>
      <c r="BB91" s="22">
        <v>99</v>
      </c>
      <c r="BC91" s="22">
        <v>99</v>
      </c>
      <c r="BD91" s="22">
        <v>99</v>
      </c>
      <c r="BE91" s="37">
        <v>99</v>
      </c>
      <c r="BF91" s="22">
        <v>1</v>
      </c>
      <c r="BG91" s="22">
        <v>0</v>
      </c>
      <c r="BH91" s="22">
        <v>1</v>
      </c>
      <c r="BI91" s="22">
        <v>4</v>
      </c>
      <c r="BJ91" s="22">
        <v>8</v>
      </c>
    </row>
    <row r="92" spans="1:62" ht="13">
      <c r="A92" s="22" t="s">
        <v>1673</v>
      </c>
      <c r="B92" s="22"/>
      <c r="C92" s="22"/>
      <c r="D92" s="22"/>
      <c r="E92" s="22">
        <v>2</v>
      </c>
      <c r="F92" s="22">
        <v>1</v>
      </c>
      <c r="G92" s="28">
        <v>25</v>
      </c>
      <c r="H92" s="28">
        <v>9</v>
      </c>
      <c r="I92" s="30">
        <v>1954</v>
      </c>
      <c r="J92" s="34">
        <f t="shared" si="0"/>
        <v>19992</v>
      </c>
      <c r="K92" s="11" t="s">
        <v>1675</v>
      </c>
      <c r="L92" s="25" t="s">
        <v>852</v>
      </c>
      <c r="M92" s="30">
        <v>5</v>
      </c>
      <c r="N92" s="17" t="s">
        <v>32</v>
      </c>
      <c r="O92" s="17"/>
      <c r="P92" s="18"/>
      <c r="Q92" s="41" t="s">
        <v>582</v>
      </c>
      <c r="R92" s="42">
        <v>39.912941199999999</v>
      </c>
      <c r="S92" s="42">
        <v>-104.79560549999999</v>
      </c>
      <c r="T92" s="22">
        <v>2</v>
      </c>
      <c r="U92" s="22">
        <v>1</v>
      </c>
      <c r="V92" s="22">
        <v>2</v>
      </c>
      <c r="W92" s="22">
        <v>2</v>
      </c>
      <c r="X92" s="22">
        <v>2</v>
      </c>
      <c r="Y92" s="18"/>
      <c r="Z92" s="22">
        <v>5</v>
      </c>
      <c r="AA92" s="22">
        <v>2</v>
      </c>
      <c r="AB92" s="18" t="s">
        <v>221</v>
      </c>
      <c r="AC92" s="22">
        <v>6</v>
      </c>
      <c r="AD92" s="22">
        <v>2</v>
      </c>
      <c r="AE92" s="18" t="s">
        <v>221</v>
      </c>
      <c r="AF92" s="22">
        <v>99</v>
      </c>
      <c r="AG92" s="18"/>
      <c r="AH92" s="22">
        <v>99</v>
      </c>
      <c r="AI92" s="28">
        <v>99</v>
      </c>
      <c r="AJ92" s="18"/>
      <c r="AK92" s="22">
        <v>99</v>
      </c>
      <c r="AL92" s="22">
        <v>99</v>
      </c>
      <c r="AM92" s="22">
        <v>99</v>
      </c>
      <c r="AN92" s="22">
        <v>99</v>
      </c>
      <c r="AO92" s="22">
        <v>99</v>
      </c>
      <c r="AP92" s="22">
        <v>99</v>
      </c>
      <c r="AQ92" s="22" t="s">
        <v>1679</v>
      </c>
      <c r="AR92" s="2" t="s">
        <v>737</v>
      </c>
      <c r="AS92" s="22">
        <v>5</v>
      </c>
      <c r="AT92" s="22">
        <v>2</v>
      </c>
      <c r="AU92" s="22">
        <v>3</v>
      </c>
      <c r="AV92" s="22">
        <v>3</v>
      </c>
      <c r="AW92" s="22">
        <v>4</v>
      </c>
      <c r="AX92" s="37">
        <v>4</v>
      </c>
      <c r="AY92" s="22">
        <v>4</v>
      </c>
      <c r="AZ92" s="22">
        <v>2</v>
      </c>
      <c r="BA92" s="38">
        <v>99</v>
      </c>
      <c r="BB92" s="22">
        <v>99</v>
      </c>
      <c r="BC92" s="22">
        <v>99</v>
      </c>
      <c r="BD92" s="22">
        <v>99</v>
      </c>
      <c r="BE92" s="37">
        <v>99</v>
      </c>
      <c r="BF92" s="22">
        <v>1</v>
      </c>
      <c r="BG92" s="22">
        <v>0</v>
      </c>
      <c r="BH92" s="22">
        <v>1</v>
      </c>
      <c r="BI92" s="22">
        <v>999</v>
      </c>
      <c r="BJ92" s="22">
        <v>7</v>
      </c>
    </row>
    <row r="93" spans="1:62" ht="13">
      <c r="A93" s="22" t="s">
        <v>1682</v>
      </c>
      <c r="B93" s="22"/>
      <c r="C93" s="22"/>
      <c r="D93" s="22"/>
      <c r="E93" s="22">
        <v>2</v>
      </c>
      <c r="F93" s="22">
        <v>1</v>
      </c>
      <c r="G93" s="28">
        <v>25</v>
      </c>
      <c r="H93" s="28">
        <v>9</v>
      </c>
      <c r="I93" s="30">
        <v>1954</v>
      </c>
      <c r="J93" s="34">
        <f t="shared" si="0"/>
        <v>19992</v>
      </c>
      <c r="K93" s="11" t="s">
        <v>1684</v>
      </c>
      <c r="L93" s="25" t="s">
        <v>854</v>
      </c>
      <c r="M93" s="30">
        <v>7</v>
      </c>
      <c r="N93" s="17" t="s">
        <v>447</v>
      </c>
      <c r="O93" s="17"/>
      <c r="P93" s="18"/>
      <c r="Q93" s="41" t="s">
        <v>582</v>
      </c>
      <c r="R93" s="42">
        <v>39.912941199999999</v>
      </c>
      <c r="S93" s="42">
        <v>-104.79560549999999</v>
      </c>
      <c r="T93" s="22">
        <v>2</v>
      </c>
      <c r="U93" s="22">
        <v>2</v>
      </c>
      <c r="V93" s="22">
        <v>1</v>
      </c>
      <c r="W93" s="22">
        <v>3</v>
      </c>
      <c r="X93" s="22">
        <v>2</v>
      </c>
      <c r="Y93" s="18"/>
      <c r="Z93" s="22">
        <v>5</v>
      </c>
      <c r="AA93" s="22">
        <v>1</v>
      </c>
      <c r="AB93" s="18" t="s">
        <v>221</v>
      </c>
      <c r="AC93" s="22">
        <v>6</v>
      </c>
      <c r="AD93" s="22">
        <v>2</v>
      </c>
      <c r="AE93" s="18" t="s">
        <v>221</v>
      </c>
      <c r="AF93" s="22">
        <v>1</v>
      </c>
      <c r="AG93" s="18"/>
      <c r="AH93" s="22">
        <v>99</v>
      </c>
      <c r="AI93" s="28">
        <v>99</v>
      </c>
      <c r="AJ93" s="18"/>
      <c r="AK93" s="22">
        <v>99</v>
      </c>
      <c r="AL93" s="22">
        <v>99</v>
      </c>
      <c r="AM93" s="22">
        <v>99</v>
      </c>
      <c r="AN93" s="22">
        <v>99</v>
      </c>
      <c r="AO93" s="22">
        <v>99</v>
      </c>
      <c r="AP93" s="22">
        <v>99</v>
      </c>
      <c r="AQ93" s="22" t="s">
        <v>1686</v>
      </c>
      <c r="AR93" s="2" t="s">
        <v>1687</v>
      </c>
      <c r="AS93" s="18"/>
      <c r="AT93" s="22">
        <v>6</v>
      </c>
      <c r="AU93" s="22">
        <v>3</v>
      </c>
      <c r="AV93" s="22">
        <v>3</v>
      </c>
      <c r="AW93" s="22">
        <v>4</v>
      </c>
      <c r="AX93" s="37">
        <v>4</v>
      </c>
      <c r="AY93" s="22">
        <v>4</v>
      </c>
      <c r="AZ93" s="22">
        <v>1</v>
      </c>
      <c r="BA93" s="38">
        <v>9</v>
      </c>
      <c r="BB93" s="22">
        <v>99</v>
      </c>
      <c r="BC93" s="22">
        <v>99</v>
      </c>
      <c r="BD93" s="22">
        <v>99</v>
      </c>
      <c r="BE93" s="37">
        <v>99</v>
      </c>
      <c r="BF93" s="22">
        <v>2</v>
      </c>
      <c r="BG93" s="22">
        <v>2</v>
      </c>
      <c r="BH93" s="22">
        <v>4</v>
      </c>
      <c r="BI93" s="22">
        <v>8</v>
      </c>
      <c r="BJ93" s="22">
        <v>9</v>
      </c>
    </row>
    <row r="94" spans="1:62" ht="13">
      <c r="A94" s="22" t="s">
        <v>1689</v>
      </c>
      <c r="B94" s="22"/>
      <c r="C94" s="22"/>
      <c r="D94" s="22"/>
      <c r="E94" s="22">
        <v>1</v>
      </c>
      <c r="F94" s="22">
        <v>1</v>
      </c>
      <c r="G94" s="28">
        <v>25</v>
      </c>
      <c r="H94" s="28">
        <v>9</v>
      </c>
      <c r="I94" s="30">
        <v>1954</v>
      </c>
      <c r="J94" s="34">
        <f t="shared" si="0"/>
        <v>19992</v>
      </c>
      <c r="K94" s="35" t="s">
        <v>221</v>
      </c>
      <c r="L94" s="25" t="s">
        <v>856</v>
      </c>
      <c r="M94" s="30">
        <v>7</v>
      </c>
      <c r="N94" s="17" t="s">
        <v>447</v>
      </c>
      <c r="O94" s="17"/>
      <c r="P94" s="18"/>
      <c r="Q94" s="41" t="s">
        <v>582</v>
      </c>
      <c r="R94" s="42">
        <v>39.912941199999999</v>
      </c>
      <c r="S94" s="42">
        <v>-104.79560549999999</v>
      </c>
      <c r="T94" s="22">
        <v>2</v>
      </c>
      <c r="U94" s="22">
        <v>2</v>
      </c>
      <c r="V94" s="22">
        <v>5</v>
      </c>
      <c r="W94" s="22">
        <v>2</v>
      </c>
      <c r="X94" s="22">
        <v>2</v>
      </c>
      <c r="Y94" s="18"/>
      <c r="Z94" s="22">
        <v>5</v>
      </c>
      <c r="AA94" s="22">
        <v>1</v>
      </c>
      <c r="AB94" s="18" t="s">
        <v>221</v>
      </c>
      <c r="AC94" s="22">
        <v>99</v>
      </c>
      <c r="AD94" s="22">
        <v>2</v>
      </c>
      <c r="AE94" s="18" t="s">
        <v>221</v>
      </c>
      <c r="AF94" s="22">
        <v>99</v>
      </c>
      <c r="AG94" s="18"/>
      <c r="AH94" s="22">
        <v>99</v>
      </c>
      <c r="AI94" s="28">
        <v>99</v>
      </c>
      <c r="AJ94" s="18"/>
      <c r="AK94" s="22">
        <v>99</v>
      </c>
      <c r="AL94" s="22">
        <v>99</v>
      </c>
      <c r="AM94" s="22">
        <v>99</v>
      </c>
      <c r="AN94" s="22">
        <v>99</v>
      </c>
      <c r="AO94" s="22">
        <v>99</v>
      </c>
      <c r="AP94" s="22">
        <v>99</v>
      </c>
      <c r="AQ94" s="18" t="s">
        <v>221</v>
      </c>
      <c r="AR94" s="18" t="s">
        <v>221</v>
      </c>
      <c r="AS94" s="22">
        <v>99</v>
      </c>
      <c r="AT94" s="22">
        <v>99</v>
      </c>
      <c r="AU94" s="22">
        <v>3</v>
      </c>
      <c r="AV94" s="22">
        <v>3</v>
      </c>
      <c r="AW94" s="22">
        <v>4</v>
      </c>
      <c r="AX94" s="37">
        <v>4</v>
      </c>
      <c r="AY94" s="22">
        <v>4</v>
      </c>
      <c r="AZ94" s="22">
        <v>2</v>
      </c>
      <c r="BA94" s="38">
        <v>99</v>
      </c>
      <c r="BB94" s="22">
        <v>99</v>
      </c>
      <c r="BC94" s="22">
        <v>99</v>
      </c>
      <c r="BD94" s="22">
        <v>99</v>
      </c>
      <c r="BE94" s="37">
        <v>99</v>
      </c>
      <c r="BF94" s="22">
        <v>999</v>
      </c>
      <c r="BG94" s="22">
        <v>999</v>
      </c>
      <c r="BH94" s="22">
        <v>999</v>
      </c>
      <c r="BI94" s="22">
        <v>999</v>
      </c>
      <c r="BJ94" s="22">
        <v>8</v>
      </c>
    </row>
    <row r="95" spans="1:62" ht="13">
      <c r="A95" s="22" t="s">
        <v>1694</v>
      </c>
      <c r="B95" s="22"/>
      <c r="C95" s="22"/>
      <c r="D95" s="22"/>
      <c r="E95" s="22">
        <v>2</v>
      </c>
      <c r="F95" s="22">
        <v>1</v>
      </c>
      <c r="G95" s="28">
        <v>30</v>
      </c>
      <c r="H95" s="28">
        <v>9</v>
      </c>
      <c r="I95" s="30">
        <v>1954</v>
      </c>
      <c r="J95" s="34">
        <f t="shared" si="0"/>
        <v>19997</v>
      </c>
      <c r="K95" s="11" t="s">
        <v>1696</v>
      </c>
      <c r="L95" s="25" t="s">
        <v>863</v>
      </c>
      <c r="M95" s="30">
        <v>5</v>
      </c>
      <c r="N95" s="17" t="s">
        <v>32</v>
      </c>
      <c r="O95" s="17"/>
      <c r="P95" s="18"/>
      <c r="Q95" s="41" t="s">
        <v>582</v>
      </c>
      <c r="R95" s="42">
        <v>39.912941199999999</v>
      </c>
      <c r="S95" s="42">
        <v>-104.79560549999999</v>
      </c>
      <c r="T95" s="22">
        <v>2</v>
      </c>
      <c r="U95" s="22">
        <v>2</v>
      </c>
      <c r="V95" s="22">
        <v>5</v>
      </c>
      <c r="W95" s="22">
        <v>2</v>
      </c>
      <c r="X95" s="22">
        <v>2</v>
      </c>
      <c r="Y95" s="18"/>
      <c r="Z95" s="22">
        <v>5</v>
      </c>
      <c r="AA95" s="22">
        <v>1</v>
      </c>
      <c r="AB95" s="2" t="s">
        <v>1255</v>
      </c>
      <c r="AC95" s="22">
        <v>6</v>
      </c>
      <c r="AD95" s="22">
        <v>2</v>
      </c>
      <c r="AE95" s="18" t="s">
        <v>221</v>
      </c>
      <c r="AF95" s="22">
        <v>1</v>
      </c>
      <c r="AG95" s="18"/>
      <c r="AH95" s="22">
        <v>99</v>
      </c>
      <c r="AI95" s="28">
        <v>99</v>
      </c>
      <c r="AJ95" s="18"/>
      <c r="AK95" s="22">
        <v>99</v>
      </c>
      <c r="AL95" s="22">
        <v>99</v>
      </c>
      <c r="AM95" s="22">
        <v>99</v>
      </c>
      <c r="AN95" s="22">
        <v>99</v>
      </c>
      <c r="AO95" s="22">
        <v>99</v>
      </c>
      <c r="AP95" s="22">
        <v>99</v>
      </c>
      <c r="AQ95" s="22" t="s">
        <v>1699</v>
      </c>
      <c r="AR95" s="2" t="s">
        <v>750</v>
      </c>
      <c r="AS95" s="22">
        <v>5</v>
      </c>
      <c r="AT95" s="22">
        <v>6</v>
      </c>
      <c r="AU95" s="22">
        <v>3</v>
      </c>
      <c r="AV95" s="22">
        <v>3</v>
      </c>
      <c r="AW95" s="22">
        <v>4</v>
      </c>
      <c r="AX95" s="37">
        <v>4</v>
      </c>
      <c r="AY95" s="22">
        <v>4</v>
      </c>
      <c r="AZ95" s="22">
        <v>2</v>
      </c>
      <c r="BA95" s="38">
        <v>99</v>
      </c>
      <c r="BB95" s="22">
        <v>99</v>
      </c>
      <c r="BC95" s="22">
        <v>99</v>
      </c>
      <c r="BD95" s="22">
        <v>99</v>
      </c>
      <c r="BE95" s="37">
        <v>99</v>
      </c>
      <c r="BF95" s="22">
        <v>1</v>
      </c>
      <c r="BG95" s="22">
        <v>1</v>
      </c>
      <c r="BH95" s="22">
        <v>2</v>
      </c>
      <c r="BI95" s="22">
        <v>999</v>
      </c>
      <c r="BJ95" s="22">
        <v>8</v>
      </c>
    </row>
    <row r="96" spans="1:62" ht="13">
      <c r="A96" s="22" t="s">
        <v>1701</v>
      </c>
      <c r="B96" s="22"/>
      <c r="C96" s="22"/>
      <c r="D96" s="22"/>
      <c r="E96" s="22">
        <v>2</v>
      </c>
      <c r="F96" s="22">
        <v>1</v>
      </c>
      <c r="G96" s="28">
        <v>3</v>
      </c>
      <c r="H96" s="28">
        <v>10</v>
      </c>
      <c r="I96" s="30">
        <v>1954</v>
      </c>
      <c r="J96" s="34">
        <f t="shared" si="0"/>
        <v>20000</v>
      </c>
      <c r="K96" s="39" t="s">
        <v>328</v>
      </c>
      <c r="L96" s="25" t="s">
        <v>866</v>
      </c>
      <c r="M96" s="30">
        <v>5</v>
      </c>
      <c r="N96" s="17" t="s">
        <v>32</v>
      </c>
      <c r="O96" s="17"/>
      <c r="P96" s="18"/>
      <c r="Q96" s="41" t="s">
        <v>582</v>
      </c>
      <c r="R96" s="42">
        <v>39.912941199999999</v>
      </c>
      <c r="S96" s="42">
        <v>-104.79560549999999</v>
      </c>
      <c r="T96" s="22">
        <v>2</v>
      </c>
      <c r="U96" s="22">
        <v>2</v>
      </c>
      <c r="V96" s="22">
        <v>5</v>
      </c>
      <c r="W96" s="22">
        <v>3</v>
      </c>
      <c r="X96" s="22">
        <v>2</v>
      </c>
      <c r="Y96" s="18"/>
      <c r="Z96" s="22">
        <v>5</v>
      </c>
      <c r="AA96" s="22">
        <v>1</v>
      </c>
      <c r="AB96" s="18" t="s">
        <v>221</v>
      </c>
      <c r="AC96" s="22">
        <v>6</v>
      </c>
      <c r="AD96" s="22">
        <v>2</v>
      </c>
      <c r="AE96" s="18" t="s">
        <v>221</v>
      </c>
      <c r="AF96" s="22">
        <v>99</v>
      </c>
      <c r="AG96" s="18"/>
      <c r="AH96" s="22">
        <v>99</v>
      </c>
      <c r="AI96" s="28">
        <v>99</v>
      </c>
      <c r="AJ96" s="18"/>
      <c r="AK96" s="22">
        <v>99</v>
      </c>
      <c r="AL96" s="22">
        <v>99</v>
      </c>
      <c r="AM96" s="22">
        <v>99</v>
      </c>
      <c r="AN96" s="22">
        <v>2</v>
      </c>
      <c r="AO96" s="22">
        <v>99</v>
      </c>
      <c r="AP96" s="22">
        <v>99</v>
      </c>
      <c r="AQ96" s="22" t="s">
        <v>1706</v>
      </c>
      <c r="AR96" s="18" t="s">
        <v>221</v>
      </c>
      <c r="AS96" s="22">
        <v>5</v>
      </c>
      <c r="AT96" s="22">
        <v>2</v>
      </c>
      <c r="AU96" s="22">
        <v>3</v>
      </c>
      <c r="AV96" s="22">
        <v>3</v>
      </c>
      <c r="AW96" s="22">
        <v>4</v>
      </c>
      <c r="AX96" s="37">
        <v>4</v>
      </c>
      <c r="AY96" s="22">
        <v>4</v>
      </c>
      <c r="AZ96" s="22">
        <v>2</v>
      </c>
      <c r="BA96" s="38">
        <v>99</v>
      </c>
      <c r="BB96" s="22">
        <v>99</v>
      </c>
      <c r="BC96" s="22">
        <v>99</v>
      </c>
      <c r="BD96" s="22">
        <v>99</v>
      </c>
      <c r="BE96" s="37">
        <v>99</v>
      </c>
      <c r="BF96" s="22">
        <v>1</v>
      </c>
      <c r="BG96" s="22">
        <v>0</v>
      </c>
      <c r="BH96" s="22">
        <v>1</v>
      </c>
      <c r="BI96" s="22">
        <v>999</v>
      </c>
      <c r="BJ96" s="22">
        <v>8</v>
      </c>
    </row>
    <row r="97" spans="1:62" ht="13">
      <c r="A97" s="22" t="s">
        <v>1707</v>
      </c>
      <c r="B97" s="22"/>
      <c r="C97" s="22"/>
      <c r="D97" s="22"/>
      <c r="E97" s="22">
        <v>2</v>
      </c>
      <c r="F97" s="22">
        <v>1</v>
      </c>
      <c r="G97" s="28">
        <v>5</v>
      </c>
      <c r="H97" s="28">
        <v>10</v>
      </c>
      <c r="I97" s="30">
        <v>1954</v>
      </c>
      <c r="J97" s="34">
        <f t="shared" si="0"/>
        <v>20002</v>
      </c>
      <c r="K97" s="11" t="s">
        <v>1208</v>
      </c>
      <c r="L97" s="25" t="s">
        <v>868</v>
      </c>
      <c r="M97" s="30">
        <v>5</v>
      </c>
      <c r="N97" s="17" t="s">
        <v>32</v>
      </c>
      <c r="O97" s="17"/>
      <c r="P97" s="18"/>
      <c r="Q97" s="41" t="s">
        <v>582</v>
      </c>
      <c r="R97" s="42">
        <v>39.912941199999999</v>
      </c>
      <c r="S97" s="42">
        <v>-104.79560549999999</v>
      </c>
      <c r="T97" s="22">
        <v>2</v>
      </c>
      <c r="U97" s="22">
        <v>2</v>
      </c>
      <c r="V97" s="22">
        <v>5</v>
      </c>
      <c r="W97" s="22">
        <v>3</v>
      </c>
      <c r="X97" s="22">
        <v>2</v>
      </c>
      <c r="Y97" s="18"/>
      <c r="Z97" s="22">
        <v>5</v>
      </c>
      <c r="AA97" s="22">
        <v>2</v>
      </c>
      <c r="AB97" s="18" t="s">
        <v>221</v>
      </c>
      <c r="AC97" s="22">
        <v>6</v>
      </c>
      <c r="AD97" s="22">
        <v>2</v>
      </c>
      <c r="AE97" s="18" t="s">
        <v>221</v>
      </c>
      <c r="AF97" s="22">
        <v>99</v>
      </c>
      <c r="AG97" s="18"/>
      <c r="AH97" s="22">
        <v>99</v>
      </c>
      <c r="AI97" s="28">
        <v>99</v>
      </c>
      <c r="AJ97" s="18"/>
      <c r="AK97" s="22">
        <v>99</v>
      </c>
      <c r="AL97" s="22">
        <v>99</v>
      </c>
      <c r="AM97" s="22">
        <v>99</v>
      </c>
      <c r="AN97" s="22">
        <v>99</v>
      </c>
      <c r="AO97" s="22">
        <v>99</v>
      </c>
      <c r="AP97" s="22">
        <v>99</v>
      </c>
      <c r="AQ97" s="22" t="s">
        <v>1709</v>
      </c>
      <c r="AR97" s="18" t="s">
        <v>221</v>
      </c>
      <c r="AS97" s="22">
        <v>5</v>
      </c>
      <c r="AT97" s="22">
        <v>6</v>
      </c>
      <c r="AU97" s="22">
        <v>3</v>
      </c>
      <c r="AV97" s="22">
        <v>3</v>
      </c>
      <c r="AW97" s="22">
        <v>4</v>
      </c>
      <c r="AX97" s="37">
        <v>4</v>
      </c>
      <c r="AY97" s="22">
        <v>4</v>
      </c>
      <c r="AZ97" s="22">
        <v>2</v>
      </c>
      <c r="BA97" s="38">
        <v>99</v>
      </c>
      <c r="BB97" s="22">
        <v>99</v>
      </c>
      <c r="BC97" s="22">
        <v>99</v>
      </c>
      <c r="BD97" s="22">
        <v>99</v>
      </c>
      <c r="BE97" s="37">
        <v>99</v>
      </c>
      <c r="BF97" s="22">
        <v>0</v>
      </c>
      <c r="BG97" s="22">
        <v>1</v>
      </c>
      <c r="BH97" s="22">
        <v>1</v>
      </c>
      <c r="BI97" s="22">
        <v>999</v>
      </c>
      <c r="BJ97" s="22">
        <v>3</v>
      </c>
    </row>
    <row r="98" spans="1:62" ht="13">
      <c r="A98" s="22" t="s">
        <v>1710</v>
      </c>
      <c r="B98" s="22"/>
      <c r="C98" s="22"/>
      <c r="D98" s="22"/>
      <c r="E98" s="22">
        <v>2</v>
      </c>
      <c r="F98" s="22">
        <v>1</v>
      </c>
      <c r="G98" s="28">
        <v>26</v>
      </c>
      <c r="H98" s="28">
        <v>10</v>
      </c>
      <c r="I98" s="30">
        <v>1954</v>
      </c>
      <c r="J98" s="34">
        <f t="shared" si="0"/>
        <v>20023</v>
      </c>
      <c r="K98" s="11" t="s">
        <v>1711</v>
      </c>
      <c r="L98" s="25" t="s">
        <v>870</v>
      </c>
      <c r="M98" s="30">
        <v>7</v>
      </c>
      <c r="N98" s="17" t="s">
        <v>447</v>
      </c>
      <c r="O98" s="17"/>
      <c r="P98" s="18"/>
      <c r="Q98" s="41" t="s">
        <v>582</v>
      </c>
      <c r="R98" s="42">
        <v>39.912941199999999</v>
      </c>
      <c r="S98" s="42">
        <v>-104.79560549999999</v>
      </c>
      <c r="T98" s="22">
        <v>1</v>
      </c>
      <c r="U98" s="22">
        <v>2</v>
      </c>
      <c r="V98" s="22">
        <v>1</v>
      </c>
      <c r="W98" s="22">
        <v>3</v>
      </c>
      <c r="X98" s="22">
        <v>2</v>
      </c>
      <c r="Y98" s="18"/>
      <c r="Z98" s="22">
        <v>5</v>
      </c>
      <c r="AA98" s="22">
        <v>1</v>
      </c>
      <c r="AB98" s="18" t="s">
        <v>221</v>
      </c>
      <c r="AC98" s="22">
        <v>99</v>
      </c>
      <c r="AD98" s="22">
        <v>2</v>
      </c>
      <c r="AE98" s="18" t="s">
        <v>221</v>
      </c>
      <c r="AF98" s="22">
        <v>99</v>
      </c>
      <c r="AG98" s="18"/>
      <c r="AH98" s="22">
        <v>99</v>
      </c>
      <c r="AI98" s="28">
        <v>99</v>
      </c>
      <c r="AJ98" s="18"/>
      <c r="AK98" s="22">
        <v>99</v>
      </c>
      <c r="AL98" s="22">
        <v>99</v>
      </c>
      <c r="AM98" s="22">
        <v>99</v>
      </c>
      <c r="AN98" s="22">
        <v>1</v>
      </c>
      <c r="AO98" s="22">
        <v>6</v>
      </c>
      <c r="AP98" s="22">
        <v>99</v>
      </c>
      <c r="AQ98" s="18" t="s">
        <v>221</v>
      </c>
      <c r="AR98" s="18" t="s">
        <v>221</v>
      </c>
      <c r="AS98" s="18"/>
      <c r="AT98" s="22">
        <v>3</v>
      </c>
      <c r="AU98" s="22">
        <v>3</v>
      </c>
      <c r="AV98" s="22">
        <v>3</v>
      </c>
      <c r="AW98" s="22">
        <v>4</v>
      </c>
      <c r="AX98" s="37">
        <v>4</v>
      </c>
      <c r="AY98" s="22">
        <v>4</v>
      </c>
      <c r="AZ98" s="22">
        <v>2</v>
      </c>
      <c r="BA98" s="38">
        <v>99</v>
      </c>
      <c r="BB98" s="22">
        <v>99</v>
      </c>
      <c r="BC98" s="22">
        <v>99</v>
      </c>
      <c r="BD98" s="22">
        <v>99</v>
      </c>
      <c r="BE98" s="37">
        <v>99</v>
      </c>
      <c r="BF98" s="22">
        <v>3</v>
      </c>
      <c r="BG98" s="22">
        <v>0</v>
      </c>
      <c r="BH98" s="22">
        <v>3</v>
      </c>
      <c r="BI98" s="22">
        <v>30</v>
      </c>
      <c r="BJ98" s="22">
        <v>8</v>
      </c>
    </row>
    <row r="99" spans="1:62" ht="13">
      <c r="A99" s="22" t="s">
        <v>1712</v>
      </c>
      <c r="B99" s="22"/>
      <c r="C99" s="22"/>
      <c r="D99" s="22"/>
      <c r="E99" s="22">
        <v>1</v>
      </c>
      <c r="F99" s="22">
        <v>1</v>
      </c>
      <c r="G99" s="28">
        <v>2</v>
      </c>
      <c r="H99" s="28">
        <v>11</v>
      </c>
      <c r="I99" s="30">
        <v>1954</v>
      </c>
      <c r="J99" s="34">
        <f t="shared" si="0"/>
        <v>20030</v>
      </c>
      <c r="K99" s="39" t="s">
        <v>328</v>
      </c>
      <c r="L99" s="25" t="s">
        <v>871</v>
      </c>
      <c r="M99" s="30">
        <v>7</v>
      </c>
      <c r="N99" s="17" t="s">
        <v>447</v>
      </c>
      <c r="O99" s="17"/>
      <c r="P99" s="18"/>
      <c r="Q99" s="41" t="s">
        <v>582</v>
      </c>
      <c r="R99" s="42">
        <v>39.912941199999999</v>
      </c>
      <c r="S99" s="42">
        <v>-104.79560549999999</v>
      </c>
      <c r="T99" s="22">
        <v>1</v>
      </c>
      <c r="U99" s="22">
        <v>2</v>
      </c>
      <c r="V99" s="22">
        <v>5</v>
      </c>
      <c r="W99" s="22">
        <v>3</v>
      </c>
      <c r="X99" s="22">
        <v>2</v>
      </c>
      <c r="Y99" s="18"/>
      <c r="Z99" s="22">
        <v>5</v>
      </c>
      <c r="AA99" s="22">
        <v>1</v>
      </c>
      <c r="AB99" s="18" t="s">
        <v>221</v>
      </c>
      <c r="AC99" s="22">
        <v>9</v>
      </c>
      <c r="AD99" s="22">
        <v>2</v>
      </c>
      <c r="AE99" s="18" t="s">
        <v>221</v>
      </c>
      <c r="AF99" s="22">
        <v>1</v>
      </c>
      <c r="AG99" s="18"/>
      <c r="AH99" s="22">
        <v>99</v>
      </c>
      <c r="AI99" s="28">
        <v>99</v>
      </c>
      <c r="AJ99" s="18"/>
      <c r="AK99" s="22">
        <v>99</v>
      </c>
      <c r="AL99" s="22">
        <v>99</v>
      </c>
      <c r="AM99" s="22">
        <v>99</v>
      </c>
      <c r="AN99" s="22">
        <v>2</v>
      </c>
      <c r="AO99" s="22">
        <v>99</v>
      </c>
      <c r="AP99" s="22">
        <v>99</v>
      </c>
      <c r="AQ99" s="18" t="s">
        <v>221</v>
      </c>
      <c r="AR99" s="18" t="s">
        <v>221</v>
      </c>
      <c r="AS99" s="22">
        <v>99</v>
      </c>
      <c r="AT99" s="22">
        <v>99</v>
      </c>
      <c r="AU99" s="22">
        <v>3</v>
      </c>
      <c r="AV99" s="22">
        <v>3</v>
      </c>
      <c r="AW99" s="22">
        <v>4</v>
      </c>
      <c r="AX99" s="37">
        <v>4</v>
      </c>
      <c r="AY99" s="22">
        <v>4</v>
      </c>
      <c r="AZ99" s="22">
        <v>1</v>
      </c>
      <c r="BA99" s="38">
        <v>9</v>
      </c>
      <c r="BB99" s="22">
        <v>99</v>
      </c>
      <c r="BC99" s="22">
        <v>99</v>
      </c>
      <c r="BD99" s="22">
        <v>99</v>
      </c>
      <c r="BE99" s="37">
        <v>99</v>
      </c>
      <c r="BF99" s="22">
        <v>0</v>
      </c>
      <c r="BG99" s="22">
        <v>0</v>
      </c>
      <c r="BH99" s="22">
        <v>0</v>
      </c>
      <c r="BI99" s="22">
        <v>3</v>
      </c>
      <c r="BJ99" s="22">
        <v>7</v>
      </c>
    </row>
    <row r="100" spans="1:62" ht="13">
      <c r="A100" s="22" t="s">
        <v>1713</v>
      </c>
      <c r="B100" s="22"/>
      <c r="C100" s="22"/>
      <c r="D100" s="22"/>
      <c r="E100" s="22">
        <v>1</v>
      </c>
      <c r="F100" s="22">
        <v>1</v>
      </c>
      <c r="G100" s="28">
        <v>5</v>
      </c>
      <c r="H100" s="28">
        <v>11</v>
      </c>
      <c r="I100" s="30">
        <v>1954</v>
      </c>
      <c r="J100" s="34">
        <f t="shared" si="0"/>
        <v>20033</v>
      </c>
      <c r="K100" s="39" t="s">
        <v>614</v>
      </c>
      <c r="L100" s="25" t="s">
        <v>872</v>
      </c>
      <c r="M100" s="30">
        <v>3</v>
      </c>
      <c r="N100" s="17" t="s">
        <v>552</v>
      </c>
      <c r="O100" s="17"/>
      <c r="P100" s="25" t="s">
        <v>873</v>
      </c>
      <c r="Q100" s="25" t="s">
        <v>903</v>
      </c>
      <c r="R100" s="75">
        <v>47.950736900000003</v>
      </c>
      <c r="S100" s="75">
        <v>-90.800822599999904</v>
      </c>
      <c r="T100" s="22">
        <v>2</v>
      </c>
      <c r="U100" s="22">
        <v>1</v>
      </c>
      <c r="V100" s="22">
        <v>5</v>
      </c>
      <c r="W100" s="18"/>
      <c r="X100" s="22">
        <v>2</v>
      </c>
      <c r="Y100" s="18"/>
      <c r="Z100" s="22">
        <v>5</v>
      </c>
      <c r="AA100" s="22">
        <v>1</v>
      </c>
      <c r="AB100" s="18" t="s">
        <v>221</v>
      </c>
      <c r="AC100" s="22">
        <v>6</v>
      </c>
      <c r="AD100" s="22">
        <v>2</v>
      </c>
      <c r="AE100" s="18" t="s">
        <v>221</v>
      </c>
      <c r="AF100" s="22">
        <v>99</v>
      </c>
      <c r="AG100" s="18"/>
      <c r="AH100" s="22">
        <v>99</v>
      </c>
      <c r="AI100" s="28">
        <v>99</v>
      </c>
      <c r="AJ100" s="18"/>
      <c r="AK100" s="22">
        <v>99</v>
      </c>
      <c r="AL100" s="22">
        <v>99</v>
      </c>
      <c r="AM100" s="22">
        <v>99</v>
      </c>
      <c r="AN100" s="22">
        <v>99</v>
      </c>
      <c r="AO100" s="22">
        <v>99</v>
      </c>
      <c r="AP100" s="22">
        <v>99</v>
      </c>
      <c r="AQ100" s="18" t="s">
        <v>221</v>
      </c>
      <c r="AR100" s="18" t="s">
        <v>221</v>
      </c>
      <c r="AS100" s="18"/>
      <c r="AT100" s="22">
        <v>2</v>
      </c>
      <c r="AU100" s="22">
        <v>3</v>
      </c>
      <c r="AV100" s="22">
        <v>3</v>
      </c>
      <c r="AW100" s="22">
        <v>4</v>
      </c>
      <c r="AX100" s="37">
        <v>4</v>
      </c>
      <c r="AY100" s="22">
        <v>4</v>
      </c>
      <c r="AZ100" s="22">
        <v>2</v>
      </c>
      <c r="BA100" s="38">
        <v>99</v>
      </c>
      <c r="BB100" s="22">
        <v>99</v>
      </c>
      <c r="BC100" s="22">
        <v>99</v>
      </c>
      <c r="BD100" s="22">
        <v>99</v>
      </c>
      <c r="BE100" s="37">
        <v>99</v>
      </c>
      <c r="BF100" s="22">
        <v>1</v>
      </c>
      <c r="BG100" s="22">
        <v>0</v>
      </c>
      <c r="BH100" s="22">
        <v>1</v>
      </c>
      <c r="BI100" s="22">
        <v>999</v>
      </c>
      <c r="BJ100" s="22">
        <v>8</v>
      </c>
    </row>
    <row r="101" spans="1:62" ht="13">
      <c r="A101" s="22" t="s">
        <v>1714</v>
      </c>
      <c r="B101" s="22"/>
      <c r="C101" s="22"/>
      <c r="D101" s="22"/>
      <c r="E101" s="22">
        <v>1</v>
      </c>
      <c r="F101" s="22">
        <v>1</v>
      </c>
      <c r="G101" s="28">
        <v>23</v>
      </c>
      <c r="H101" s="28">
        <v>11</v>
      </c>
      <c r="I101" s="30">
        <v>1954</v>
      </c>
      <c r="J101" s="34">
        <f t="shared" si="0"/>
        <v>20051</v>
      </c>
      <c r="K101" s="39" t="s">
        <v>614</v>
      </c>
      <c r="L101" s="25" t="s">
        <v>874</v>
      </c>
      <c r="M101" s="30">
        <v>7</v>
      </c>
      <c r="N101" s="17" t="s">
        <v>447</v>
      </c>
      <c r="O101" s="17"/>
      <c r="P101" s="18"/>
      <c r="Q101" s="41" t="s">
        <v>582</v>
      </c>
      <c r="R101" s="42">
        <v>39.912941199999999</v>
      </c>
      <c r="S101" s="42">
        <v>-104.79560549999999</v>
      </c>
      <c r="T101" s="22">
        <v>1</v>
      </c>
      <c r="U101" s="22">
        <v>2</v>
      </c>
      <c r="V101" s="22">
        <v>2</v>
      </c>
      <c r="W101" s="22">
        <v>2</v>
      </c>
      <c r="X101" s="22">
        <v>2</v>
      </c>
      <c r="Y101" s="18"/>
      <c r="Z101" s="22">
        <v>1</v>
      </c>
      <c r="AA101" s="22">
        <v>1</v>
      </c>
      <c r="AB101" s="18" t="s">
        <v>221</v>
      </c>
      <c r="AC101" s="22">
        <v>6</v>
      </c>
      <c r="AD101" s="22">
        <v>2</v>
      </c>
      <c r="AE101" s="18" t="s">
        <v>221</v>
      </c>
      <c r="AF101" s="22">
        <v>1</v>
      </c>
      <c r="AG101" s="18"/>
      <c r="AH101" s="22">
        <v>99</v>
      </c>
      <c r="AI101" s="28">
        <v>99</v>
      </c>
      <c r="AJ101" s="18"/>
      <c r="AK101" s="22">
        <v>99</v>
      </c>
      <c r="AL101" s="22">
        <v>99</v>
      </c>
      <c r="AM101" s="22">
        <v>99</v>
      </c>
      <c r="AN101" s="22">
        <v>1</v>
      </c>
      <c r="AO101" s="22">
        <v>4</v>
      </c>
      <c r="AP101" s="22">
        <v>2</v>
      </c>
      <c r="AQ101" s="18" t="s">
        <v>221</v>
      </c>
      <c r="AR101" s="18" t="s">
        <v>221</v>
      </c>
      <c r="AS101" s="18"/>
      <c r="AT101" s="22">
        <v>2</v>
      </c>
      <c r="AU101" s="22">
        <v>3</v>
      </c>
      <c r="AV101" s="22">
        <v>3</v>
      </c>
      <c r="AW101" s="22">
        <v>4</v>
      </c>
      <c r="AX101" s="37">
        <v>4</v>
      </c>
      <c r="AY101" s="22">
        <v>4</v>
      </c>
      <c r="AZ101" s="22">
        <v>2</v>
      </c>
      <c r="BA101" s="38">
        <v>99</v>
      </c>
      <c r="BB101" s="22">
        <v>99</v>
      </c>
      <c r="BC101" s="22">
        <v>99</v>
      </c>
      <c r="BD101" s="22">
        <v>99</v>
      </c>
      <c r="BE101" s="37">
        <v>99</v>
      </c>
      <c r="BF101" s="22">
        <v>2</v>
      </c>
      <c r="BG101" s="22">
        <v>0</v>
      </c>
      <c r="BH101" s="22">
        <v>2</v>
      </c>
      <c r="BI101" s="22">
        <v>4</v>
      </c>
      <c r="BJ101" s="22">
        <v>9</v>
      </c>
    </row>
    <row r="102" spans="1:62" ht="13">
      <c r="A102" s="22" t="s">
        <v>1715</v>
      </c>
      <c r="B102" s="22"/>
      <c r="C102" s="22"/>
      <c r="D102" s="22"/>
      <c r="E102" s="22">
        <v>1</v>
      </c>
      <c r="F102" s="22">
        <v>1</v>
      </c>
      <c r="G102" s="57"/>
      <c r="H102" s="57"/>
      <c r="I102" s="30">
        <v>1955</v>
      </c>
      <c r="J102" s="34">
        <f t="shared" si="0"/>
        <v>20058</v>
      </c>
      <c r="K102" s="39" t="s">
        <v>1716</v>
      </c>
      <c r="L102" s="25" t="s">
        <v>877</v>
      </c>
      <c r="M102" s="30">
        <v>1</v>
      </c>
      <c r="N102" s="17" t="s">
        <v>233</v>
      </c>
      <c r="O102" s="17"/>
      <c r="P102" s="25" t="s">
        <v>878</v>
      </c>
      <c r="Q102" s="25" t="s">
        <v>908</v>
      </c>
      <c r="R102" s="75">
        <v>31.650404300000002</v>
      </c>
      <c r="S102" s="75">
        <v>34.585953600000003</v>
      </c>
      <c r="T102" s="22">
        <v>2</v>
      </c>
      <c r="U102" s="22">
        <v>2</v>
      </c>
      <c r="V102" s="22">
        <v>1</v>
      </c>
      <c r="W102" s="22">
        <v>4</v>
      </c>
      <c r="X102" s="22">
        <v>2</v>
      </c>
      <c r="Y102" s="18"/>
      <c r="Z102" s="22">
        <v>5</v>
      </c>
      <c r="AA102" s="22">
        <v>1</v>
      </c>
      <c r="AB102" s="18" t="s">
        <v>221</v>
      </c>
      <c r="AC102" s="22">
        <v>6</v>
      </c>
      <c r="AD102" s="22">
        <v>2</v>
      </c>
      <c r="AE102" s="18" t="s">
        <v>221</v>
      </c>
      <c r="AF102" s="22">
        <v>99</v>
      </c>
      <c r="AG102" s="18"/>
      <c r="AH102" s="22">
        <v>99</v>
      </c>
      <c r="AI102" s="28">
        <v>99</v>
      </c>
      <c r="AJ102" s="18"/>
      <c r="AK102" s="22">
        <v>99</v>
      </c>
      <c r="AL102" s="22">
        <v>99</v>
      </c>
      <c r="AM102" s="22">
        <v>99</v>
      </c>
      <c r="AN102" s="22">
        <v>99</v>
      </c>
      <c r="AO102" s="22">
        <v>99</v>
      </c>
      <c r="AP102" s="22">
        <v>99</v>
      </c>
      <c r="AQ102" s="18" t="s">
        <v>221</v>
      </c>
      <c r="AR102" s="18" t="s">
        <v>221</v>
      </c>
      <c r="AS102" s="18"/>
      <c r="AT102" s="18"/>
      <c r="AU102" s="22">
        <v>3</v>
      </c>
      <c r="AV102" s="22">
        <v>3</v>
      </c>
      <c r="AW102" s="22">
        <v>4</v>
      </c>
      <c r="AX102" s="37">
        <v>4</v>
      </c>
      <c r="AY102" s="22">
        <v>4</v>
      </c>
      <c r="AZ102" s="22">
        <v>2</v>
      </c>
      <c r="BA102" s="38">
        <v>99</v>
      </c>
      <c r="BB102" s="22">
        <v>99</v>
      </c>
      <c r="BC102" s="22">
        <v>99</v>
      </c>
      <c r="BD102" s="22">
        <v>99</v>
      </c>
      <c r="BE102" s="37">
        <v>99</v>
      </c>
      <c r="BF102" s="22">
        <v>0</v>
      </c>
      <c r="BG102" s="22">
        <v>0</v>
      </c>
      <c r="BH102" s="22">
        <v>0</v>
      </c>
      <c r="BI102" s="22">
        <v>999</v>
      </c>
      <c r="BJ102" s="22">
        <v>8</v>
      </c>
    </row>
    <row r="103" spans="1:62" ht="13">
      <c r="A103" s="22" t="s">
        <v>1717</v>
      </c>
      <c r="B103" s="22"/>
      <c r="C103" s="22"/>
      <c r="D103" s="22"/>
      <c r="E103" s="22">
        <v>2</v>
      </c>
      <c r="F103" s="22">
        <v>1</v>
      </c>
      <c r="G103" s="57"/>
      <c r="H103" s="57"/>
      <c r="I103" s="30">
        <v>1955</v>
      </c>
      <c r="J103" s="34">
        <f t="shared" si="0"/>
        <v>20058</v>
      </c>
      <c r="K103" s="35" t="s">
        <v>221</v>
      </c>
      <c r="L103" s="25" t="s">
        <v>880</v>
      </c>
      <c r="M103" s="30">
        <v>3</v>
      </c>
      <c r="N103" s="17" t="s">
        <v>552</v>
      </c>
      <c r="O103" s="17"/>
      <c r="P103" s="25" t="s">
        <v>881</v>
      </c>
      <c r="Q103" s="25" t="s">
        <v>911</v>
      </c>
      <c r="R103" s="25">
        <v>33.208781999999999</v>
      </c>
      <c r="S103" s="25">
        <v>35.606515000000002</v>
      </c>
      <c r="T103" s="22">
        <v>2</v>
      </c>
      <c r="U103" s="22">
        <v>2</v>
      </c>
      <c r="V103" s="18"/>
      <c r="W103" s="22">
        <v>2</v>
      </c>
      <c r="X103" s="22">
        <v>2</v>
      </c>
      <c r="Y103" s="18"/>
      <c r="Z103" s="22">
        <v>5</v>
      </c>
      <c r="AA103" s="22">
        <v>99</v>
      </c>
      <c r="AB103" s="18" t="s">
        <v>221</v>
      </c>
      <c r="AC103" s="22">
        <v>6</v>
      </c>
      <c r="AD103" s="22">
        <v>2</v>
      </c>
      <c r="AE103" s="18" t="s">
        <v>221</v>
      </c>
      <c r="AF103" s="22">
        <v>99</v>
      </c>
      <c r="AG103" s="18"/>
      <c r="AH103" s="22">
        <v>3</v>
      </c>
      <c r="AI103" s="57"/>
      <c r="AJ103" s="18"/>
      <c r="AK103" s="22">
        <v>99</v>
      </c>
      <c r="AL103" s="22">
        <v>99</v>
      </c>
      <c r="AM103" s="22">
        <v>3</v>
      </c>
      <c r="AN103" s="22">
        <v>99</v>
      </c>
      <c r="AO103" s="22">
        <v>99</v>
      </c>
      <c r="AP103" s="22">
        <v>99</v>
      </c>
      <c r="AQ103" s="18" t="s">
        <v>221</v>
      </c>
      <c r="AR103" s="18" t="s">
        <v>221</v>
      </c>
      <c r="AS103" s="18"/>
      <c r="AT103" s="18"/>
      <c r="AU103" s="22">
        <v>3</v>
      </c>
      <c r="AV103" s="22">
        <v>3</v>
      </c>
      <c r="AW103" s="22">
        <v>4</v>
      </c>
      <c r="AX103" s="37">
        <v>4</v>
      </c>
      <c r="AY103" s="22">
        <v>4</v>
      </c>
      <c r="AZ103" s="22">
        <v>2</v>
      </c>
      <c r="BA103" s="38">
        <v>99</v>
      </c>
      <c r="BB103" s="22">
        <v>99</v>
      </c>
      <c r="BC103" s="22">
        <v>99</v>
      </c>
      <c r="BD103" s="22">
        <v>99</v>
      </c>
      <c r="BE103" s="37">
        <v>99</v>
      </c>
      <c r="BF103" s="22">
        <v>0</v>
      </c>
      <c r="BG103" s="22">
        <v>0</v>
      </c>
      <c r="BH103" s="22">
        <v>0</v>
      </c>
      <c r="BI103" s="22">
        <v>4</v>
      </c>
      <c r="BJ103" s="22">
        <v>8</v>
      </c>
    </row>
    <row r="104" spans="1:62" ht="13">
      <c r="A104" s="22" t="s">
        <v>1718</v>
      </c>
      <c r="B104" s="22"/>
      <c r="C104" s="22"/>
      <c r="D104" s="22"/>
      <c r="E104" s="22">
        <v>1</v>
      </c>
      <c r="F104" s="22">
        <v>1</v>
      </c>
      <c r="G104" s="57"/>
      <c r="H104" s="57"/>
      <c r="I104" s="30">
        <v>1955</v>
      </c>
      <c r="J104" s="34">
        <f t="shared" si="0"/>
        <v>20058</v>
      </c>
      <c r="K104" s="35" t="s">
        <v>221</v>
      </c>
      <c r="L104" s="25" t="s">
        <v>882</v>
      </c>
      <c r="M104" s="30">
        <v>11</v>
      </c>
      <c r="N104" s="17" t="s">
        <v>726</v>
      </c>
      <c r="O104" s="17"/>
      <c r="P104" s="18"/>
      <c r="Q104" s="41" t="s">
        <v>582</v>
      </c>
      <c r="R104" s="42">
        <v>39.912941199999999</v>
      </c>
      <c r="S104" s="42">
        <v>-104.79560549999999</v>
      </c>
      <c r="T104" s="22">
        <v>2</v>
      </c>
      <c r="U104" s="22">
        <v>1</v>
      </c>
      <c r="V104" s="22">
        <v>1</v>
      </c>
      <c r="W104" s="22">
        <v>2</v>
      </c>
      <c r="X104" s="22">
        <v>2</v>
      </c>
      <c r="Y104" s="18"/>
      <c r="Z104" s="22">
        <v>5</v>
      </c>
      <c r="AA104" s="22">
        <v>1</v>
      </c>
      <c r="AB104" s="18" t="s">
        <v>221</v>
      </c>
      <c r="AC104" s="22">
        <v>6</v>
      </c>
      <c r="AD104" s="22">
        <v>2</v>
      </c>
      <c r="AE104" s="18" t="s">
        <v>221</v>
      </c>
      <c r="AF104" s="22">
        <v>1</v>
      </c>
      <c r="AG104" s="18"/>
      <c r="AH104" s="22">
        <v>99</v>
      </c>
      <c r="AI104" s="28">
        <v>21</v>
      </c>
      <c r="AJ104" s="18"/>
      <c r="AK104" s="22">
        <v>99</v>
      </c>
      <c r="AL104" s="22">
        <v>99</v>
      </c>
      <c r="AM104" s="22">
        <v>99</v>
      </c>
      <c r="AN104" s="22">
        <v>2</v>
      </c>
      <c r="AO104" s="22">
        <v>99</v>
      </c>
      <c r="AP104" s="22">
        <v>99</v>
      </c>
      <c r="AQ104" s="18" t="s">
        <v>221</v>
      </c>
      <c r="AR104" s="18" t="s">
        <v>221</v>
      </c>
      <c r="AS104" s="18"/>
      <c r="AT104" s="18"/>
      <c r="AU104" s="22">
        <v>3</v>
      </c>
      <c r="AV104" s="22">
        <v>3</v>
      </c>
      <c r="AW104" s="22">
        <v>4</v>
      </c>
      <c r="AX104" s="37">
        <v>4</v>
      </c>
      <c r="AY104" s="22">
        <v>1</v>
      </c>
      <c r="AZ104" s="22">
        <v>1</v>
      </c>
      <c r="BA104" s="38">
        <v>9</v>
      </c>
      <c r="BB104" s="22">
        <v>2</v>
      </c>
      <c r="BC104" s="18"/>
      <c r="BD104" s="18"/>
      <c r="BE104" s="89"/>
      <c r="BF104" s="22">
        <v>0</v>
      </c>
      <c r="BG104" s="22">
        <v>0</v>
      </c>
      <c r="BH104" s="22">
        <v>0</v>
      </c>
      <c r="BI104" s="22">
        <v>2</v>
      </c>
      <c r="BJ104" s="22">
        <v>3</v>
      </c>
    </row>
    <row r="105" spans="1:62" ht="13">
      <c r="A105" s="22" t="s">
        <v>1719</v>
      </c>
      <c r="B105" s="22"/>
      <c r="C105" s="22"/>
      <c r="D105" s="22"/>
      <c r="E105" s="22">
        <v>1</v>
      </c>
      <c r="F105" s="22">
        <v>1</v>
      </c>
      <c r="G105" s="57"/>
      <c r="H105" s="57"/>
      <c r="I105" s="30">
        <v>1955</v>
      </c>
      <c r="J105" s="34">
        <f t="shared" si="0"/>
        <v>20058</v>
      </c>
      <c r="K105" s="35" t="s">
        <v>221</v>
      </c>
      <c r="L105" s="25" t="s">
        <v>883</v>
      </c>
      <c r="M105" s="30">
        <v>99</v>
      </c>
      <c r="N105" s="52"/>
      <c r="O105" s="52"/>
      <c r="P105" s="25" t="s">
        <v>884</v>
      </c>
      <c r="Q105" s="25" t="s">
        <v>912</v>
      </c>
      <c r="R105" s="75">
        <v>44.638672300000003</v>
      </c>
      <c r="S105" s="75">
        <v>-72.724214199999906</v>
      </c>
      <c r="T105" s="22">
        <v>1</v>
      </c>
      <c r="U105" s="22">
        <v>2</v>
      </c>
      <c r="V105" s="18"/>
      <c r="W105" s="22">
        <v>4</v>
      </c>
      <c r="X105" s="22">
        <v>2</v>
      </c>
      <c r="Y105" s="18"/>
      <c r="Z105" s="22">
        <v>5</v>
      </c>
      <c r="AA105" s="22">
        <v>2</v>
      </c>
      <c r="AB105" s="18" t="s">
        <v>221</v>
      </c>
      <c r="AC105" s="22">
        <v>6</v>
      </c>
      <c r="AD105" s="22">
        <v>2</v>
      </c>
      <c r="AE105" s="22" t="s">
        <v>1720</v>
      </c>
      <c r="AF105" s="22">
        <v>1</v>
      </c>
      <c r="AG105" s="18"/>
      <c r="AH105" s="22">
        <v>99</v>
      </c>
      <c r="AI105" s="28">
        <v>11</v>
      </c>
      <c r="AJ105" s="18"/>
      <c r="AK105" s="22">
        <v>99</v>
      </c>
      <c r="AL105" s="22">
        <v>99</v>
      </c>
      <c r="AM105" s="22">
        <v>99</v>
      </c>
      <c r="AN105" s="22">
        <v>1</v>
      </c>
      <c r="AO105" s="22">
        <v>3</v>
      </c>
      <c r="AP105" s="22">
        <v>2</v>
      </c>
      <c r="AQ105" s="18" t="s">
        <v>221</v>
      </c>
      <c r="AR105" s="18" t="s">
        <v>221</v>
      </c>
      <c r="AS105" s="18"/>
      <c r="AT105" s="18"/>
      <c r="AU105" s="22">
        <v>3</v>
      </c>
      <c r="AV105" s="22">
        <v>3</v>
      </c>
      <c r="AW105" s="22">
        <v>4</v>
      </c>
      <c r="AX105" s="37">
        <v>4</v>
      </c>
      <c r="AY105" s="22">
        <v>4</v>
      </c>
      <c r="AZ105" s="22">
        <v>1</v>
      </c>
      <c r="BA105" s="38">
        <v>5</v>
      </c>
      <c r="BB105" s="22">
        <v>1</v>
      </c>
      <c r="BC105" s="22">
        <v>21</v>
      </c>
      <c r="BD105" s="22">
        <v>3</v>
      </c>
      <c r="BE105" s="37">
        <v>1</v>
      </c>
      <c r="BF105" s="22">
        <v>1</v>
      </c>
      <c r="BG105" s="22">
        <v>2</v>
      </c>
      <c r="BH105" s="22">
        <v>3</v>
      </c>
      <c r="BI105" s="22">
        <v>1</v>
      </c>
      <c r="BJ105" s="22">
        <v>99</v>
      </c>
    </row>
    <row r="106" spans="1:62" ht="13">
      <c r="A106" s="22" t="s">
        <v>1721</v>
      </c>
      <c r="B106" s="22"/>
      <c r="C106" s="22"/>
      <c r="D106" s="22"/>
      <c r="E106" s="22">
        <v>3</v>
      </c>
      <c r="F106" s="22">
        <v>2</v>
      </c>
      <c r="G106" s="57"/>
      <c r="H106" s="57"/>
      <c r="I106" s="30">
        <v>1955</v>
      </c>
      <c r="J106" s="34">
        <f t="shared" si="0"/>
        <v>20058</v>
      </c>
      <c r="K106" s="35" t="s">
        <v>221</v>
      </c>
      <c r="L106" s="25" t="s">
        <v>888</v>
      </c>
      <c r="M106" s="30">
        <v>99</v>
      </c>
      <c r="N106" s="52"/>
      <c r="O106" s="52"/>
      <c r="P106" s="25" t="s">
        <v>889</v>
      </c>
      <c r="Q106" s="25" t="s">
        <v>913</v>
      </c>
      <c r="R106" s="25">
        <v>32.630552199999997</v>
      </c>
      <c r="S106" s="25">
        <v>51.299747199999999</v>
      </c>
      <c r="T106" s="22">
        <v>2</v>
      </c>
      <c r="U106" s="22">
        <v>1</v>
      </c>
      <c r="V106" s="18"/>
      <c r="W106" s="22">
        <v>4</v>
      </c>
      <c r="X106" s="22">
        <v>2</v>
      </c>
      <c r="Y106" s="18"/>
      <c r="Z106" s="22">
        <v>5</v>
      </c>
      <c r="AA106" s="22">
        <v>1</v>
      </c>
      <c r="AB106" s="18" t="s">
        <v>221</v>
      </c>
      <c r="AC106" s="22">
        <v>17</v>
      </c>
      <c r="AD106" s="22">
        <v>2</v>
      </c>
      <c r="AE106" s="18" t="s">
        <v>221</v>
      </c>
      <c r="AF106" s="22">
        <v>1</v>
      </c>
      <c r="AG106" s="18"/>
      <c r="AH106" s="22">
        <v>99</v>
      </c>
      <c r="AI106" s="28">
        <v>1</v>
      </c>
      <c r="AJ106" s="18"/>
      <c r="AK106" s="22">
        <v>99</v>
      </c>
      <c r="AL106" s="22">
        <v>99</v>
      </c>
      <c r="AM106" s="22">
        <v>99</v>
      </c>
      <c r="AN106" s="22">
        <v>1</v>
      </c>
      <c r="AO106" s="22">
        <v>99</v>
      </c>
      <c r="AP106" s="22">
        <v>99</v>
      </c>
      <c r="AQ106" s="18" t="s">
        <v>221</v>
      </c>
      <c r="AR106" s="18" t="s">
        <v>221</v>
      </c>
      <c r="AS106" s="18"/>
      <c r="AT106" s="18"/>
      <c r="AU106" s="22">
        <v>3</v>
      </c>
      <c r="AV106" s="22">
        <v>3</v>
      </c>
      <c r="AW106" s="22">
        <v>4</v>
      </c>
      <c r="AX106" s="37">
        <v>4</v>
      </c>
      <c r="AY106" s="22">
        <v>4</v>
      </c>
      <c r="AZ106" s="22">
        <v>2</v>
      </c>
      <c r="BA106" s="38">
        <v>99</v>
      </c>
      <c r="BB106" s="22">
        <v>99</v>
      </c>
      <c r="BC106" s="22">
        <v>99</v>
      </c>
      <c r="BD106" s="22">
        <v>99</v>
      </c>
      <c r="BE106" s="37">
        <v>99</v>
      </c>
      <c r="BF106" s="22">
        <v>0</v>
      </c>
      <c r="BG106" s="22">
        <v>0</v>
      </c>
      <c r="BH106" s="22">
        <v>0</v>
      </c>
      <c r="BI106" s="22">
        <v>6</v>
      </c>
      <c r="BJ106" s="22">
        <v>10</v>
      </c>
    </row>
    <row r="107" spans="1:62" ht="13">
      <c r="A107" s="22" t="s">
        <v>1722</v>
      </c>
      <c r="B107" s="22"/>
      <c r="C107" s="22"/>
      <c r="D107" s="22"/>
      <c r="E107" s="22">
        <v>1</v>
      </c>
      <c r="F107" s="22">
        <v>1</v>
      </c>
      <c r="G107" s="28">
        <v>14</v>
      </c>
      <c r="H107" s="28">
        <v>12</v>
      </c>
      <c r="I107" s="30">
        <v>1954</v>
      </c>
      <c r="J107" s="34">
        <f t="shared" si="0"/>
        <v>20072</v>
      </c>
      <c r="K107" s="39" t="s">
        <v>614</v>
      </c>
      <c r="L107" s="25" t="s">
        <v>890</v>
      </c>
      <c r="M107" s="30">
        <v>1</v>
      </c>
      <c r="N107" s="17" t="s">
        <v>233</v>
      </c>
      <c r="O107" s="17"/>
      <c r="P107" s="25" t="s">
        <v>891</v>
      </c>
      <c r="Q107" s="25" t="s">
        <v>914</v>
      </c>
      <c r="R107" s="25">
        <v>31.877958</v>
      </c>
      <c r="S107" s="25">
        <v>34.739449</v>
      </c>
      <c r="T107" s="22">
        <v>2</v>
      </c>
      <c r="U107" s="22">
        <v>2</v>
      </c>
      <c r="V107" s="22">
        <v>1</v>
      </c>
      <c r="W107" s="22">
        <v>3</v>
      </c>
      <c r="X107" s="22">
        <v>2</v>
      </c>
      <c r="Y107" s="18"/>
      <c r="Z107" s="22">
        <v>5</v>
      </c>
      <c r="AA107" s="22">
        <v>1</v>
      </c>
      <c r="AB107" s="2" t="s">
        <v>1723</v>
      </c>
      <c r="AC107" s="22">
        <v>6</v>
      </c>
      <c r="AD107" s="22">
        <v>2</v>
      </c>
      <c r="AE107" s="18" t="s">
        <v>221</v>
      </c>
      <c r="AF107" s="22">
        <v>99</v>
      </c>
      <c r="AG107" s="18"/>
      <c r="AH107" s="22">
        <v>99</v>
      </c>
      <c r="AI107" s="57"/>
      <c r="AJ107" s="18"/>
      <c r="AK107" s="22">
        <v>99</v>
      </c>
      <c r="AL107" s="22">
        <v>99</v>
      </c>
      <c r="AM107" s="22">
        <v>99</v>
      </c>
      <c r="AN107" s="22">
        <v>99</v>
      </c>
      <c r="AO107" s="22">
        <v>99</v>
      </c>
      <c r="AP107" s="22">
        <v>99</v>
      </c>
      <c r="AQ107" s="18" t="s">
        <v>221</v>
      </c>
      <c r="AR107" s="18" t="s">
        <v>221</v>
      </c>
      <c r="AS107" s="18"/>
      <c r="AT107" s="18"/>
      <c r="AU107" s="22">
        <v>3</v>
      </c>
      <c r="AV107" s="22">
        <v>3</v>
      </c>
      <c r="AW107" s="22">
        <v>4</v>
      </c>
      <c r="AX107" s="37">
        <v>4</v>
      </c>
      <c r="AY107" s="22">
        <v>4</v>
      </c>
      <c r="AZ107" s="22">
        <v>1</v>
      </c>
      <c r="BA107" s="38">
        <v>9</v>
      </c>
      <c r="BB107" s="22">
        <v>2</v>
      </c>
      <c r="BC107" s="18"/>
      <c r="BD107" s="18"/>
      <c r="BE107" s="89"/>
      <c r="BF107" s="22">
        <v>0</v>
      </c>
      <c r="BG107" s="22">
        <v>0</v>
      </c>
      <c r="BH107" s="22">
        <v>0</v>
      </c>
      <c r="BI107" s="22">
        <v>999</v>
      </c>
      <c r="BJ107" s="22">
        <v>8</v>
      </c>
    </row>
    <row r="108" spans="1:62" ht="13">
      <c r="A108" s="22" t="s">
        <v>1724</v>
      </c>
      <c r="B108" s="22"/>
      <c r="C108" s="22"/>
      <c r="D108" s="22"/>
      <c r="E108" s="22">
        <v>1</v>
      </c>
      <c r="F108" s="22">
        <v>1</v>
      </c>
      <c r="G108" s="28">
        <v>3</v>
      </c>
      <c r="H108" s="28">
        <v>1</v>
      </c>
      <c r="I108" s="30">
        <v>1955</v>
      </c>
      <c r="J108" s="34">
        <f t="shared" si="0"/>
        <v>20092</v>
      </c>
      <c r="K108" s="35" t="s">
        <v>221</v>
      </c>
      <c r="L108" s="25" t="s">
        <v>892</v>
      </c>
      <c r="M108" s="30">
        <v>5</v>
      </c>
      <c r="N108" s="17" t="s">
        <v>32</v>
      </c>
      <c r="O108" s="17"/>
      <c r="P108" s="18"/>
      <c r="Q108" s="41" t="s">
        <v>582</v>
      </c>
      <c r="R108" s="42">
        <v>39.912941199999999</v>
      </c>
      <c r="S108" s="42">
        <v>-104.79560549999999</v>
      </c>
      <c r="T108" s="22">
        <v>2</v>
      </c>
      <c r="U108" s="22">
        <v>2</v>
      </c>
      <c r="V108" s="22">
        <v>1</v>
      </c>
      <c r="W108" s="22">
        <v>2</v>
      </c>
      <c r="X108" s="22">
        <v>2</v>
      </c>
      <c r="Y108" s="18"/>
      <c r="Z108" s="22">
        <v>5</v>
      </c>
      <c r="AA108" s="22">
        <v>1</v>
      </c>
      <c r="AB108" s="18" t="s">
        <v>221</v>
      </c>
      <c r="AC108" s="22">
        <v>6</v>
      </c>
      <c r="AD108" s="22">
        <v>2</v>
      </c>
      <c r="AE108" s="18" t="s">
        <v>221</v>
      </c>
      <c r="AF108" s="22">
        <v>99</v>
      </c>
      <c r="AG108" s="18"/>
      <c r="AH108" s="22">
        <v>99</v>
      </c>
      <c r="AI108" s="57"/>
      <c r="AJ108" s="18"/>
      <c r="AK108" s="22">
        <v>99</v>
      </c>
      <c r="AL108" s="22">
        <v>99</v>
      </c>
      <c r="AM108" s="22">
        <v>99</v>
      </c>
      <c r="AN108" s="22">
        <v>1</v>
      </c>
      <c r="AO108" s="22">
        <v>99</v>
      </c>
      <c r="AP108" s="22">
        <v>99</v>
      </c>
      <c r="AQ108" s="22" t="s">
        <v>1725</v>
      </c>
      <c r="AR108" s="2" t="s">
        <v>661</v>
      </c>
      <c r="AS108" s="22">
        <v>5</v>
      </c>
      <c r="AT108" s="22">
        <v>6</v>
      </c>
      <c r="AU108" s="22">
        <v>3</v>
      </c>
      <c r="AV108" s="22">
        <v>3</v>
      </c>
      <c r="AW108" s="22">
        <v>4</v>
      </c>
      <c r="AX108" s="37">
        <v>4</v>
      </c>
      <c r="AY108" s="22">
        <v>4</v>
      </c>
      <c r="AZ108" s="22">
        <v>1</v>
      </c>
      <c r="BA108" s="38">
        <v>8</v>
      </c>
      <c r="BB108" s="22">
        <v>2</v>
      </c>
      <c r="BC108" s="18"/>
      <c r="BD108" s="18"/>
      <c r="BE108" s="89"/>
      <c r="BF108" s="22">
        <v>0</v>
      </c>
      <c r="BG108" s="22">
        <v>2</v>
      </c>
      <c r="BH108" s="22">
        <v>2</v>
      </c>
      <c r="BI108" s="22">
        <v>6</v>
      </c>
      <c r="BJ108" s="22">
        <v>7</v>
      </c>
    </row>
    <row r="109" spans="1:62" ht="13">
      <c r="A109" s="22" t="s">
        <v>1726</v>
      </c>
      <c r="B109" s="22"/>
      <c r="C109" s="22"/>
      <c r="D109" s="22"/>
      <c r="E109" s="22">
        <v>1</v>
      </c>
      <c r="F109" s="22">
        <v>1</v>
      </c>
      <c r="G109" s="28">
        <v>14</v>
      </c>
      <c r="H109" s="28">
        <v>1</v>
      </c>
      <c r="I109" s="30">
        <v>1955</v>
      </c>
      <c r="J109" s="34">
        <f t="shared" si="0"/>
        <v>20103</v>
      </c>
      <c r="K109" s="35" t="s">
        <v>221</v>
      </c>
      <c r="L109" s="25" t="s">
        <v>894</v>
      </c>
      <c r="M109" s="30">
        <v>1</v>
      </c>
      <c r="N109" s="17" t="s">
        <v>233</v>
      </c>
      <c r="O109" s="17"/>
      <c r="P109" s="25" t="s">
        <v>895</v>
      </c>
      <c r="Q109" s="25" t="s">
        <v>917</v>
      </c>
      <c r="R109" s="25">
        <v>50.937531</v>
      </c>
      <c r="S109" s="25">
        <v>6.9602785999999996</v>
      </c>
      <c r="T109" s="22">
        <v>2</v>
      </c>
      <c r="U109" s="22">
        <v>1</v>
      </c>
      <c r="V109" s="22">
        <v>5</v>
      </c>
      <c r="W109" s="22">
        <v>2</v>
      </c>
      <c r="X109" s="22">
        <v>2</v>
      </c>
      <c r="Y109" s="18"/>
      <c r="Z109" s="22">
        <v>5</v>
      </c>
      <c r="AA109" s="22">
        <v>1</v>
      </c>
      <c r="AB109" s="18" t="s">
        <v>221</v>
      </c>
      <c r="AC109" s="22">
        <v>6</v>
      </c>
      <c r="AD109" s="22">
        <v>2</v>
      </c>
      <c r="AE109" s="18" t="s">
        <v>221</v>
      </c>
      <c r="AF109" s="22">
        <v>99</v>
      </c>
      <c r="AG109" s="18"/>
      <c r="AH109" s="22">
        <v>99</v>
      </c>
      <c r="AI109" s="57"/>
      <c r="AJ109" s="18"/>
      <c r="AK109" s="22">
        <v>99</v>
      </c>
      <c r="AL109" s="22">
        <v>99</v>
      </c>
      <c r="AM109" s="22">
        <v>99</v>
      </c>
      <c r="AN109" s="22">
        <v>2</v>
      </c>
      <c r="AO109" s="22">
        <v>99</v>
      </c>
      <c r="AP109" s="22">
        <v>99</v>
      </c>
      <c r="AQ109" s="18" t="s">
        <v>221</v>
      </c>
      <c r="AR109" s="18" t="s">
        <v>221</v>
      </c>
      <c r="AS109" s="18"/>
      <c r="AT109" s="18"/>
      <c r="AU109" s="22">
        <v>3</v>
      </c>
      <c r="AV109" s="22">
        <v>3</v>
      </c>
      <c r="AW109" s="22">
        <v>4</v>
      </c>
      <c r="AX109" s="37">
        <v>4</v>
      </c>
      <c r="AY109" s="22">
        <v>4</v>
      </c>
      <c r="AZ109" s="22">
        <v>2</v>
      </c>
      <c r="BA109" s="38">
        <v>99</v>
      </c>
      <c r="BB109" s="22">
        <v>99</v>
      </c>
      <c r="BC109" s="22">
        <v>99</v>
      </c>
      <c r="BD109" s="22">
        <v>99</v>
      </c>
      <c r="BE109" s="37">
        <v>99</v>
      </c>
      <c r="BF109" s="22">
        <v>0</v>
      </c>
      <c r="BG109" s="22">
        <v>0</v>
      </c>
      <c r="BH109" s="22">
        <v>0</v>
      </c>
      <c r="BI109" s="22">
        <v>999</v>
      </c>
      <c r="BJ109" s="22">
        <v>8</v>
      </c>
    </row>
    <row r="110" spans="1:62" ht="13">
      <c r="A110" s="22" t="s">
        <v>1727</v>
      </c>
      <c r="B110" s="22"/>
      <c r="C110" s="22"/>
      <c r="D110" s="22"/>
      <c r="E110" s="22">
        <v>1</v>
      </c>
      <c r="F110" s="22">
        <v>1</v>
      </c>
      <c r="G110" s="28">
        <v>15</v>
      </c>
      <c r="H110" s="28">
        <v>1</v>
      </c>
      <c r="I110" s="30">
        <v>1955</v>
      </c>
      <c r="J110" s="34">
        <f t="shared" si="0"/>
        <v>20104</v>
      </c>
      <c r="K110" s="35" t="s">
        <v>221</v>
      </c>
      <c r="L110" s="25" t="s">
        <v>896</v>
      </c>
      <c r="M110" s="30">
        <v>1</v>
      </c>
      <c r="N110" s="17" t="s">
        <v>233</v>
      </c>
      <c r="O110" s="17"/>
      <c r="P110" s="25" t="s">
        <v>897</v>
      </c>
      <c r="Q110" s="25" t="s">
        <v>922</v>
      </c>
      <c r="R110" s="25">
        <v>31.335729999999899</v>
      </c>
      <c r="S110" s="25">
        <v>34.394086999999999</v>
      </c>
      <c r="T110" s="22">
        <v>2</v>
      </c>
      <c r="U110" s="22">
        <v>1</v>
      </c>
      <c r="V110" s="22">
        <v>5</v>
      </c>
      <c r="W110" s="22">
        <v>4</v>
      </c>
      <c r="X110" s="22">
        <v>2</v>
      </c>
      <c r="Y110" s="18"/>
      <c r="Z110" s="22">
        <v>5</v>
      </c>
      <c r="AA110" s="22">
        <v>1</v>
      </c>
      <c r="AB110" s="2" t="s">
        <v>1723</v>
      </c>
      <c r="AC110" s="22">
        <v>6</v>
      </c>
      <c r="AD110" s="22">
        <v>2</v>
      </c>
      <c r="AE110" s="18" t="s">
        <v>221</v>
      </c>
      <c r="AF110" s="22">
        <v>99</v>
      </c>
      <c r="AG110" s="18"/>
      <c r="AH110" s="22">
        <v>99</v>
      </c>
      <c r="AI110" s="57"/>
      <c r="AJ110" s="18"/>
      <c r="AK110" s="22">
        <v>99</v>
      </c>
      <c r="AL110" s="22">
        <v>99</v>
      </c>
      <c r="AM110" s="22">
        <v>99</v>
      </c>
      <c r="AN110" s="22">
        <v>99</v>
      </c>
      <c r="AO110" s="22">
        <v>99</v>
      </c>
      <c r="AP110" s="22">
        <v>99</v>
      </c>
      <c r="AQ110" s="18" t="s">
        <v>221</v>
      </c>
      <c r="AR110" s="18" t="s">
        <v>221</v>
      </c>
      <c r="AS110" s="18"/>
      <c r="AT110" s="18"/>
      <c r="AU110" s="22">
        <v>3</v>
      </c>
      <c r="AV110" s="22">
        <v>3</v>
      </c>
      <c r="AW110" s="22">
        <v>4</v>
      </c>
      <c r="AX110" s="37">
        <v>4</v>
      </c>
      <c r="AY110" s="22">
        <v>4</v>
      </c>
      <c r="AZ110" s="22">
        <v>1</v>
      </c>
      <c r="BA110" s="38">
        <v>9</v>
      </c>
      <c r="BB110" s="22">
        <v>2</v>
      </c>
      <c r="BC110" s="22">
        <v>99</v>
      </c>
      <c r="BD110" s="22">
        <v>99</v>
      </c>
      <c r="BE110" s="89"/>
      <c r="BF110" s="22">
        <v>0</v>
      </c>
      <c r="BG110" s="22">
        <v>0</v>
      </c>
      <c r="BH110" s="22">
        <v>0</v>
      </c>
      <c r="BI110" s="22">
        <v>99</v>
      </c>
      <c r="BJ110" s="22">
        <v>8</v>
      </c>
    </row>
    <row r="111" spans="1:62" ht="13">
      <c r="A111" s="22" t="s">
        <v>1728</v>
      </c>
      <c r="B111" s="22"/>
      <c r="C111" s="22"/>
      <c r="D111" s="22"/>
      <c r="E111" s="22">
        <v>1</v>
      </c>
      <c r="F111" s="22">
        <v>1</v>
      </c>
      <c r="G111" s="28">
        <v>18</v>
      </c>
      <c r="H111" s="28">
        <v>1</v>
      </c>
      <c r="I111" s="30">
        <v>1955</v>
      </c>
      <c r="J111" s="34">
        <f t="shared" si="0"/>
        <v>20107</v>
      </c>
      <c r="K111" s="11" t="s">
        <v>690</v>
      </c>
      <c r="L111" s="25" t="s">
        <v>898</v>
      </c>
      <c r="M111" s="30">
        <v>3</v>
      </c>
      <c r="N111" s="17" t="s">
        <v>552</v>
      </c>
      <c r="O111" s="17"/>
      <c r="P111" s="25" t="s">
        <v>900</v>
      </c>
      <c r="Q111" s="25" t="s">
        <v>930</v>
      </c>
      <c r="R111" s="105"/>
      <c r="S111" s="105"/>
      <c r="T111" s="22">
        <v>2</v>
      </c>
      <c r="U111" s="22">
        <v>1</v>
      </c>
      <c r="V111" s="18"/>
      <c r="W111" s="22">
        <v>3</v>
      </c>
      <c r="X111" s="22">
        <v>2</v>
      </c>
      <c r="Y111" s="18"/>
      <c r="Z111" s="22">
        <v>5</v>
      </c>
      <c r="AA111" s="22">
        <v>1</v>
      </c>
      <c r="AB111" s="18" t="s">
        <v>221</v>
      </c>
      <c r="AC111" s="22">
        <v>11</v>
      </c>
      <c r="AD111" s="22">
        <v>2</v>
      </c>
      <c r="AE111" s="18" t="s">
        <v>221</v>
      </c>
      <c r="AF111" s="22">
        <v>1</v>
      </c>
      <c r="AG111" s="18"/>
      <c r="AH111" s="22">
        <v>99</v>
      </c>
      <c r="AI111" s="57"/>
      <c r="AJ111" s="18"/>
      <c r="AK111" s="22">
        <v>99</v>
      </c>
      <c r="AL111" s="22">
        <v>99</v>
      </c>
      <c r="AM111" s="22">
        <v>99</v>
      </c>
      <c r="AN111" s="22">
        <v>1</v>
      </c>
      <c r="AO111" s="22">
        <v>6</v>
      </c>
      <c r="AP111" s="22">
        <v>99</v>
      </c>
      <c r="AQ111" s="22" t="s">
        <v>1729</v>
      </c>
      <c r="AR111" s="2" t="s">
        <v>750</v>
      </c>
      <c r="AS111" s="22">
        <v>14</v>
      </c>
      <c r="AT111" s="22">
        <v>6</v>
      </c>
      <c r="AU111" s="22">
        <v>3</v>
      </c>
      <c r="AV111" s="22">
        <v>3</v>
      </c>
      <c r="AW111" s="22">
        <v>4</v>
      </c>
      <c r="AX111" s="37">
        <v>4</v>
      </c>
      <c r="AY111" s="22">
        <v>4</v>
      </c>
      <c r="AZ111" s="22">
        <v>1</v>
      </c>
      <c r="BA111" s="38">
        <v>9</v>
      </c>
      <c r="BB111" s="22">
        <v>2</v>
      </c>
      <c r="BC111" s="18"/>
      <c r="BD111" s="18"/>
      <c r="BE111" s="89"/>
      <c r="BF111" s="22">
        <v>1</v>
      </c>
      <c r="BG111" s="22">
        <v>1</v>
      </c>
      <c r="BH111" s="22">
        <v>2</v>
      </c>
      <c r="BI111" s="22">
        <v>5</v>
      </c>
      <c r="BJ111" s="22">
        <v>8</v>
      </c>
    </row>
    <row r="112" spans="1:62" ht="13">
      <c r="A112" s="22" t="s">
        <v>1730</v>
      </c>
      <c r="B112" s="22"/>
      <c r="C112" s="22"/>
      <c r="D112" s="22"/>
      <c r="E112" s="22">
        <v>2</v>
      </c>
      <c r="F112" s="22">
        <v>2</v>
      </c>
      <c r="G112" s="28">
        <v>18</v>
      </c>
      <c r="H112" s="28">
        <v>1</v>
      </c>
      <c r="I112" s="30">
        <v>1955</v>
      </c>
      <c r="J112" s="34">
        <f t="shared" si="0"/>
        <v>20107</v>
      </c>
      <c r="K112" s="11" t="s">
        <v>1464</v>
      </c>
      <c r="L112" s="25" t="s">
        <v>902</v>
      </c>
      <c r="M112" s="30">
        <v>5</v>
      </c>
      <c r="N112" s="17" t="s">
        <v>32</v>
      </c>
      <c r="O112" s="17"/>
      <c r="P112" s="25" t="s">
        <v>32</v>
      </c>
      <c r="Q112" s="25" t="s">
        <v>346</v>
      </c>
      <c r="R112" s="25">
        <v>31.768319000000002</v>
      </c>
      <c r="S112" s="25">
        <v>35.213709999999999</v>
      </c>
      <c r="T112" s="22">
        <v>2</v>
      </c>
      <c r="U112" s="22">
        <v>2</v>
      </c>
      <c r="V112" s="22">
        <v>4</v>
      </c>
      <c r="W112" s="22">
        <v>2</v>
      </c>
      <c r="X112" s="22">
        <v>2</v>
      </c>
      <c r="Y112" s="18"/>
      <c r="Z112" s="22">
        <v>5</v>
      </c>
      <c r="AA112" s="22">
        <v>1</v>
      </c>
      <c r="AB112" s="18" t="s">
        <v>221</v>
      </c>
      <c r="AC112" s="22">
        <v>6</v>
      </c>
      <c r="AD112" s="22">
        <v>2</v>
      </c>
      <c r="AE112" s="18" t="s">
        <v>221</v>
      </c>
      <c r="AF112" s="22">
        <v>99</v>
      </c>
      <c r="AG112" s="18"/>
      <c r="AH112" s="22">
        <v>99</v>
      </c>
      <c r="AI112" s="57"/>
      <c r="AJ112" s="18"/>
      <c r="AK112" s="22">
        <v>99</v>
      </c>
      <c r="AL112" s="22">
        <v>99</v>
      </c>
      <c r="AM112" s="22">
        <v>99</v>
      </c>
      <c r="AN112" s="22">
        <v>2</v>
      </c>
      <c r="AO112" s="22">
        <v>99</v>
      </c>
      <c r="AP112" s="22">
        <v>99</v>
      </c>
      <c r="AQ112" s="18" t="s">
        <v>221</v>
      </c>
      <c r="AR112" s="18" t="s">
        <v>221</v>
      </c>
      <c r="AS112" s="22">
        <v>3</v>
      </c>
      <c r="AT112" s="22">
        <v>1</v>
      </c>
      <c r="AU112" s="22">
        <v>3</v>
      </c>
      <c r="AV112" s="22">
        <v>3</v>
      </c>
      <c r="AW112" s="22">
        <v>4</v>
      </c>
      <c r="AX112" s="37">
        <v>4</v>
      </c>
      <c r="AY112" s="22">
        <v>4</v>
      </c>
      <c r="AZ112" s="22">
        <v>1</v>
      </c>
      <c r="BA112" s="38">
        <v>9</v>
      </c>
      <c r="BB112" s="22">
        <v>2</v>
      </c>
      <c r="BC112" s="18"/>
      <c r="BD112" s="18"/>
      <c r="BE112" s="89"/>
      <c r="BF112" s="22">
        <v>0</v>
      </c>
      <c r="BG112" s="22">
        <v>0</v>
      </c>
      <c r="BH112" s="22">
        <v>0</v>
      </c>
      <c r="BI112" s="22">
        <v>999</v>
      </c>
      <c r="BJ112" s="22">
        <v>8</v>
      </c>
    </row>
    <row r="113" spans="1:62" ht="13">
      <c r="A113" s="22" t="s">
        <v>1731</v>
      </c>
      <c r="B113" s="22"/>
      <c r="C113" s="22"/>
      <c r="D113" s="22"/>
      <c r="E113" s="22">
        <v>2</v>
      </c>
      <c r="F113" s="22">
        <v>2</v>
      </c>
      <c r="G113" s="28">
        <v>25</v>
      </c>
      <c r="H113" s="28">
        <v>1</v>
      </c>
      <c r="I113" s="30">
        <v>1955</v>
      </c>
      <c r="J113" s="34">
        <f t="shared" si="0"/>
        <v>20114</v>
      </c>
      <c r="K113" s="11" t="s">
        <v>1294</v>
      </c>
      <c r="L113" s="25" t="s">
        <v>907</v>
      </c>
      <c r="M113" s="30">
        <v>14</v>
      </c>
      <c r="N113" s="52"/>
      <c r="O113" s="52"/>
      <c r="P113" s="18"/>
      <c r="Q113" s="41" t="s">
        <v>582</v>
      </c>
      <c r="R113" s="42">
        <v>39.912941199999999</v>
      </c>
      <c r="S113" s="42">
        <v>-104.79560549999999</v>
      </c>
      <c r="T113" s="22">
        <v>2</v>
      </c>
      <c r="U113" s="22">
        <v>2</v>
      </c>
      <c r="V113" s="22">
        <v>1</v>
      </c>
      <c r="W113" s="22">
        <v>99</v>
      </c>
      <c r="X113" s="22">
        <v>2</v>
      </c>
      <c r="Y113" s="18"/>
      <c r="Z113" s="22">
        <v>5</v>
      </c>
      <c r="AA113" s="22">
        <v>1</v>
      </c>
      <c r="AB113" s="2" t="s">
        <v>690</v>
      </c>
      <c r="AC113" s="22">
        <v>6</v>
      </c>
      <c r="AD113" s="22">
        <v>2</v>
      </c>
      <c r="AE113" s="18" t="s">
        <v>221</v>
      </c>
      <c r="AF113" s="22">
        <v>99</v>
      </c>
      <c r="AG113" s="18"/>
      <c r="AH113" s="22">
        <v>99</v>
      </c>
      <c r="AI113" s="57"/>
      <c r="AJ113" s="18"/>
      <c r="AK113" s="22">
        <v>99</v>
      </c>
      <c r="AL113" s="22">
        <v>99</v>
      </c>
      <c r="AM113" s="22">
        <v>99</v>
      </c>
      <c r="AN113" s="22">
        <v>99</v>
      </c>
      <c r="AO113" s="22">
        <v>99</v>
      </c>
      <c r="AP113" s="22">
        <v>99</v>
      </c>
      <c r="AQ113" s="18" t="s">
        <v>221</v>
      </c>
      <c r="AR113" s="18" t="s">
        <v>221</v>
      </c>
      <c r="AS113" s="18"/>
      <c r="AT113" s="18"/>
      <c r="AU113" s="22">
        <v>3</v>
      </c>
      <c r="AV113" s="22">
        <v>3</v>
      </c>
      <c r="AW113" s="22">
        <v>4</v>
      </c>
      <c r="AX113" s="37">
        <v>4</v>
      </c>
      <c r="AY113" s="22">
        <v>4</v>
      </c>
      <c r="AZ113" s="22">
        <v>1</v>
      </c>
      <c r="BA113" s="38">
        <v>9</v>
      </c>
      <c r="BB113" s="22">
        <v>2</v>
      </c>
      <c r="BC113" s="18"/>
      <c r="BD113" s="18"/>
      <c r="BE113" s="89"/>
      <c r="BF113" s="22">
        <v>0</v>
      </c>
      <c r="BG113" s="22">
        <v>0</v>
      </c>
      <c r="BH113" s="22">
        <v>0</v>
      </c>
      <c r="BI113" s="22">
        <v>999</v>
      </c>
      <c r="BJ113" s="22">
        <v>8</v>
      </c>
    </row>
    <row r="114" spans="1:62" ht="13">
      <c r="A114" s="22" t="s">
        <v>1732</v>
      </c>
      <c r="B114" s="22"/>
      <c r="C114" s="22"/>
      <c r="D114" s="22"/>
      <c r="E114" s="22">
        <v>1</v>
      </c>
      <c r="F114" s="22">
        <v>1</v>
      </c>
      <c r="G114" s="28">
        <v>30</v>
      </c>
      <c r="H114" s="28">
        <v>1</v>
      </c>
      <c r="I114" s="30">
        <v>1955</v>
      </c>
      <c r="J114" s="34">
        <f t="shared" si="0"/>
        <v>20119</v>
      </c>
      <c r="K114" s="11" t="s">
        <v>1733</v>
      </c>
      <c r="L114" s="25" t="s">
        <v>910</v>
      </c>
      <c r="M114" s="30">
        <v>3</v>
      </c>
      <c r="N114" s="17" t="s">
        <v>552</v>
      </c>
      <c r="O114" s="17"/>
      <c r="P114" s="25" t="s">
        <v>900</v>
      </c>
      <c r="Q114" s="25" t="s">
        <v>930</v>
      </c>
      <c r="R114" s="105"/>
      <c r="S114" s="105"/>
      <c r="T114" s="22">
        <v>21</v>
      </c>
      <c r="U114" s="18"/>
      <c r="V114" s="18"/>
      <c r="W114" s="22">
        <v>2</v>
      </c>
      <c r="X114" s="18"/>
      <c r="Y114" s="18"/>
      <c r="Z114" s="22">
        <v>5</v>
      </c>
      <c r="AA114" s="22">
        <v>1</v>
      </c>
      <c r="AB114" s="18" t="s">
        <v>221</v>
      </c>
      <c r="AC114" s="22">
        <v>6</v>
      </c>
      <c r="AD114" s="22">
        <v>2</v>
      </c>
      <c r="AE114" s="18" t="s">
        <v>221</v>
      </c>
      <c r="AF114" s="22">
        <v>99</v>
      </c>
      <c r="AG114" s="18"/>
      <c r="AH114" s="22">
        <v>99</v>
      </c>
      <c r="AI114" s="57"/>
      <c r="AJ114" s="18"/>
      <c r="AK114" s="22">
        <v>99</v>
      </c>
      <c r="AL114" s="22">
        <v>99</v>
      </c>
      <c r="AM114" s="22">
        <v>99</v>
      </c>
      <c r="AN114" s="22">
        <v>99</v>
      </c>
      <c r="AO114" s="22">
        <v>99</v>
      </c>
      <c r="AP114" s="22">
        <v>99</v>
      </c>
      <c r="AQ114" s="18" t="s">
        <v>221</v>
      </c>
      <c r="AR114" s="18" t="s">
        <v>221</v>
      </c>
      <c r="AS114" s="18"/>
      <c r="AT114" s="18"/>
      <c r="AU114" s="22">
        <v>3</v>
      </c>
      <c r="AV114" s="22">
        <v>3</v>
      </c>
      <c r="AW114" s="22">
        <v>4</v>
      </c>
      <c r="AX114" s="37">
        <v>4</v>
      </c>
      <c r="AY114" s="22">
        <v>4</v>
      </c>
      <c r="AZ114" s="22">
        <v>1</v>
      </c>
      <c r="BA114" s="38">
        <v>9</v>
      </c>
      <c r="BB114" s="22">
        <v>2</v>
      </c>
      <c r="BC114" s="18"/>
      <c r="BD114" s="18"/>
      <c r="BE114" s="89"/>
      <c r="BF114" s="22">
        <v>0</v>
      </c>
      <c r="BG114" s="22">
        <v>0</v>
      </c>
      <c r="BH114" s="22">
        <v>0</v>
      </c>
      <c r="BI114" s="22">
        <v>999</v>
      </c>
      <c r="BJ114" s="22">
        <v>8</v>
      </c>
    </row>
    <row r="115" spans="1:62" ht="13">
      <c r="A115" s="22" t="s">
        <v>1734</v>
      </c>
      <c r="B115" s="22"/>
      <c r="C115" s="22"/>
      <c r="D115" s="22"/>
      <c r="E115" s="22">
        <v>2</v>
      </c>
      <c r="F115" s="22">
        <v>1</v>
      </c>
      <c r="G115" s="28">
        <v>1</v>
      </c>
      <c r="H115" s="28">
        <v>2</v>
      </c>
      <c r="I115" s="30">
        <v>1955</v>
      </c>
      <c r="J115" s="34">
        <f t="shared" si="0"/>
        <v>20121</v>
      </c>
      <c r="K115" s="39" t="s">
        <v>614</v>
      </c>
      <c r="L115" s="25" t="s">
        <v>915</v>
      </c>
      <c r="M115" s="30">
        <v>1</v>
      </c>
      <c r="N115" s="17" t="s">
        <v>233</v>
      </c>
      <c r="O115" s="17"/>
      <c r="P115" s="25" t="s">
        <v>916</v>
      </c>
      <c r="Q115" s="25" t="s">
        <v>941</v>
      </c>
      <c r="R115" s="25">
        <v>31.938992200000001</v>
      </c>
      <c r="S115" s="25">
        <v>34.834816400000001</v>
      </c>
      <c r="T115" s="22">
        <v>2</v>
      </c>
      <c r="U115" s="22">
        <v>99</v>
      </c>
      <c r="V115" s="22">
        <v>1</v>
      </c>
      <c r="W115" s="22">
        <v>3</v>
      </c>
      <c r="X115" s="22">
        <v>2</v>
      </c>
      <c r="Y115" s="18"/>
      <c r="Z115" s="22">
        <v>5</v>
      </c>
      <c r="AA115" s="22">
        <v>1</v>
      </c>
      <c r="AB115" s="2" t="s">
        <v>1735</v>
      </c>
      <c r="AC115" s="22">
        <v>6</v>
      </c>
      <c r="AD115" s="22">
        <v>2</v>
      </c>
      <c r="AE115" s="18" t="s">
        <v>221</v>
      </c>
      <c r="AF115" s="22">
        <v>99</v>
      </c>
      <c r="AG115" s="18"/>
      <c r="AH115" s="22">
        <v>99</v>
      </c>
      <c r="AI115" s="57"/>
      <c r="AJ115" s="18"/>
      <c r="AK115" s="22">
        <v>99</v>
      </c>
      <c r="AL115" s="22">
        <v>99</v>
      </c>
      <c r="AM115" s="22">
        <v>99</v>
      </c>
      <c r="AN115" s="22">
        <v>99</v>
      </c>
      <c r="AO115" s="22">
        <v>99</v>
      </c>
      <c r="AP115" s="22">
        <v>99</v>
      </c>
      <c r="AQ115" s="18" t="s">
        <v>221</v>
      </c>
      <c r="AR115" s="18" t="s">
        <v>221</v>
      </c>
      <c r="AS115" s="18"/>
      <c r="AT115" s="18"/>
      <c r="AU115" s="22">
        <v>3</v>
      </c>
      <c r="AV115" s="22">
        <v>3</v>
      </c>
      <c r="AW115" s="22">
        <v>4</v>
      </c>
      <c r="AX115" s="37">
        <v>4</v>
      </c>
      <c r="AY115" s="22">
        <v>4</v>
      </c>
      <c r="AZ115" s="22">
        <v>1</v>
      </c>
      <c r="BA115" s="38">
        <v>9</v>
      </c>
      <c r="BB115" s="22">
        <v>2</v>
      </c>
      <c r="BC115" s="18"/>
      <c r="BD115" s="18"/>
      <c r="BE115" s="89"/>
      <c r="BF115" s="22">
        <v>0</v>
      </c>
      <c r="BG115" s="22">
        <v>0</v>
      </c>
      <c r="BH115" s="22">
        <v>0</v>
      </c>
      <c r="BI115" s="22">
        <v>999</v>
      </c>
      <c r="BJ115" s="22">
        <v>9</v>
      </c>
    </row>
    <row r="116" spans="1:62" ht="13">
      <c r="A116" s="22" t="s">
        <v>1736</v>
      </c>
      <c r="B116" s="22"/>
      <c r="C116" s="22"/>
      <c r="D116" s="22"/>
      <c r="E116" s="22">
        <v>2</v>
      </c>
      <c r="F116" s="22">
        <v>1</v>
      </c>
      <c r="G116" s="28">
        <v>2</v>
      </c>
      <c r="H116" s="28">
        <v>2</v>
      </c>
      <c r="I116" s="30">
        <v>1955</v>
      </c>
      <c r="J116" s="34">
        <f t="shared" si="0"/>
        <v>20122</v>
      </c>
      <c r="K116" s="39" t="s">
        <v>614</v>
      </c>
      <c r="L116" s="25" t="s">
        <v>918</v>
      </c>
      <c r="M116" s="30">
        <v>1</v>
      </c>
      <c r="N116" s="17" t="s">
        <v>233</v>
      </c>
      <c r="O116" s="17"/>
      <c r="P116" s="25" t="s">
        <v>919</v>
      </c>
      <c r="Q116" s="25" t="s">
        <v>947</v>
      </c>
      <c r="R116" s="25">
        <v>33.207932999999997</v>
      </c>
      <c r="S116" s="25">
        <v>35.570245999999997</v>
      </c>
      <c r="T116" s="22">
        <v>2</v>
      </c>
      <c r="U116" s="22">
        <v>1</v>
      </c>
      <c r="V116" s="22">
        <v>1</v>
      </c>
      <c r="W116" s="22">
        <v>3</v>
      </c>
      <c r="X116" s="22">
        <v>2</v>
      </c>
      <c r="Y116" s="18"/>
      <c r="Z116" s="22">
        <v>5</v>
      </c>
      <c r="AA116" s="22">
        <v>1</v>
      </c>
      <c r="AB116" s="18" t="s">
        <v>221</v>
      </c>
      <c r="AC116" s="22">
        <v>6</v>
      </c>
      <c r="AD116" s="22">
        <v>2</v>
      </c>
      <c r="AE116" s="18" t="s">
        <v>221</v>
      </c>
      <c r="AF116" s="22">
        <v>99</v>
      </c>
      <c r="AG116" s="18"/>
      <c r="AH116" s="22">
        <v>99</v>
      </c>
      <c r="AI116" s="57"/>
      <c r="AJ116" s="18"/>
      <c r="AK116" s="22">
        <v>99</v>
      </c>
      <c r="AL116" s="22">
        <v>99</v>
      </c>
      <c r="AM116" s="22">
        <v>99</v>
      </c>
      <c r="AN116" s="22">
        <v>99</v>
      </c>
      <c r="AO116" s="22">
        <v>99</v>
      </c>
      <c r="AP116" s="22">
        <v>99</v>
      </c>
      <c r="AQ116" s="18" t="s">
        <v>221</v>
      </c>
      <c r="AR116" s="18" t="s">
        <v>221</v>
      </c>
      <c r="AS116" s="18"/>
      <c r="AT116" s="18"/>
      <c r="AU116" s="22">
        <v>3</v>
      </c>
      <c r="AV116" s="22">
        <v>3</v>
      </c>
      <c r="AW116" s="22">
        <v>4</v>
      </c>
      <c r="AX116" s="37">
        <v>4</v>
      </c>
      <c r="AY116" s="22">
        <v>4</v>
      </c>
      <c r="AZ116" s="22">
        <v>1</v>
      </c>
      <c r="BA116" s="38">
        <v>9</v>
      </c>
      <c r="BB116" s="22">
        <v>2</v>
      </c>
      <c r="BC116" s="18"/>
      <c r="BD116" s="18"/>
      <c r="BE116" s="89"/>
      <c r="BF116" s="22">
        <v>0</v>
      </c>
      <c r="BG116" s="22">
        <v>0</v>
      </c>
      <c r="BH116" s="22">
        <v>0</v>
      </c>
      <c r="BI116" s="22">
        <v>999</v>
      </c>
      <c r="BJ116" s="22">
        <v>8</v>
      </c>
    </row>
    <row r="117" spans="1:62" ht="13">
      <c r="A117" s="22" t="s">
        <v>1737</v>
      </c>
      <c r="B117" s="22"/>
      <c r="C117" s="22"/>
      <c r="D117" s="22"/>
      <c r="E117" s="22">
        <v>1</v>
      </c>
      <c r="F117" s="22">
        <v>1</v>
      </c>
      <c r="G117" s="28">
        <v>2</v>
      </c>
      <c r="H117" s="28">
        <v>2</v>
      </c>
      <c r="I117" s="30">
        <v>1955</v>
      </c>
      <c r="J117" s="34">
        <f t="shared" si="0"/>
        <v>20122</v>
      </c>
      <c r="K117" s="39" t="s">
        <v>1738</v>
      </c>
      <c r="L117" s="25" t="s">
        <v>920</v>
      </c>
      <c r="M117" s="30">
        <v>14</v>
      </c>
      <c r="N117" s="52"/>
      <c r="O117" s="52"/>
      <c r="P117" s="18"/>
      <c r="Q117" s="41" t="s">
        <v>582</v>
      </c>
      <c r="R117" s="42">
        <v>39.912941199999999</v>
      </c>
      <c r="S117" s="42">
        <v>-104.79560549999999</v>
      </c>
      <c r="T117" s="22">
        <v>2</v>
      </c>
      <c r="U117" s="22">
        <v>2</v>
      </c>
      <c r="V117" s="22">
        <v>1</v>
      </c>
      <c r="W117" s="22">
        <v>3</v>
      </c>
      <c r="X117" s="22">
        <v>2</v>
      </c>
      <c r="Y117" s="18"/>
      <c r="Z117" s="22">
        <v>5</v>
      </c>
      <c r="AA117" s="22">
        <v>2</v>
      </c>
      <c r="AB117" s="18" t="s">
        <v>221</v>
      </c>
      <c r="AC117" s="22">
        <v>6</v>
      </c>
      <c r="AD117" s="22">
        <v>2</v>
      </c>
      <c r="AE117" s="18" t="s">
        <v>221</v>
      </c>
      <c r="AF117" s="22">
        <v>99</v>
      </c>
      <c r="AG117" s="18"/>
      <c r="AH117" s="22">
        <v>1</v>
      </c>
      <c r="AI117" s="57"/>
      <c r="AJ117" s="18"/>
      <c r="AK117" s="22">
        <v>99</v>
      </c>
      <c r="AL117" s="22">
        <v>99</v>
      </c>
      <c r="AM117" s="22">
        <v>99</v>
      </c>
      <c r="AN117" s="22">
        <v>99</v>
      </c>
      <c r="AO117" s="22">
        <v>99</v>
      </c>
      <c r="AP117" s="22">
        <v>99</v>
      </c>
      <c r="AQ117" s="18" t="s">
        <v>221</v>
      </c>
      <c r="AR117" s="18" t="s">
        <v>221</v>
      </c>
      <c r="AS117" s="18"/>
      <c r="AT117" s="18"/>
      <c r="AU117" s="22">
        <v>3</v>
      </c>
      <c r="AV117" s="22">
        <v>3</v>
      </c>
      <c r="AW117" s="22">
        <v>4</v>
      </c>
      <c r="AX117" s="37">
        <v>4</v>
      </c>
      <c r="AY117" s="22">
        <v>4</v>
      </c>
      <c r="AZ117" s="22">
        <v>2</v>
      </c>
      <c r="BA117" s="38">
        <v>99</v>
      </c>
      <c r="BB117" s="22">
        <v>99</v>
      </c>
      <c r="BC117" s="22">
        <v>99</v>
      </c>
      <c r="BD117" s="22">
        <v>99</v>
      </c>
      <c r="BE117" s="37">
        <v>99</v>
      </c>
      <c r="BF117" s="22">
        <v>0</v>
      </c>
      <c r="BG117" s="22">
        <v>0</v>
      </c>
      <c r="BH117" s="22">
        <v>0</v>
      </c>
      <c r="BI117" s="22">
        <v>999</v>
      </c>
      <c r="BJ117" s="22">
        <v>7</v>
      </c>
    </row>
    <row r="118" spans="1:62" ht="13">
      <c r="A118" s="22" t="s">
        <v>1739</v>
      </c>
      <c r="B118" s="22"/>
      <c r="C118" s="22"/>
      <c r="D118" s="22"/>
      <c r="E118" s="22">
        <v>1</v>
      </c>
      <c r="F118" s="22">
        <v>1</v>
      </c>
      <c r="G118" s="28">
        <v>4</v>
      </c>
      <c r="H118" s="28">
        <v>2</v>
      </c>
      <c r="I118" s="30">
        <v>1955</v>
      </c>
      <c r="J118" s="34">
        <f t="shared" si="0"/>
        <v>20124</v>
      </c>
      <c r="K118" s="39" t="s">
        <v>1738</v>
      </c>
      <c r="L118" s="25" t="s">
        <v>925</v>
      </c>
      <c r="M118" s="30">
        <v>1</v>
      </c>
      <c r="N118" s="17" t="s">
        <v>233</v>
      </c>
      <c r="O118" s="17"/>
      <c r="P118" s="25" t="s">
        <v>926</v>
      </c>
      <c r="Q118" s="25" t="s">
        <v>954</v>
      </c>
      <c r="R118" s="75">
        <v>52.054356400000003</v>
      </c>
      <c r="S118" s="75">
        <v>31.5858952</v>
      </c>
      <c r="T118" s="22">
        <v>2</v>
      </c>
      <c r="U118" s="22">
        <v>2</v>
      </c>
      <c r="V118" s="22">
        <v>1</v>
      </c>
      <c r="W118" s="22">
        <v>2</v>
      </c>
      <c r="X118" s="22">
        <v>2</v>
      </c>
      <c r="Y118" s="18"/>
      <c r="Z118" s="22">
        <v>2</v>
      </c>
      <c r="AA118" s="22">
        <v>2</v>
      </c>
      <c r="AB118" s="18" t="s">
        <v>221</v>
      </c>
      <c r="AC118" s="22">
        <v>6</v>
      </c>
      <c r="AD118" s="22">
        <v>2</v>
      </c>
      <c r="AE118" s="18" t="s">
        <v>221</v>
      </c>
      <c r="AF118" s="22">
        <v>99</v>
      </c>
      <c r="AG118" s="18"/>
      <c r="AH118" s="22">
        <v>99</v>
      </c>
      <c r="AI118" s="57"/>
      <c r="AJ118" s="18"/>
      <c r="AK118" s="22">
        <v>99</v>
      </c>
      <c r="AL118" s="22">
        <v>99</v>
      </c>
      <c r="AM118" s="22">
        <v>99</v>
      </c>
      <c r="AN118" s="22">
        <v>99</v>
      </c>
      <c r="AO118" s="22">
        <v>99</v>
      </c>
      <c r="AP118" s="22">
        <v>99</v>
      </c>
      <c r="AQ118" s="18" t="s">
        <v>221</v>
      </c>
      <c r="AR118" s="18" t="s">
        <v>221</v>
      </c>
      <c r="AS118" s="18"/>
      <c r="AT118" s="18"/>
      <c r="AU118" s="22">
        <v>3</v>
      </c>
      <c r="AV118" s="22">
        <v>3</v>
      </c>
      <c r="AW118" s="22">
        <v>4</v>
      </c>
      <c r="AX118" s="37">
        <v>4</v>
      </c>
      <c r="AY118" s="22">
        <v>4</v>
      </c>
      <c r="AZ118" s="22">
        <v>1</v>
      </c>
      <c r="BA118" s="38">
        <v>9</v>
      </c>
      <c r="BB118" s="22">
        <v>2</v>
      </c>
      <c r="BC118" s="18"/>
      <c r="BD118" s="18"/>
      <c r="BE118" s="89"/>
      <c r="BF118" s="22">
        <v>0</v>
      </c>
      <c r="BG118" s="22">
        <v>0</v>
      </c>
      <c r="BH118" s="22">
        <v>0</v>
      </c>
      <c r="BI118" s="22">
        <v>999</v>
      </c>
      <c r="BJ118" s="22">
        <v>9</v>
      </c>
    </row>
    <row r="119" spans="1:62" ht="13">
      <c r="A119" s="22" t="s">
        <v>1740</v>
      </c>
      <c r="B119" s="22"/>
      <c r="C119" s="22"/>
      <c r="D119" s="22"/>
      <c r="E119" s="22">
        <v>1</v>
      </c>
      <c r="F119" s="22">
        <v>1</v>
      </c>
      <c r="G119" s="28">
        <v>8</v>
      </c>
      <c r="H119" s="28">
        <v>2</v>
      </c>
      <c r="I119" s="30">
        <v>1955</v>
      </c>
      <c r="J119" s="34">
        <f t="shared" si="0"/>
        <v>20128</v>
      </c>
      <c r="K119" s="35" t="s">
        <v>221</v>
      </c>
      <c r="L119" s="25" t="s">
        <v>927</v>
      </c>
      <c r="M119" s="30">
        <v>5</v>
      </c>
      <c r="N119" s="17" t="s">
        <v>32</v>
      </c>
      <c r="O119" s="17"/>
      <c r="P119" s="25" t="s">
        <v>928</v>
      </c>
      <c r="Q119" s="25" t="s">
        <v>960</v>
      </c>
      <c r="R119" s="25">
        <v>32.178195000000002</v>
      </c>
      <c r="S119" s="25">
        <v>34.907609999999998</v>
      </c>
      <c r="T119" s="22">
        <v>2</v>
      </c>
      <c r="U119" s="22">
        <v>2</v>
      </c>
      <c r="V119" s="22">
        <v>4</v>
      </c>
      <c r="W119" s="22">
        <v>3</v>
      </c>
      <c r="X119" s="22">
        <v>2</v>
      </c>
      <c r="Y119" s="18"/>
      <c r="Z119" s="22">
        <v>1</v>
      </c>
      <c r="AA119" s="22">
        <v>1</v>
      </c>
      <c r="AB119" s="18" t="s">
        <v>221</v>
      </c>
      <c r="AC119" s="22">
        <v>6</v>
      </c>
      <c r="AD119" s="22">
        <v>2</v>
      </c>
      <c r="AE119" s="18" t="s">
        <v>221</v>
      </c>
      <c r="AF119" s="22">
        <v>99</v>
      </c>
      <c r="AG119" s="18"/>
      <c r="AH119" s="22">
        <v>99</v>
      </c>
      <c r="AI119" s="57"/>
      <c r="AJ119" s="18"/>
      <c r="AK119" s="22">
        <v>99</v>
      </c>
      <c r="AL119" s="22">
        <v>99</v>
      </c>
      <c r="AM119" s="22">
        <v>99</v>
      </c>
      <c r="AN119" s="22">
        <v>99</v>
      </c>
      <c r="AO119" s="22">
        <v>99</v>
      </c>
      <c r="AP119" s="22">
        <v>99</v>
      </c>
      <c r="AQ119" s="18" t="s">
        <v>221</v>
      </c>
      <c r="AR119" s="18" t="s">
        <v>221</v>
      </c>
      <c r="AS119" s="18"/>
      <c r="AT119" s="18"/>
      <c r="AU119" s="22">
        <v>3</v>
      </c>
      <c r="AV119" s="22">
        <v>3</v>
      </c>
      <c r="AW119" s="22">
        <v>4</v>
      </c>
      <c r="AX119" s="37">
        <v>4</v>
      </c>
      <c r="AY119" s="22">
        <v>4</v>
      </c>
      <c r="AZ119" s="22">
        <v>2</v>
      </c>
      <c r="BA119" s="38">
        <v>99</v>
      </c>
      <c r="BB119" s="22">
        <v>99</v>
      </c>
      <c r="BC119" s="22">
        <v>99</v>
      </c>
      <c r="BD119" s="22">
        <v>99</v>
      </c>
      <c r="BE119" s="37">
        <v>99</v>
      </c>
      <c r="BF119" s="22">
        <v>0</v>
      </c>
      <c r="BG119" s="22">
        <v>0</v>
      </c>
      <c r="BH119" s="22">
        <v>0</v>
      </c>
      <c r="BI119" s="22">
        <v>999</v>
      </c>
      <c r="BJ119" s="22">
        <v>9</v>
      </c>
    </row>
    <row r="120" spans="1:62" ht="13">
      <c r="A120" s="22" t="s">
        <v>1741</v>
      </c>
      <c r="B120" s="22"/>
      <c r="C120" s="22"/>
      <c r="D120" s="22"/>
      <c r="E120" s="22">
        <v>1</v>
      </c>
      <c r="F120" s="22">
        <v>1</v>
      </c>
      <c r="G120" s="28">
        <v>10</v>
      </c>
      <c r="H120" s="28">
        <v>2</v>
      </c>
      <c r="I120" s="30">
        <v>1955</v>
      </c>
      <c r="J120" s="34">
        <f t="shared" si="0"/>
        <v>20130</v>
      </c>
      <c r="K120" s="39" t="s">
        <v>614</v>
      </c>
      <c r="L120" s="25" t="s">
        <v>931</v>
      </c>
      <c r="M120" s="30">
        <v>1</v>
      </c>
      <c r="N120" s="17" t="s">
        <v>233</v>
      </c>
      <c r="O120" s="17"/>
      <c r="P120" s="25" t="s">
        <v>932</v>
      </c>
      <c r="Q120" s="25" t="s">
        <v>964</v>
      </c>
      <c r="R120" s="75">
        <v>31.784251999999999</v>
      </c>
      <c r="S120" s="75">
        <v>34.661743000000001</v>
      </c>
      <c r="T120" s="22">
        <v>2</v>
      </c>
      <c r="U120" s="22">
        <v>2</v>
      </c>
      <c r="V120" s="22">
        <v>1</v>
      </c>
      <c r="W120" s="22">
        <v>3</v>
      </c>
      <c r="X120" s="22">
        <v>2</v>
      </c>
      <c r="Y120" s="18"/>
      <c r="Z120" s="22">
        <v>5</v>
      </c>
      <c r="AA120" s="22">
        <v>1</v>
      </c>
      <c r="AB120" s="22" t="s">
        <v>1742</v>
      </c>
      <c r="AC120" s="22">
        <v>6</v>
      </c>
      <c r="AD120" s="22">
        <v>2</v>
      </c>
      <c r="AE120" s="18" t="s">
        <v>221</v>
      </c>
      <c r="AF120" s="22">
        <v>99</v>
      </c>
      <c r="AG120" s="18"/>
      <c r="AH120" s="22">
        <v>99</v>
      </c>
      <c r="AI120" s="57"/>
      <c r="AJ120" s="18"/>
      <c r="AK120" s="22">
        <v>99</v>
      </c>
      <c r="AL120" s="22">
        <v>99</v>
      </c>
      <c r="AM120" s="22">
        <v>99</v>
      </c>
      <c r="AN120" s="22">
        <v>99</v>
      </c>
      <c r="AO120" s="22">
        <v>99</v>
      </c>
      <c r="AP120" s="22">
        <v>99</v>
      </c>
      <c r="AQ120" s="18" t="s">
        <v>221</v>
      </c>
      <c r="AR120" s="18" t="s">
        <v>221</v>
      </c>
      <c r="AS120" s="18"/>
      <c r="AT120" s="18"/>
      <c r="AU120" s="22">
        <v>3</v>
      </c>
      <c r="AV120" s="22">
        <v>3</v>
      </c>
      <c r="AW120" s="22">
        <v>4</v>
      </c>
      <c r="AX120" s="37">
        <v>4</v>
      </c>
      <c r="AY120" s="22">
        <v>4</v>
      </c>
      <c r="AZ120" s="22">
        <v>2</v>
      </c>
      <c r="BA120" s="38">
        <v>99</v>
      </c>
      <c r="BB120" s="22">
        <v>99</v>
      </c>
      <c r="BC120" s="22">
        <v>99</v>
      </c>
      <c r="BD120" s="22">
        <v>99</v>
      </c>
      <c r="BE120" s="37">
        <v>99</v>
      </c>
      <c r="BF120" s="22">
        <v>0</v>
      </c>
      <c r="BG120" s="22">
        <v>0</v>
      </c>
      <c r="BH120" s="22">
        <v>0</v>
      </c>
      <c r="BI120" s="22">
        <v>999</v>
      </c>
      <c r="BJ120" s="22">
        <v>8</v>
      </c>
    </row>
    <row r="121" spans="1:62" ht="13">
      <c r="A121" s="22" t="s">
        <v>1743</v>
      </c>
      <c r="B121" s="22"/>
      <c r="C121" s="22"/>
      <c r="D121" s="22"/>
      <c r="E121" s="22">
        <v>1</v>
      </c>
      <c r="F121" s="22">
        <v>1</v>
      </c>
      <c r="G121" s="28">
        <v>13</v>
      </c>
      <c r="H121" s="28">
        <v>2</v>
      </c>
      <c r="I121" s="30">
        <v>1955</v>
      </c>
      <c r="J121" s="34">
        <f t="shared" si="0"/>
        <v>20133</v>
      </c>
      <c r="K121" s="39" t="s">
        <v>1716</v>
      </c>
      <c r="L121" s="25" t="s">
        <v>935</v>
      </c>
      <c r="M121" s="30">
        <v>1</v>
      </c>
      <c r="N121" s="17" t="s">
        <v>233</v>
      </c>
      <c r="O121" s="17"/>
      <c r="P121" s="25" t="s">
        <v>936</v>
      </c>
      <c r="Q121" s="25" t="s">
        <v>967</v>
      </c>
      <c r="R121" s="25">
        <v>31.986984</v>
      </c>
      <c r="S121" s="25">
        <v>34.915773000000002</v>
      </c>
      <c r="T121" s="22">
        <v>2</v>
      </c>
      <c r="U121" s="22">
        <v>2</v>
      </c>
      <c r="V121" s="22">
        <v>1</v>
      </c>
      <c r="W121" s="22">
        <v>3</v>
      </c>
      <c r="X121" s="22">
        <v>2</v>
      </c>
      <c r="Y121" s="18"/>
      <c r="Z121" s="22">
        <v>5</v>
      </c>
      <c r="AA121" s="22">
        <v>1</v>
      </c>
      <c r="AB121" s="18" t="s">
        <v>221</v>
      </c>
      <c r="AC121" s="22">
        <v>6</v>
      </c>
      <c r="AD121" s="22">
        <v>2</v>
      </c>
      <c r="AE121" s="18" t="s">
        <v>221</v>
      </c>
      <c r="AF121" s="22">
        <v>99</v>
      </c>
      <c r="AG121" s="18"/>
      <c r="AH121" s="22">
        <v>99</v>
      </c>
      <c r="AI121" s="57"/>
      <c r="AJ121" s="18"/>
      <c r="AK121" s="22">
        <v>99</v>
      </c>
      <c r="AL121" s="22">
        <v>99</v>
      </c>
      <c r="AM121" s="22">
        <v>99</v>
      </c>
      <c r="AN121" s="22">
        <v>99</v>
      </c>
      <c r="AO121" s="22">
        <v>99</v>
      </c>
      <c r="AP121" s="22">
        <v>99</v>
      </c>
      <c r="AQ121" s="18" t="s">
        <v>221</v>
      </c>
      <c r="AR121" s="18" t="s">
        <v>221</v>
      </c>
      <c r="AS121" s="18"/>
      <c r="AT121" s="18"/>
      <c r="AU121" s="22">
        <v>3</v>
      </c>
      <c r="AV121" s="22">
        <v>3</v>
      </c>
      <c r="AW121" s="22">
        <v>4</v>
      </c>
      <c r="AX121" s="37">
        <v>4</v>
      </c>
      <c r="AY121" s="22">
        <v>4</v>
      </c>
      <c r="AZ121" s="22">
        <v>2</v>
      </c>
      <c r="BA121" s="38">
        <v>99</v>
      </c>
      <c r="BB121" s="22">
        <v>99</v>
      </c>
      <c r="BC121" s="22">
        <v>99</v>
      </c>
      <c r="BD121" s="22">
        <v>99</v>
      </c>
      <c r="BE121" s="37">
        <v>99</v>
      </c>
      <c r="BF121" s="22">
        <v>0</v>
      </c>
      <c r="BG121" s="22">
        <v>0</v>
      </c>
      <c r="BH121" s="22">
        <v>0</v>
      </c>
      <c r="BI121" s="22">
        <v>999</v>
      </c>
      <c r="BJ121" s="22">
        <v>8</v>
      </c>
    </row>
    <row r="122" spans="1:62" ht="13">
      <c r="A122" s="22" t="s">
        <v>1744</v>
      </c>
      <c r="B122" s="22"/>
      <c r="C122" s="22"/>
      <c r="D122" s="22"/>
      <c r="E122" s="22">
        <v>1</v>
      </c>
      <c r="F122" s="22">
        <v>1</v>
      </c>
      <c r="G122" s="28">
        <v>13</v>
      </c>
      <c r="H122" s="28">
        <v>2</v>
      </c>
      <c r="I122" s="30">
        <v>1955</v>
      </c>
      <c r="J122" s="34">
        <f t="shared" si="0"/>
        <v>20133</v>
      </c>
      <c r="K122" s="39" t="s">
        <v>830</v>
      </c>
      <c r="L122" s="25" t="s">
        <v>937</v>
      </c>
      <c r="M122" s="30">
        <v>1</v>
      </c>
      <c r="N122" s="17" t="s">
        <v>233</v>
      </c>
      <c r="O122" s="17"/>
      <c r="P122" s="25" t="s">
        <v>938</v>
      </c>
      <c r="Q122" s="25" t="s">
        <v>968</v>
      </c>
      <c r="R122" s="75">
        <v>32.1157465</v>
      </c>
      <c r="S122" s="75">
        <v>34.966594800000003</v>
      </c>
      <c r="T122" s="22">
        <v>2</v>
      </c>
      <c r="U122" s="22">
        <v>1</v>
      </c>
      <c r="V122" s="22">
        <v>5</v>
      </c>
      <c r="W122" s="22">
        <v>2</v>
      </c>
      <c r="X122" s="22">
        <v>2</v>
      </c>
      <c r="Y122" s="18"/>
      <c r="Z122" s="22">
        <v>99</v>
      </c>
      <c r="AA122" s="22">
        <v>1</v>
      </c>
      <c r="AB122" s="18" t="s">
        <v>221</v>
      </c>
      <c r="AC122" s="22">
        <v>99</v>
      </c>
      <c r="AD122" s="22">
        <v>2</v>
      </c>
      <c r="AE122" s="18" t="s">
        <v>221</v>
      </c>
      <c r="AF122" s="22">
        <v>99</v>
      </c>
      <c r="AG122" s="18"/>
      <c r="AH122" s="22">
        <v>1</v>
      </c>
      <c r="AI122" s="57"/>
      <c r="AJ122" s="18"/>
      <c r="AK122" s="22">
        <v>99</v>
      </c>
      <c r="AL122" s="22">
        <v>99</v>
      </c>
      <c r="AM122" s="22">
        <v>99</v>
      </c>
      <c r="AN122" s="22">
        <v>99</v>
      </c>
      <c r="AO122" s="22">
        <v>99</v>
      </c>
      <c r="AP122" s="22">
        <v>99</v>
      </c>
      <c r="AQ122" s="18" t="s">
        <v>221</v>
      </c>
      <c r="AR122" s="18" t="s">
        <v>221</v>
      </c>
      <c r="AS122" s="22">
        <v>99</v>
      </c>
      <c r="AT122" s="22">
        <v>6</v>
      </c>
      <c r="AU122" s="22">
        <v>3</v>
      </c>
      <c r="AV122" s="22">
        <v>3</v>
      </c>
      <c r="AW122" s="22">
        <v>4</v>
      </c>
      <c r="AX122" s="37">
        <v>4</v>
      </c>
      <c r="AY122" s="22">
        <v>4</v>
      </c>
      <c r="AZ122" s="22">
        <v>2</v>
      </c>
      <c r="BA122" s="38">
        <v>99</v>
      </c>
      <c r="BB122" s="22">
        <v>99</v>
      </c>
      <c r="BC122" s="22">
        <v>99</v>
      </c>
      <c r="BD122" s="22">
        <v>99</v>
      </c>
      <c r="BE122" s="37">
        <v>99</v>
      </c>
      <c r="BF122" s="22">
        <v>1</v>
      </c>
      <c r="BG122" s="22">
        <v>1</v>
      </c>
      <c r="BH122" s="22">
        <v>2</v>
      </c>
      <c r="BI122" s="22">
        <v>999</v>
      </c>
      <c r="BJ122" s="22">
        <v>8</v>
      </c>
    </row>
    <row r="123" spans="1:62" ht="13">
      <c r="A123" s="22" t="s">
        <v>1745</v>
      </c>
      <c r="B123" s="22"/>
      <c r="C123" s="22"/>
      <c r="D123" s="22"/>
      <c r="E123" s="22">
        <v>2</v>
      </c>
      <c r="F123" s="22">
        <v>1</v>
      </c>
      <c r="G123" s="28">
        <v>14</v>
      </c>
      <c r="H123" s="28">
        <v>2</v>
      </c>
      <c r="I123" s="30">
        <v>1955</v>
      </c>
      <c r="J123" s="34">
        <f t="shared" si="0"/>
        <v>20134</v>
      </c>
      <c r="K123" s="39" t="s">
        <v>830</v>
      </c>
      <c r="L123" s="25" t="s">
        <v>940</v>
      </c>
      <c r="M123" s="30">
        <v>1</v>
      </c>
      <c r="N123" s="17" t="s">
        <v>233</v>
      </c>
      <c r="O123" s="17"/>
      <c r="P123" s="25" t="s">
        <v>32</v>
      </c>
      <c r="Q123" s="25" t="s">
        <v>346</v>
      </c>
      <c r="R123" s="25">
        <v>31.768319000000002</v>
      </c>
      <c r="S123" s="25">
        <v>35.213709999999999</v>
      </c>
      <c r="T123" s="22">
        <v>2</v>
      </c>
      <c r="U123" s="22">
        <v>1</v>
      </c>
      <c r="V123" s="22">
        <v>2</v>
      </c>
      <c r="W123" s="22">
        <v>2</v>
      </c>
      <c r="X123" s="22">
        <v>2</v>
      </c>
      <c r="Y123" s="18"/>
      <c r="Z123" s="22">
        <v>5</v>
      </c>
      <c r="AA123" s="22">
        <v>1</v>
      </c>
      <c r="AB123" s="18" t="s">
        <v>221</v>
      </c>
      <c r="AC123" s="22">
        <v>6</v>
      </c>
      <c r="AD123" s="22">
        <v>2</v>
      </c>
      <c r="AE123" s="18" t="s">
        <v>221</v>
      </c>
      <c r="AF123" s="22">
        <v>99</v>
      </c>
      <c r="AG123" s="18"/>
      <c r="AH123" s="22">
        <v>99</v>
      </c>
      <c r="AI123" s="57"/>
      <c r="AJ123" s="18"/>
      <c r="AK123" s="22">
        <v>99</v>
      </c>
      <c r="AL123" s="22">
        <v>99</v>
      </c>
      <c r="AM123" s="22">
        <v>99</v>
      </c>
      <c r="AN123" s="22">
        <v>99</v>
      </c>
      <c r="AO123" s="22">
        <v>99</v>
      </c>
      <c r="AP123" s="22">
        <v>99</v>
      </c>
      <c r="AQ123" s="18" t="s">
        <v>221</v>
      </c>
      <c r="AR123" s="18" t="s">
        <v>221</v>
      </c>
      <c r="AS123" s="18"/>
      <c r="AT123" s="18"/>
      <c r="AU123" s="22">
        <v>3</v>
      </c>
      <c r="AV123" s="22">
        <v>3</v>
      </c>
      <c r="AW123" s="22">
        <v>4</v>
      </c>
      <c r="AX123" s="37">
        <v>4</v>
      </c>
      <c r="AY123" s="22">
        <v>4</v>
      </c>
      <c r="AZ123" s="22">
        <v>1</v>
      </c>
      <c r="BA123" s="38">
        <v>9</v>
      </c>
      <c r="BB123" s="22">
        <v>2</v>
      </c>
      <c r="BC123" s="18"/>
      <c r="BD123" s="18"/>
      <c r="BE123" s="89"/>
      <c r="BF123" s="22">
        <v>0</v>
      </c>
      <c r="BG123" s="22">
        <v>0</v>
      </c>
      <c r="BH123" s="22">
        <v>0</v>
      </c>
      <c r="BI123" s="22">
        <v>999</v>
      </c>
      <c r="BJ123" s="22">
        <v>8</v>
      </c>
    </row>
    <row r="124" spans="1:62" ht="13">
      <c r="A124" s="22" t="s">
        <v>1746</v>
      </c>
      <c r="B124" s="22"/>
      <c r="C124" s="22"/>
      <c r="D124" s="22"/>
      <c r="E124" s="22">
        <v>1</v>
      </c>
      <c r="F124" s="22">
        <v>1</v>
      </c>
      <c r="G124" s="28">
        <v>17</v>
      </c>
      <c r="H124" s="28">
        <v>2</v>
      </c>
      <c r="I124" s="30">
        <v>1955</v>
      </c>
      <c r="J124" s="34">
        <f t="shared" si="0"/>
        <v>20137</v>
      </c>
      <c r="K124" s="11" t="s">
        <v>1747</v>
      </c>
      <c r="L124" s="25" t="s">
        <v>942</v>
      </c>
      <c r="M124" s="30">
        <v>1</v>
      </c>
      <c r="N124" s="17" t="s">
        <v>233</v>
      </c>
      <c r="O124" s="17"/>
      <c r="P124" s="25" t="s">
        <v>944</v>
      </c>
      <c r="Q124" s="25" t="s">
        <v>973</v>
      </c>
      <c r="R124" s="25">
        <v>32.491475000000001</v>
      </c>
      <c r="S124" s="25">
        <v>34.967412000000003</v>
      </c>
      <c r="T124" s="22">
        <v>2</v>
      </c>
      <c r="U124" s="22">
        <v>2</v>
      </c>
      <c r="V124" s="22">
        <v>2</v>
      </c>
      <c r="W124" s="22">
        <v>3</v>
      </c>
      <c r="X124" s="22">
        <v>2</v>
      </c>
      <c r="Y124" s="18"/>
      <c r="Z124" s="22">
        <v>5</v>
      </c>
      <c r="AA124" s="22">
        <v>1</v>
      </c>
      <c r="AB124" s="18" t="s">
        <v>221</v>
      </c>
      <c r="AC124" s="22">
        <v>7</v>
      </c>
      <c r="AD124" s="22">
        <v>2</v>
      </c>
      <c r="AE124" s="18" t="s">
        <v>221</v>
      </c>
      <c r="AF124" s="22">
        <v>99</v>
      </c>
      <c r="AG124" s="18"/>
      <c r="AH124" s="22">
        <v>1</v>
      </c>
      <c r="AI124" s="57"/>
      <c r="AJ124" s="18"/>
      <c r="AK124" s="22">
        <v>99</v>
      </c>
      <c r="AL124" s="22">
        <v>99</v>
      </c>
      <c r="AM124" s="22">
        <v>99</v>
      </c>
      <c r="AN124" s="22">
        <v>99</v>
      </c>
      <c r="AO124" s="22">
        <v>99</v>
      </c>
      <c r="AP124" s="22">
        <v>99</v>
      </c>
      <c r="AQ124" s="18" t="s">
        <v>221</v>
      </c>
      <c r="AR124" s="18" t="s">
        <v>221</v>
      </c>
      <c r="AS124" s="18"/>
      <c r="AT124" s="18"/>
      <c r="AU124" s="22">
        <v>3</v>
      </c>
      <c r="AV124" s="22">
        <v>3</v>
      </c>
      <c r="AW124" s="22">
        <v>4</v>
      </c>
      <c r="AX124" s="37">
        <v>4</v>
      </c>
      <c r="AY124" s="22">
        <v>4</v>
      </c>
      <c r="AZ124" s="22">
        <v>1</v>
      </c>
      <c r="BA124" s="38">
        <v>9</v>
      </c>
      <c r="BB124" s="22">
        <v>99</v>
      </c>
      <c r="BC124" s="22">
        <v>99</v>
      </c>
      <c r="BD124" s="22">
        <v>99</v>
      </c>
      <c r="BE124" s="37">
        <v>99</v>
      </c>
      <c r="BF124" s="22">
        <v>0</v>
      </c>
      <c r="BG124" s="22">
        <v>0</v>
      </c>
      <c r="BH124" s="22">
        <v>0</v>
      </c>
      <c r="BI124" s="22">
        <v>999</v>
      </c>
      <c r="BJ124" s="22">
        <v>8</v>
      </c>
    </row>
    <row r="125" spans="1:62" ht="13">
      <c r="A125" s="22" t="s">
        <v>1748</v>
      </c>
      <c r="B125" s="22"/>
      <c r="C125" s="22"/>
      <c r="D125" s="22"/>
      <c r="E125" s="22">
        <v>1</v>
      </c>
      <c r="F125" s="22">
        <v>1</v>
      </c>
      <c r="G125" s="28">
        <v>17</v>
      </c>
      <c r="H125" s="28">
        <v>2</v>
      </c>
      <c r="I125" s="30">
        <v>1955</v>
      </c>
      <c r="J125" s="34">
        <f t="shared" si="0"/>
        <v>20137</v>
      </c>
      <c r="K125" s="11" t="s">
        <v>1749</v>
      </c>
      <c r="L125" s="25" t="s">
        <v>946</v>
      </c>
      <c r="M125" s="30">
        <v>1</v>
      </c>
      <c r="N125" s="17" t="s">
        <v>233</v>
      </c>
      <c r="O125" s="17"/>
      <c r="P125" s="25" t="s">
        <v>682</v>
      </c>
      <c r="Q125" s="25" t="s">
        <v>1750</v>
      </c>
      <c r="R125" s="25">
        <v>31.767764</v>
      </c>
      <c r="S125" s="25">
        <v>35.160212999999999</v>
      </c>
      <c r="T125" s="22">
        <v>2</v>
      </c>
      <c r="U125" s="22">
        <v>1</v>
      </c>
      <c r="V125" s="22">
        <v>2</v>
      </c>
      <c r="W125" s="22">
        <v>2</v>
      </c>
      <c r="X125" s="22">
        <v>2</v>
      </c>
      <c r="Y125" s="18"/>
      <c r="Z125" s="22">
        <v>5</v>
      </c>
      <c r="AA125" s="22">
        <v>1</v>
      </c>
      <c r="AB125" s="18" t="s">
        <v>221</v>
      </c>
      <c r="AC125" s="22">
        <v>6</v>
      </c>
      <c r="AD125" s="22">
        <v>2</v>
      </c>
      <c r="AE125" s="18" t="s">
        <v>221</v>
      </c>
      <c r="AF125" s="22">
        <v>99</v>
      </c>
      <c r="AG125" s="18"/>
      <c r="AH125" s="22">
        <v>99</v>
      </c>
      <c r="AI125" s="57"/>
      <c r="AJ125" s="18"/>
      <c r="AK125" s="22">
        <v>99</v>
      </c>
      <c r="AL125" s="22">
        <v>99</v>
      </c>
      <c r="AM125" s="22">
        <v>99</v>
      </c>
      <c r="AN125" s="22">
        <v>99</v>
      </c>
      <c r="AO125" s="22">
        <v>99</v>
      </c>
      <c r="AP125" s="22">
        <v>99</v>
      </c>
      <c r="AQ125" s="18" t="s">
        <v>221</v>
      </c>
      <c r="AR125" s="18" t="s">
        <v>221</v>
      </c>
      <c r="AS125" s="18"/>
      <c r="AT125" s="18"/>
      <c r="AU125" s="22">
        <v>3</v>
      </c>
      <c r="AV125" s="22">
        <v>3</v>
      </c>
      <c r="AW125" s="22">
        <v>4</v>
      </c>
      <c r="AX125" s="37">
        <v>4</v>
      </c>
      <c r="AY125" s="22">
        <v>4</v>
      </c>
      <c r="AZ125" s="22">
        <v>1</v>
      </c>
      <c r="BA125" s="38">
        <v>9</v>
      </c>
      <c r="BB125" s="22">
        <v>2</v>
      </c>
      <c r="BC125" s="18"/>
      <c r="BD125" s="18"/>
      <c r="BE125" s="89"/>
      <c r="BF125" s="22">
        <v>0</v>
      </c>
      <c r="BG125" s="22">
        <v>0</v>
      </c>
      <c r="BH125" s="22">
        <v>0</v>
      </c>
      <c r="BI125" s="22">
        <v>999</v>
      </c>
      <c r="BJ125" s="22">
        <v>8</v>
      </c>
    </row>
    <row r="126" spans="1:62" ht="13">
      <c r="A126" s="22" t="s">
        <v>1751</v>
      </c>
      <c r="B126" s="22"/>
      <c r="C126" s="22"/>
      <c r="D126" s="22"/>
      <c r="E126" s="22">
        <v>1</v>
      </c>
      <c r="F126" s="22">
        <v>1</v>
      </c>
      <c r="G126" s="28">
        <v>19</v>
      </c>
      <c r="H126" s="28">
        <v>2</v>
      </c>
      <c r="I126" s="30">
        <v>1955</v>
      </c>
      <c r="J126" s="34">
        <f t="shared" si="0"/>
        <v>20139</v>
      </c>
      <c r="K126" s="35" t="s">
        <v>221</v>
      </c>
      <c r="L126" s="25" t="s">
        <v>948</v>
      </c>
      <c r="M126" s="30">
        <v>1</v>
      </c>
      <c r="N126" s="17" t="s">
        <v>233</v>
      </c>
      <c r="O126" s="17"/>
      <c r="P126" s="25" t="s">
        <v>950</v>
      </c>
      <c r="Q126" s="25" t="s">
        <v>975</v>
      </c>
      <c r="R126" s="25">
        <v>31.794452400000001</v>
      </c>
      <c r="S126" s="25">
        <v>35.200602799999999</v>
      </c>
      <c r="T126" s="22">
        <v>2</v>
      </c>
      <c r="U126" s="18"/>
      <c r="V126" s="22">
        <v>1</v>
      </c>
      <c r="W126" s="18"/>
      <c r="X126" s="22">
        <v>2</v>
      </c>
      <c r="Y126" s="18"/>
      <c r="Z126" s="22">
        <v>5</v>
      </c>
      <c r="AA126" s="22">
        <v>1</v>
      </c>
      <c r="AB126" s="18" t="s">
        <v>221</v>
      </c>
      <c r="AC126" s="22">
        <v>6</v>
      </c>
      <c r="AD126" s="22">
        <v>2</v>
      </c>
      <c r="AE126" s="18" t="s">
        <v>221</v>
      </c>
      <c r="AF126" s="22">
        <v>99</v>
      </c>
      <c r="AG126" s="18"/>
      <c r="AH126" s="22">
        <v>99</v>
      </c>
      <c r="AI126" s="57"/>
      <c r="AJ126" s="18"/>
      <c r="AK126" s="22">
        <v>99</v>
      </c>
      <c r="AL126" s="22">
        <v>99</v>
      </c>
      <c r="AM126" s="22">
        <v>99</v>
      </c>
      <c r="AN126" s="22">
        <v>99</v>
      </c>
      <c r="AO126" s="22">
        <v>99</v>
      </c>
      <c r="AP126" s="22">
        <v>99</v>
      </c>
      <c r="AQ126" s="18" t="s">
        <v>221</v>
      </c>
      <c r="AR126" s="18" t="s">
        <v>221</v>
      </c>
      <c r="AS126" s="18"/>
      <c r="AT126" s="18"/>
      <c r="AU126" s="22">
        <v>3</v>
      </c>
      <c r="AV126" s="22">
        <v>3</v>
      </c>
      <c r="AW126" s="22">
        <v>4</v>
      </c>
      <c r="AX126" s="37">
        <v>4</v>
      </c>
      <c r="AY126" s="22">
        <v>4</v>
      </c>
      <c r="AZ126" s="22">
        <v>1</v>
      </c>
      <c r="BA126" s="38">
        <v>9</v>
      </c>
      <c r="BB126" s="22">
        <v>2</v>
      </c>
      <c r="BC126" s="18"/>
      <c r="BD126" s="18"/>
      <c r="BE126" s="89"/>
      <c r="BF126" s="22">
        <v>0</v>
      </c>
      <c r="BG126" s="22">
        <v>0</v>
      </c>
      <c r="BH126" s="22">
        <v>0</v>
      </c>
      <c r="BI126" s="22">
        <v>999</v>
      </c>
      <c r="BJ126" s="22">
        <v>8</v>
      </c>
    </row>
    <row r="127" spans="1:62" ht="13">
      <c r="A127" s="22" t="s">
        <v>1752</v>
      </c>
      <c r="B127" s="22"/>
      <c r="C127" s="22"/>
      <c r="D127" s="22"/>
      <c r="E127" s="22">
        <v>1</v>
      </c>
      <c r="F127" s="22">
        <v>1</v>
      </c>
      <c r="G127" s="28">
        <v>20</v>
      </c>
      <c r="H127" s="28">
        <v>2</v>
      </c>
      <c r="I127" s="30">
        <v>1955</v>
      </c>
      <c r="J127" s="34">
        <f t="shared" si="0"/>
        <v>20140</v>
      </c>
      <c r="K127" s="35" t="s">
        <v>221</v>
      </c>
      <c r="L127" s="25" t="s">
        <v>952</v>
      </c>
      <c r="M127" s="30">
        <v>1</v>
      </c>
      <c r="N127" s="17" t="s">
        <v>233</v>
      </c>
      <c r="O127" s="17"/>
      <c r="P127" s="25" t="s">
        <v>953</v>
      </c>
      <c r="Q127" s="25" t="s">
        <v>977</v>
      </c>
      <c r="R127" s="25">
        <v>32.085299900000003</v>
      </c>
      <c r="S127" s="25">
        <v>34.781767599999903</v>
      </c>
      <c r="T127" s="22">
        <v>2</v>
      </c>
      <c r="U127" s="22">
        <v>1</v>
      </c>
      <c r="V127" s="22">
        <v>2</v>
      </c>
      <c r="W127" s="22">
        <v>2</v>
      </c>
      <c r="X127" s="22">
        <v>2</v>
      </c>
      <c r="Y127" s="18"/>
      <c r="Z127" s="22">
        <v>1</v>
      </c>
      <c r="AA127" s="22">
        <v>99</v>
      </c>
      <c r="AB127" s="18" t="s">
        <v>221</v>
      </c>
      <c r="AC127" s="22">
        <v>6</v>
      </c>
      <c r="AD127" s="22">
        <v>2</v>
      </c>
      <c r="AE127" s="22" t="s">
        <v>1753</v>
      </c>
      <c r="AF127" s="22">
        <v>99</v>
      </c>
      <c r="AG127" s="18"/>
      <c r="AH127" s="22">
        <v>99</v>
      </c>
      <c r="AI127" s="57"/>
      <c r="AJ127" s="18"/>
      <c r="AK127" s="22">
        <v>99</v>
      </c>
      <c r="AL127" s="22">
        <v>99</v>
      </c>
      <c r="AM127" s="22">
        <v>99</v>
      </c>
      <c r="AN127" s="22">
        <v>99</v>
      </c>
      <c r="AO127" s="22">
        <v>99</v>
      </c>
      <c r="AP127" s="22">
        <v>99</v>
      </c>
      <c r="AQ127" s="22" t="s">
        <v>1754</v>
      </c>
      <c r="AR127" s="2" t="s">
        <v>1755</v>
      </c>
      <c r="AS127" s="22">
        <v>4</v>
      </c>
      <c r="AT127" s="22">
        <v>6</v>
      </c>
      <c r="AU127" s="22">
        <v>3</v>
      </c>
      <c r="AV127" s="22">
        <v>3</v>
      </c>
      <c r="AW127" s="22">
        <v>4</v>
      </c>
      <c r="AX127" s="37">
        <v>4</v>
      </c>
      <c r="AY127" s="22">
        <v>4</v>
      </c>
      <c r="AZ127" s="22">
        <v>1</v>
      </c>
      <c r="BA127" s="38">
        <v>8</v>
      </c>
      <c r="BB127" s="22">
        <v>2</v>
      </c>
      <c r="BC127" s="18"/>
      <c r="BD127" s="18"/>
      <c r="BE127" s="89"/>
      <c r="BF127" s="22">
        <v>0</v>
      </c>
      <c r="BG127" s="22">
        <v>1</v>
      </c>
      <c r="BH127" s="22">
        <v>1</v>
      </c>
      <c r="BI127" s="22">
        <v>6</v>
      </c>
      <c r="BJ127" s="22">
        <v>8</v>
      </c>
    </row>
    <row r="128" spans="1:62" ht="13">
      <c r="A128" s="22" t="s">
        <v>1756</v>
      </c>
      <c r="B128" s="22"/>
      <c r="C128" s="22"/>
      <c r="D128" s="22"/>
      <c r="E128" s="22">
        <v>1</v>
      </c>
      <c r="F128" s="22">
        <v>1</v>
      </c>
      <c r="G128" s="28">
        <v>24</v>
      </c>
      <c r="H128" s="28">
        <v>2</v>
      </c>
      <c r="I128" s="30">
        <v>1955</v>
      </c>
      <c r="J128" s="34">
        <f t="shared" si="0"/>
        <v>20144</v>
      </c>
      <c r="K128" s="39" t="s">
        <v>328</v>
      </c>
      <c r="L128" s="25" t="s">
        <v>956</v>
      </c>
      <c r="M128" s="30">
        <v>1</v>
      </c>
      <c r="N128" s="17" t="s">
        <v>233</v>
      </c>
      <c r="O128" s="17"/>
      <c r="P128" s="25" t="s">
        <v>958</v>
      </c>
      <c r="Q128" s="25" t="s">
        <v>980</v>
      </c>
      <c r="R128" s="25">
        <v>31.801798000000002</v>
      </c>
      <c r="S128" s="25">
        <v>35.216002000000003</v>
      </c>
      <c r="T128" s="22">
        <v>2</v>
      </c>
      <c r="U128" s="22">
        <v>2</v>
      </c>
      <c r="V128" s="22">
        <v>5</v>
      </c>
      <c r="W128" s="22">
        <v>2</v>
      </c>
      <c r="X128" s="22">
        <v>2</v>
      </c>
      <c r="Y128" s="18"/>
      <c r="Z128" s="22">
        <v>5</v>
      </c>
      <c r="AA128" s="22">
        <v>1</v>
      </c>
      <c r="AB128" s="18" t="s">
        <v>221</v>
      </c>
      <c r="AC128" s="22">
        <v>6</v>
      </c>
      <c r="AD128" s="22">
        <v>2</v>
      </c>
      <c r="AE128" s="18" t="s">
        <v>221</v>
      </c>
      <c r="AF128" s="22">
        <v>99</v>
      </c>
      <c r="AG128" s="18"/>
      <c r="AH128" s="22">
        <v>99</v>
      </c>
      <c r="AI128" s="57"/>
      <c r="AJ128" s="18"/>
      <c r="AK128" s="22">
        <v>99</v>
      </c>
      <c r="AL128" s="22">
        <v>99</v>
      </c>
      <c r="AM128" s="22">
        <v>99</v>
      </c>
      <c r="AN128" s="22">
        <v>99</v>
      </c>
      <c r="AO128" s="22">
        <v>99</v>
      </c>
      <c r="AP128" s="22">
        <v>99</v>
      </c>
      <c r="AQ128" s="18" t="s">
        <v>221</v>
      </c>
      <c r="AR128" s="18" t="s">
        <v>221</v>
      </c>
      <c r="AS128" s="18"/>
      <c r="AT128" s="18"/>
      <c r="AU128" s="22">
        <v>3</v>
      </c>
      <c r="AV128" s="22">
        <v>3</v>
      </c>
      <c r="AW128" s="22">
        <v>4</v>
      </c>
      <c r="AX128" s="37">
        <v>4</v>
      </c>
      <c r="AY128" s="22">
        <v>4</v>
      </c>
      <c r="AZ128" s="22">
        <v>2</v>
      </c>
      <c r="BA128" s="38">
        <v>99</v>
      </c>
      <c r="BB128" s="22">
        <v>99</v>
      </c>
      <c r="BC128" s="22">
        <v>99</v>
      </c>
      <c r="BD128" s="22">
        <v>99</v>
      </c>
      <c r="BE128" s="37">
        <v>99</v>
      </c>
      <c r="BF128" s="22">
        <v>0</v>
      </c>
      <c r="BG128" s="22">
        <v>0</v>
      </c>
      <c r="BH128" s="22">
        <v>0</v>
      </c>
      <c r="BI128" s="22">
        <v>999</v>
      </c>
      <c r="BJ128" s="22">
        <v>8</v>
      </c>
    </row>
    <row r="129" spans="1:62" ht="13">
      <c r="A129" s="22" t="s">
        <v>1757</v>
      </c>
      <c r="B129" s="22"/>
      <c r="C129" s="22"/>
      <c r="D129" s="22"/>
      <c r="E129" s="22">
        <v>1</v>
      </c>
      <c r="F129" s="22">
        <v>1</v>
      </c>
      <c r="G129" s="28">
        <v>26</v>
      </c>
      <c r="H129" s="28">
        <v>2</v>
      </c>
      <c r="I129" s="30">
        <v>1955</v>
      </c>
      <c r="J129" s="34">
        <f t="shared" si="0"/>
        <v>20146</v>
      </c>
      <c r="K129" s="39" t="s">
        <v>328</v>
      </c>
      <c r="L129" s="25" t="s">
        <v>961</v>
      </c>
      <c r="M129" s="30">
        <v>1</v>
      </c>
      <c r="N129" s="17" t="s">
        <v>233</v>
      </c>
      <c r="O129" s="17"/>
      <c r="P129" s="25" t="s">
        <v>962</v>
      </c>
      <c r="Q129" s="25" t="s">
        <v>984</v>
      </c>
      <c r="R129" s="75">
        <v>32.783392999999997</v>
      </c>
      <c r="S129" s="75">
        <v>35.640118999999999</v>
      </c>
      <c r="T129" s="22">
        <v>2</v>
      </c>
      <c r="U129" s="22">
        <v>1</v>
      </c>
      <c r="V129" s="22">
        <v>5</v>
      </c>
      <c r="W129" s="22">
        <v>2</v>
      </c>
      <c r="X129" s="22">
        <v>2</v>
      </c>
      <c r="Y129" s="18"/>
      <c r="Z129" s="22">
        <v>5</v>
      </c>
      <c r="AA129" s="22">
        <v>2</v>
      </c>
      <c r="AB129" s="2" t="s">
        <v>1758</v>
      </c>
      <c r="AC129" s="22">
        <v>6</v>
      </c>
      <c r="AD129" s="22">
        <v>2</v>
      </c>
      <c r="AE129" s="18" t="s">
        <v>221</v>
      </c>
      <c r="AF129" s="22">
        <v>99</v>
      </c>
      <c r="AG129" s="18"/>
      <c r="AH129" s="22">
        <v>99</v>
      </c>
      <c r="AI129" s="57"/>
      <c r="AJ129" s="18"/>
      <c r="AK129" s="22">
        <v>99</v>
      </c>
      <c r="AL129" s="22">
        <v>99</v>
      </c>
      <c r="AM129" s="22">
        <v>99</v>
      </c>
      <c r="AN129" s="22">
        <v>99</v>
      </c>
      <c r="AO129" s="22">
        <v>99</v>
      </c>
      <c r="AP129" s="22">
        <v>99</v>
      </c>
      <c r="AQ129" s="22" t="s">
        <v>1759</v>
      </c>
      <c r="AR129" s="2" t="s">
        <v>750</v>
      </c>
      <c r="AS129" s="22">
        <v>5</v>
      </c>
      <c r="AT129" s="22">
        <v>99</v>
      </c>
      <c r="AU129" s="22">
        <v>3</v>
      </c>
      <c r="AV129" s="22">
        <v>3</v>
      </c>
      <c r="AW129" s="22">
        <v>4</v>
      </c>
      <c r="AX129" s="37">
        <v>4</v>
      </c>
      <c r="AY129" s="22">
        <v>4</v>
      </c>
      <c r="AZ129" s="22">
        <v>2</v>
      </c>
      <c r="BA129" s="38">
        <v>99</v>
      </c>
      <c r="BB129" s="22">
        <v>99</v>
      </c>
      <c r="BC129" s="22">
        <v>99</v>
      </c>
      <c r="BD129" s="22">
        <v>99</v>
      </c>
      <c r="BE129" s="37">
        <v>99</v>
      </c>
      <c r="BF129" s="22">
        <v>999</v>
      </c>
      <c r="BG129" s="22">
        <v>999</v>
      </c>
      <c r="BH129" s="22">
        <v>999</v>
      </c>
      <c r="BI129" s="22">
        <v>3</v>
      </c>
      <c r="BJ129" s="22">
        <v>12</v>
      </c>
    </row>
    <row r="130" spans="1:62" ht="13">
      <c r="A130" s="22" t="s">
        <v>1760</v>
      </c>
      <c r="B130" s="22"/>
      <c r="C130" s="22"/>
      <c r="D130" s="22"/>
      <c r="E130" s="22">
        <v>2</v>
      </c>
      <c r="F130" s="22">
        <v>1</v>
      </c>
      <c r="G130" s="28">
        <v>26</v>
      </c>
      <c r="H130" s="28">
        <v>2</v>
      </c>
      <c r="I130" s="30">
        <v>1955</v>
      </c>
      <c r="J130" s="34">
        <f t="shared" si="0"/>
        <v>20146</v>
      </c>
      <c r="K130" s="11" t="s">
        <v>1761</v>
      </c>
      <c r="L130" s="25" t="s">
        <v>966</v>
      </c>
      <c r="M130" s="30">
        <v>4</v>
      </c>
      <c r="N130" s="17" t="s">
        <v>848</v>
      </c>
      <c r="O130" s="17"/>
      <c r="P130" s="18"/>
      <c r="Q130" s="41" t="s">
        <v>582</v>
      </c>
      <c r="R130" s="42">
        <v>39.912941199999999</v>
      </c>
      <c r="S130" s="42">
        <v>-104.79560549999999</v>
      </c>
      <c r="T130" s="22">
        <v>2</v>
      </c>
      <c r="U130" s="22">
        <v>2</v>
      </c>
      <c r="V130" s="22">
        <v>2</v>
      </c>
      <c r="W130" s="18"/>
      <c r="X130" s="22">
        <v>2</v>
      </c>
      <c r="Y130" s="18"/>
      <c r="Z130" s="22">
        <v>99</v>
      </c>
      <c r="AA130" s="22">
        <v>99</v>
      </c>
      <c r="AB130" s="18" t="s">
        <v>221</v>
      </c>
      <c r="AC130" s="22">
        <v>6</v>
      </c>
      <c r="AD130" s="22">
        <v>2</v>
      </c>
      <c r="AE130" s="18" t="s">
        <v>221</v>
      </c>
      <c r="AF130" s="22">
        <v>99</v>
      </c>
      <c r="AG130" s="18"/>
      <c r="AH130" s="22">
        <v>99</v>
      </c>
      <c r="AI130" s="57"/>
      <c r="AJ130" s="18"/>
      <c r="AK130" s="22">
        <v>99</v>
      </c>
      <c r="AL130" s="22">
        <v>99</v>
      </c>
      <c r="AM130" s="22">
        <v>99</v>
      </c>
      <c r="AN130" s="22">
        <v>99</v>
      </c>
      <c r="AO130" s="22">
        <v>99</v>
      </c>
      <c r="AP130" s="22">
        <v>99</v>
      </c>
      <c r="AQ130" s="18" t="s">
        <v>221</v>
      </c>
      <c r="AR130" s="18" t="s">
        <v>221</v>
      </c>
      <c r="AS130" s="18"/>
      <c r="AT130" s="18"/>
      <c r="AU130" s="22">
        <v>3</v>
      </c>
      <c r="AV130" s="22">
        <v>3</v>
      </c>
      <c r="AW130" s="22">
        <v>4</v>
      </c>
      <c r="AX130" s="37">
        <v>4</v>
      </c>
      <c r="AY130" s="22">
        <v>4</v>
      </c>
      <c r="AZ130" s="22">
        <v>1</v>
      </c>
      <c r="BA130" s="38">
        <v>9</v>
      </c>
      <c r="BB130" s="22">
        <v>99</v>
      </c>
      <c r="BC130" s="22">
        <v>99</v>
      </c>
      <c r="BD130" s="22">
        <v>99</v>
      </c>
      <c r="BE130" s="37">
        <v>99</v>
      </c>
      <c r="BF130" s="22">
        <v>0</v>
      </c>
      <c r="BG130" s="22">
        <v>0</v>
      </c>
      <c r="BH130" s="22">
        <v>0</v>
      </c>
      <c r="BI130" s="22">
        <v>999</v>
      </c>
      <c r="BJ130" s="22">
        <v>8</v>
      </c>
    </row>
    <row r="131" spans="1:62" ht="13">
      <c r="A131" s="22" t="s">
        <v>1762</v>
      </c>
      <c r="B131" s="22"/>
      <c r="C131" s="22"/>
      <c r="D131" s="22"/>
      <c r="E131" s="22">
        <v>1</v>
      </c>
      <c r="F131" s="22">
        <v>1</v>
      </c>
      <c r="G131" s="28">
        <v>27</v>
      </c>
      <c r="H131" s="28">
        <v>2</v>
      </c>
      <c r="I131" s="30">
        <v>1955</v>
      </c>
      <c r="J131" s="34">
        <f t="shared" si="0"/>
        <v>20147</v>
      </c>
      <c r="K131" s="39" t="s">
        <v>614</v>
      </c>
      <c r="L131" s="25" t="s">
        <v>969</v>
      </c>
      <c r="M131" s="30">
        <v>5</v>
      </c>
      <c r="N131" s="17" t="s">
        <v>32</v>
      </c>
      <c r="O131" s="17"/>
      <c r="P131" s="25" t="s">
        <v>32</v>
      </c>
      <c r="Q131" s="25" t="s">
        <v>346</v>
      </c>
      <c r="R131" s="25">
        <v>31.768319000000002</v>
      </c>
      <c r="S131" s="25">
        <v>35.213709999999999</v>
      </c>
      <c r="T131" s="22">
        <v>2</v>
      </c>
      <c r="U131" s="22">
        <v>2</v>
      </c>
      <c r="V131" s="22">
        <v>4</v>
      </c>
      <c r="W131" s="22">
        <v>2</v>
      </c>
      <c r="X131" s="22">
        <v>2</v>
      </c>
      <c r="Y131" s="18"/>
      <c r="Z131" s="22">
        <v>99</v>
      </c>
      <c r="AA131" s="22">
        <v>99</v>
      </c>
      <c r="AB131" s="18" t="s">
        <v>221</v>
      </c>
      <c r="AC131" s="22">
        <v>6</v>
      </c>
      <c r="AD131" s="22">
        <v>2</v>
      </c>
      <c r="AE131" s="22" t="s">
        <v>1763</v>
      </c>
      <c r="AF131" s="22">
        <v>1</v>
      </c>
      <c r="AG131" s="18"/>
      <c r="AH131" s="22">
        <v>1</v>
      </c>
      <c r="AI131" s="57"/>
      <c r="AJ131" s="18"/>
      <c r="AK131" s="22">
        <v>99</v>
      </c>
      <c r="AL131" s="22">
        <v>99</v>
      </c>
      <c r="AM131" s="22">
        <v>99</v>
      </c>
      <c r="AN131" s="22">
        <v>99</v>
      </c>
      <c r="AO131" s="22">
        <v>99</v>
      </c>
      <c r="AP131" s="22">
        <v>99</v>
      </c>
      <c r="AQ131" s="22" t="s">
        <v>1764</v>
      </c>
      <c r="AR131" s="2" t="s">
        <v>996</v>
      </c>
      <c r="AS131" s="22">
        <v>99</v>
      </c>
      <c r="AT131" s="22">
        <v>6</v>
      </c>
      <c r="AU131" s="22">
        <v>3</v>
      </c>
      <c r="AV131" s="22">
        <v>3</v>
      </c>
      <c r="AW131" s="22">
        <v>4</v>
      </c>
      <c r="AX131" s="37">
        <v>4</v>
      </c>
      <c r="AY131" s="22">
        <v>4</v>
      </c>
      <c r="AZ131" s="22">
        <v>1</v>
      </c>
      <c r="BA131" s="38">
        <v>9</v>
      </c>
      <c r="BB131" s="22">
        <v>99</v>
      </c>
      <c r="BC131" s="22">
        <v>99</v>
      </c>
      <c r="BD131" s="22">
        <v>99</v>
      </c>
      <c r="BE131" s="37">
        <v>99</v>
      </c>
      <c r="BF131" s="22">
        <v>0</v>
      </c>
      <c r="BG131" s="22">
        <v>5</v>
      </c>
      <c r="BH131" s="22">
        <v>5</v>
      </c>
      <c r="BI131" s="22">
        <v>4</v>
      </c>
      <c r="BJ131" s="22">
        <v>12</v>
      </c>
    </row>
    <row r="132" spans="1:62" ht="13">
      <c r="A132" s="22" t="s">
        <v>1765</v>
      </c>
      <c r="B132" s="22"/>
      <c r="C132" s="22"/>
      <c r="D132" s="22"/>
      <c r="E132" s="22">
        <v>1</v>
      </c>
      <c r="F132" s="22">
        <v>1</v>
      </c>
      <c r="G132" s="28">
        <v>2</v>
      </c>
      <c r="H132" s="28">
        <v>3</v>
      </c>
      <c r="I132" s="30">
        <v>1955</v>
      </c>
      <c r="J132" s="34">
        <f t="shared" si="0"/>
        <v>20150</v>
      </c>
      <c r="K132" s="35" t="s">
        <v>221</v>
      </c>
      <c r="L132" s="25" t="s">
        <v>970</v>
      </c>
      <c r="M132" s="30">
        <v>1</v>
      </c>
      <c r="N132" s="17" t="s">
        <v>233</v>
      </c>
      <c r="O132" s="17"/>
      <c r="P132" s="25" t="s">
        <v>971</v>
      </c>
      <c r="Q132" s="25" t="s">
        <v>992</v>
      </c>
      <c r="R132" s="25">
        <v>47.9967842</v>
      </c>
      <c r="S132" s="25">
        <v>-91.596116199999997</v>
      </c>
      <c r="T132" s="22">
        <v>2</v>
      </c>
      <c r="U132" s="22">
        <v>2</v>
      </c>
      <c r="V132" s="22">
        <v>5</v>
      </c>
      <c r="W132" s="22">
        <v>3</v>
      </c>
      <c r="X132" s="22">
        <v>1</v>
      </c>
      <c r="Y132" s="18"/>
      <c r="Z132" s="22">
        <v>99</v>
      </c>
      <c r="AA132" s="22">
        <v>1</v>
      </c>
      <c r="AB132" s="18" t="s">
        <v>221</v>
      </c>
      <c r="AC132" s="22">
        <v>11</v>
      </c>
      <c r="AD132" s="22">
        <v>2</v>
      </c>
      <c r="AE132" s="18" t="s">
        <v>221</v>
      </c>
      <c r="AF132" s="22">
        <v>99</v>
      </c>
      <c r="AG132" s="18"/>
      <c r="AH132" s="22">
        <v>99</v>
      </c>
      <c r="AI132" s="57"/>
      <c r="AJ132" s="18"/>
      <c r="AK132" s="22">
        <v>99</v>
      </c>
      <c r="AL132" s="22">
        <v>99</v>
      </c>
      <c r="AM132" s="22">
        <v>99</v>
      </c>
      <c r="AN132" s="22">
        <v>99</v>
      </c>
      <c r="AO132" s="22">
        <v>99</v>
      </c>
      <c r="AP132" s="22">
        <v>99</v>
      </c>
      <c r="AQ132" s="18" t="s">
        <v>221</v>
      </c>
      <c r="AR132" s="18" t="s">
        <v>221</v>
      </c>
      <c r="AS132" s="22">
        <v>99</v>
      </c>
      <c r="AT132" s="22">
        <v>2</v>
      </c>
      <c r="AU132" s="22">
        <v>3</v>
      </c>
      <c r="AV132" s="22">
        <v>3</v>
      </c>
      <c r="AW132" s="22">
        <v>4</v>
      </c>
      <c r="AX132" s="37">
        <v>4</v>
      </c>
      <c r="AY132" s="22">
        <v>4</v>
      </c>
      <c r="AZ132" s="22">
        <v>1</v>
      </c>
      <c r="BA132" s="38">
        <v>9</v>
      </c>
      <c r="BB132" s="22">
        <v>99</v>
      </c>
      <c r="BC132" s="22">
        <v>99</v>
      </c>
      <c r="BD132" s="22">
        <v>99</v>
      </c>
      <c r="BE132" s="37">
        <v>99</v>
      </c>
      <c r="BF132" s="22">
        <v>1</v>
      </c>
      <c r="BG132" s="22">
        <v>0</v>
      </c>
      <c r="BH132" s="22">
        <v>1</v>
      </c>
      <c r="BI132" s="22">
        <v>999</v>
      </c>
      <c r="BJ132" s="22">
        <v>99</v>
      </c>
    </row>
    <row r="133" spans="1:62" ht="13">
      <c r="A133" s="22" t="s">
        <v>1766</v>
      </c>
      <c r="B133" s="22"/>
      <c r="C133" s="22"/>
      <c r="D133" s="22"/>
      <c r="E133" s="22">
        <v>2</v>
      </c>
      <c r="F133" s="22">
        <v>1</v>
      </c>
      <c r="G133" s="28">
        <v>5</v>
      </c>
      <c r="H133" s="28">
        <v>3</v>
      </c>
      <c r="I133" s="30">
        <v>1955</v>
      </c>
      <c r="J133" s="34">
        <f t="shared" si="0"/>
        <v>20153</v>
      </c>
      <c r="K133" s="35" t="s">
        <v>221</v>
      </c>
      <c r="L133" s="25" t="s">
        <v>972</v>
      </c>
      <c r="M133" s="30">
        <v>11</v>
      </c>
      <c r="N133" s="17" t="s">
        <v>726</v>
      </c>
      <c r="O133" s="17"/>
      <c r="P133" s="18"/>
      <c r="Q133" s="41" t="s">
        <v>582</v>
      </c>
      <c r="R133" s="42">
        <v>39.912941199999999</v>
      </c>
      <c r="S133" s="42">
        <v>-104.79560549999999</v>
      </c>
      <c r="T133" s="22">
        <v>2</v>
      </c>
      <c r="U133" s="22">
        <v>2</v>
      </c>
      <c r="V133" s="22">
        <v>1</v>
      </c>
      <c r="W133" s="22">
        <v>4</v>
      </c>
      <c r="X133" s="22">
        <v>2</v>
      </c>
      <c r="Y133" s="18"/>
      <c r="Z133" s="22">
        <v>99</v>
      </c>
      <c r="AA133" s="22">
        <v>1</v>
      </c>
      <c r="AB133" s="18" t="s">
        <v>221</v>
      </c>
      <c r="AC133" s="22">
        <v>6</v>
      </c>
      <c r="AD133" s="22">
        <v>2</v>
      </c>
      <c r="AE133" s="18" t="s">
        <v>221</v>
      </c>
      <c r="AF133" s="22">
        <v>99</v>
      </c>
      <c r="AG133" s="18"/>
      <c r="AH133" s="22">
        <v>99</v>
      </c>
      <c r="AI133" s="57"/>
      <c r="AJ133" s="18"/>
      <c r="AK133" s="22">
        <v>99</v>
      </c>
      <c r="AL133" s="22">
        <v>99</v>
      </c>
      <c r="AM133" s="22">
        <v>99</v>
      </c>
      <c r="AN133" s="22">
        <v>99</v>
      </c>
      <c r="AO133" s="22">
        <v>99</v>
      </c>
      <c r="AP133" s="22">
        <v>99</v>
      </c>
      <c r="AQ133" s="22" t="s">
        <v>1767</v>
      </c>
      <c r="AR133" s="2" t="s">
        <v>921</v>
      </c>
      <c r="AS133" s="22">
        <v>2</v>
      </c>
      <c r="AT133" s="22">
        <v>6</v>
      </c>
      <c r="AU133" s="22">
        <v>3</v>
      </c>
      <c r="AV133" s="22">
        <v>3</v>
      </c>
      <c r="AW133" s="22">
        <v>4</v>
      </c>
      <c r="AX133" s="37">
        <v>4</v>
      </c>
      <c r="AY133" s="22">
        <v>4</v>
      </c>
      <c r="AZ133" s="22">
        <v>2</v>
      </c>
      <c r="BA133" s="38">
        <v>99</v>
      </c>
      <c r="BB133" s="22">
        <v>99</v>
      </c>
      <c r="BC133" s="22">
        <v>99</v>
      </c>
      <c r="BD133" s="22">
        <v>99</v>
      </c>
      <c r="BE133" s="37">
        <v>99</v>
      </c>
      <c r="BF133" s="22">
        <v>1</v>
      </c>
      <c r="BG133" s="22">
        <v>1</v>
      </c>
      <c r="BH133" s="22">
        <v>2</v>
      </c>
      <c r="BI133" s="22">
        <v>999</v>
      </c>
      <c r="BJ133" s="22">
        <v>8</v>
      </c>
    </row>
    <row r="134" spans="1:62" ht="13">
      <c r="A134" s="22" t="s">
        <v>1768</v>
      </c>
      <c r="B134" s="22"/>
      <c r="C134" s="22"/>
      <c r="D134" s="22"/>
      <c r="E134" s="22">
        <v>2</v>
      </c>
      <c r="F134" s="22">
        <v>2</v>
      </c>
      <c r="G134" s="28">
        <v>16</v>
      </c>
      <c r="H134" s="28">
        <v>3</v>
      </c>
      <c r="I134" s="30">
        <v>1955</v>
      </c>
      <c r="J134" s="34">
        <f t="shared" si="0"/>
        <v>20164</v>
      </c>
      <c r="K134" s="35" t="s">
        <v>221</v>
      </c>
      <c r="L134" s="25" t="s">
        <v>976</v>
      </c>
      <c r="M134" s="30">
        <v>7</v>
      </c>
      <c r="N134" s="17" t="s">
        <v>447</v>
      </c>
      <c r="O134" s="17"/>
      <c r="P134" s="18"/>
      <c r="Q134" s="41" t="s">
        <v>582</v>
      </c>
      <c r="R134" s="42">
        <v>39.912941199999999</v>
      </c>
      <c r="S134" s="42">
        <v>-104.79560549999999</v>
      </c>
      <c r="T134" s="22">
        <v>1</v>
      </c>
      <c r="U134" s="22">
        <v>2</v>
      </c>
      <c r="V134" s="22">
        <v>1</v>
      </c>
      <c r="W134" s="22">
        <v>2</v>
      </c>
      <c r="X134" s="22">
        <v>2</v>
      </c>
      <c r="Y134" s="18"/>
      <c r="Z134" s="22">
        <v>99</v>
      </c>
      <c r="AA134" s="22">
        <v>99</v>
      </c>
      <c r="AB134" s="18" t="s">
        <v>221</v>
      </c>
      <c r="AC134" s="22">
        <v>6</v>
      </c>
      <c r="AD134" s="22">
        <v>2</v>
      </c>
      <c r="AE134" s="18" t="s">
        <v>221</v>
      </c>
      <c r="AF134" s="22">
        <v>99</v>
      </c>
      <c r="AG134" s="18"/>
      <c r="AH134" s="22">
        <v>99</v>
      </c>
      <c r="AI134" s="57"/>
      <c r="AJ134" s="18"/>
      <c r="AK134" s="22">
        <v>99</v>
      </c>
      <c r="AL134" s="22">
        <v>99</v>
      </c>
      <c r="AM134" s="22">
        <v>99</v>
      </c>
      <c r="AN134" s="22">
        <v>99</v>
      </c>
      <c r="AO134" s="22">
        <v>99</v>
      </c>
      <c r="AP134" s="22">
        <v>99</v>
      </c>
      <c r="AQ134" s="18" t="s">
        <v>221</v>
      </c>
      <c r="AR134" s="18" t="s">
        <v>221</v>
      </c>
      <c r="AS134" s="18"/>
      <c r="AT134" s="18"/>
      <c r="AU134" s="22">
        <v>3</v>
      </c>
      <c r="AV134" s="22">
        <v>3</v>
      </c>
      <c r="AW134" s="22">
        <v>4</v>
      </c>
      <c r="AX134" s="37">
        <v>4</v>
      </c>
      <c r="AY134" s="22">
        <v>4</v>
      </c>
      <c r="AZ134" s="22">
        <v>1</v>
      </c>
      <c r="BA134" s="38">
        <v>9</v>
      </c>
      <c r="BB134" s="22">
        <v>99</v>
      </c>
      <c r="BC134" s="22">
        <v>99</v>
      </c>
      <c r="BD134" s="22">
        <v>99</v>
      </c>
      <c r="BE134" s="37">
        <v>99</v>
      </c>
      <c r="BF134" s="22">
        <v>0</v>
      </c>
      <c r="BG134" s="22">
        <v>0</v>
      </c>
      <c r="BH134" s="22">
        <v>0</v>
      </c>
      <c r="BI134" s="22">
        <v>999</v>
      </c>
      <c r="BJ134" s="22">
        <v>8</v>
      </c>
    </row>
    <row r="135" spans="1:62" ht="13">
      <c r="A135" s="18" t="s">
        <v>221</v>
      </c>
      <c r="B135" s="22"/>
      <c r="C135" s="22"/>
      <c r="D135" s="22"/>
      <c r="E135" s="22">
        <v>3</v>
      </c>
      <c r="F135" s="22">
        <v>2</v>
      </c>
      <c r="G135" s="28">
        <v>20</v>
      </c>
      <c r="H135" s="28">
        <v>3</v>
      </c>
      <c r="I135" s="30">
        <v>1955</v>
      </c>
      <c r="J135" s="34">
        <f t="shared" si="0"/>
        <v>20168</v>
      </c>
      <c r="K135" s="11" t="s">
        <v>1464</v>
      </c>
      <c r="L135" s="18"/>
      <c r="M135" s="30">
        <v>2</v>
      </c>
      <c r="N135" s="17" t="s">
        <v>1180</v>
      </c>
      <c r="O135" s="17"/>
      <c r="P135" s="25" t="s">
        <v>981</v>
      </c>
      <c r="Q135" s="25" t="s">
        <v>1769</v>
      </c>
      <c r="R135" s="25">
        <v>32.610492999999998</v>
      </c>
      <c r="S135" s="25">
        <v>35.287922000000002</v>
      </c>
      <c r="T135" s="22">
        <v>2</v>
      </c>
      <c r="U135" s="22">
        <v>1</v>
      </c>
      <c r="V135" s="22">
        <v>99</v>
      </c>
      <c r="W135" s="22">
        <v>99</v>
      </c>
      <c r="X135" s="22">
        <v>2</v>
      </c>
      <c r="Y135" s="18"/>
      <c r="Z135" s="22">
        <v>1</v>
      </c>
      <c r="AA135" s="22">
        <v>99</v>
      </c>
      <c r="AB135" s="18" t="s">
        <v>221</v>
      </c>
      <c r="AC135" s="22">
        <v>6</v>
      </c>
      <c r="AD135" s="22">
        <v>2</v>
      </c>
      <c r="AE135" s="18" t="s">
        <v>221</v>
      </c>
      <c r="AF135" s="22">
        <v>99</v>
      </c>
      <c r="AG135" s="18"/>
      <c r="AH135" s="22">
        <v>99</v>
      </c>
      <c r="AI135" s="57"/>
      <c r="AJ135" s="18"/>
      <c r="AK135" s="22">
        <v>99</v>
      </c>
      <c r="AL135" s="22">
        <v>99</v>
      </c>
      <c r="AM135" s="22">
        <v>99</v>
      </c>
      <c r="AN135" s="22">
        <v>99</v>
      </c>
      <c r="AO135" s="22">
        <v>99</v>
      </c>
      <c r="AP135" s="22">
        <v>99</v>
      </c>
      <c r="AQ135" s="18" t="s">
        <v>221</v>
      </c>
      <c r="AR135" s="18" t="s">
        <v>221</v>
      </c>
      <c r="AS135" s="18"/>
      <c r="AT135" s="18"/>
      <c r="AU135" s="22">
        <v>3</v>
      </c>
      <c r="AV135" s="22">
        <v>3</v>
      </c>
      <c r="AW135" s="22">
        <v>4</v>
      </c>
      <c r="AX135" s="37">
        <v>4</v>
      </c>
      <c r="AY135" s="22">
        <v>4</v>
      </c>
      <c r="AZ135" s="22">
        <v>2</v>
      </c>
      <c r="BA135" s="38">
        <v>99</v>
      </c>
      <c r="BB135" s="22">
        <v>99</v>
      </c>
      <c r="BC135" s="22">
        <v>99</v>
      </c>
      <c r="BD135" s="22">
        <v>99</v>
      </c>
      <c r="BE135" s="37">
        <v>99</v>
      </c>
      <c r="BF135" s="22">
        <v>0</v>
      </c>
      <c r="BG135" s="22">
        <v>0</v>
      </c>
      <c r="BH135" s="22">
        <v>0</v>
      </c>
      <c r="BI135" s="22">
        <v>3</v>
      </c>
      <c r="BJ135" s="22">
        <v>9</v>
      </c>
    </row>
    <row r="136" spans="1:62" ht="13">
      <c r="A136" s="22" t="s">
        <v>1770</v>
      </c>
      <c r="B136" s="22"/>
      <c r="C136" s="22"/>
      <c r="D136" s="22"/>
      <c r="E136" s="22">
        <v>2</v>
      </c>
      <c r="F136" s="22">
        <v>1</v>
      </c>
      <c r="G136" s="28">
        <v>21</v>
      </c>
      <c r="H136" s="28">
        <v>3</v>
      </c>
      <c r="I136" s="30">
        <v>1955</v>
      </c>
      <c r="J136" s="34">
        <f t="shared" si="0"/>
        <v>20169</v>
      </c>
      <c r="K136" s="39" t="s">
        <v>614</v>
      </c>
      <c r="L136" s="25" t="s">
        <v>983</v>
      </c>
      <c r="M136" s="30">
        <v>1</v>
      </c>
      <c r="N136" s="17" t="s">
        <v>233</v>
      </c>
      <c r="O136" s="17"/>
      <c r="P136" s="18"/>
      <c r="Q136" s="41" t="s">
        <v>582</v>
      </c>
      <c r="R136" s="42">
        <v>39.912941199999999</v>
      </c>
      <c r="S136" s="42">
        <v>-104.79560549999999</v>
      </c>
      <c r="T136" s="22">
        <v>2</v>
      </c>
      <c r="U136" s="18"/>
      <c r="V136" s="22">
        <v>5</v>
      </c>
      <c r="W136" s="22">
        <v>4</v>
      </c>
      <c r="X136" s="22">
        <v>2</v>
      </c>
      <c r="Y136" s="18"/>
      <c r="Z136" s="22">
        <v>1</v>
      </c>
      <c r="AA136" s="22">
        <v>99</v>
      </c>
      <c r="AB136" s="18" t="s">
        <v>221</v>
      </c>
      <c r="AC136" s="22">
        <v>99</v>
      </c>
      <c r="AD136" s="22">
        <v>2</v>
      </c>
      <c r="AE136" s="18" t="s">
        <v>221</v>
      </c>
      <c r="AF136" s="22">
        <v>99</v>
      </c>
      <c r="AG136" s="18"/>
      <c r="AH136" s="22">
        <v>99</v>
      </c>
      <c r="AI136" s="57"/>
      <c r="AJ136" s="18"/>
      <c r="AK136" s="22">
        <v>99</v>
      </c>
      <c r="AL136" s="22">
        <v>99</v>
      </c>
      <c r="AM136" s="22">
        <v>99</v>
      </c>
      <c r="AN136" s="22">
        <v>99</v>
      </c>
      <c r="AO136" s="22">
        <v>99</v>
      </c>
      <c r="AP136" s="22">
        <v>99</v>
      </c>
      <c r="AQ136" s="18" t="s">
        <v>221</v>
      </c>
      <c r="AR136" s="18" t="s">
        <v>221</v>
      </c>
      <c r="AS136" s="18"/>
      <c r="AT136" s="18"/>
      <c r="AU136" s="22">
        <v>3</v>
      </c>
      <c r="AV136" s="22">
        <v>3</v>
      </c>
      <c r="AW136" s="22">
        <v>4</v>
      </c>
      <c r="AX136" s="37">
        <v>4</v>
      </c>
      <c r="AY136" s="22">
        <v>4</v>
      </c>
      <c r="AZ136" s="22">
        <v>1</v>
      </c>
      <c r="BA136" s="38">
        <v>9</v>
      </c>
      <c r="BB136" s="22">
        <v>99</v>
      </c>
      <c r="BC136" s="22">
        <v>99</v>
      </c>
      <c r="BD136" s="22">
        <v>99</v>
      </c>
      <c r="BE136" s="37">
        <v>99</v>
      </c>
      <c r="BF136" s="22">
        <v>0</v>
      </c>
      <c r="BG136" s="22">
        <v>0</v>
      </c>
      <c r="BH136" s="22">
        <v>0</v>
      </c>
      <c r="BI136" s="22">
        <v>999</v>
      </c>
      <c r="BJ136" s="22">
        <v>9</v>
      </c>
    </row>
    <row r="137" spans="1:62" ht="13">
      <c r="A137" s="22" t="s">
        <v>1771</v>
      </c>
      <c r="B137" s="18"/>
      <c r="C137" s="18"/>
      <c r="D137" s="18"/>
      <c r="E137" s="18"/>
      <c r="F137" s="18"/>
      <c r="G137" s="28">
        <v>22</v>
      </c>
      <c r="H137" s="28">
        <v>3</v>
      </c>
      <c r="I137" s="30">
        <v>1955</v>
      </c>
      <c r="J137" s="34">
        <f t="shared" si="0"/>
        <v>20170</v>
      </c>
      <c r="K137" s="39" t="s">
        <v>1772</v>
      </c>
      <c r="L137" s="25" t="s">
        <v>985</v>
      </c>
      <c r="M137" s="30">
        <v>1</v>
      </c>
      <c r="N137" s="17" t="s">
        <v>233</v>
      </c>
      <c r="O137" s="17"/>
      <c r="P137" s="25" t="s">
        <v>971</v>
      </c>
      <c r="Q137" s="25" t="s">
        <v>992</v>
      </c>
      <c r="R137" s="25">
        <v>47.9967842</v>
      </c>
      <c r="S137" s="25">
        <v>-91.596116199999997</v>
      </c>
      <c r="T137" s="22">
        <v>2</v>
      </c>
      <c r="U137" s="22">
        <v>1</v>
      </c>
      <c r="V137" s="22">
        <v>5</v>
      </c>
      <c r="W137" s="18"/>
      <c r="X137" s="22">
        <v>1</v>
      </c>
      <c r="Y137" s="18"/>
      <c r="Z137" s="22">
        <v>99</v>
      </c>
      <c r="AA137" s="22">
        <v>99</v>
      </c>
      <c r="AB137" s="18" t="s">
        <v>221</v>
      </c>
      <c r="AC137" s="22">
        <v>6</v>
      </c>
      <c r="AD137" s="22">
        <v>2</v>
      </c>
      <c r="AE137" s="18" t="s">
        <v>221</v>
      </c>
      <c r="AF137" s="22">
        <v>99</v>
      </c>
      <c r="AG137" s="18"/>
      <c r="AH137" s="22">
        <v>99</v>
      </c>
      <c r="AI137" s="57"/>
      <c r="AJ137" s="18"/>
      <c r="AK137" s="22">
        <v>99</v>
      </c>
      <c r="AL137" s="22">
        <v>99</v>
      </c>
      <c r="AM137" s="22">
        <v>99</v>
      </c>
      <c r="AN137" s="22">
        <v>99</v>
      </c>
      <c r="AO137" s="22">
        <v>99</v>
      </c>
      <c r="AP137" s="22">
        <v>99</v>
      </c>
      <c r="AQ137" s="18" t="s">
        <v>221</v>
      </c>
      <c r="AR137" s="18" t="s">
        <v>221</v>
      </c>
      <c r="AS137" s="18"/>
      <c r="AT137" s="18"/>
      <c r="AU137" s="22">
        <v>3</v>
      </c>
      <c r="AV137" s="22">
        <v>3</v>
      </c>
      <c r="AW137" s="22">
        <v>4</v>
      </c>
      <c r="AX137" s="37">
        <v>4</v>
      </c>
      <c r="AY137" s="22">
        <v>4</v>
      </c>
      <c r="AZ137" s="22">
        <v>2</v>
      </c>
      <c r="BA137" s="38">
        <v>99</v>
      </c>
      <c r="BB137" s="22">
        <v>99</v>
      </c>
      <c r="BC137" s="22">
        <v>99</v>
      </c>
      <c r="BD137" s="22">
        <v>99</v>
      </c>
      <c r="BE137" s="37">
        <v>99</v>
      </c>
      <c r="BF137" s="22">
        <v>999</v>
      </c>
      <c r="BG137" s="22">
        <v>999</v>
      </c>
      <c r="BH137" s="22">
        <v>999</v>
      </c>
      <c r="BI137" s="22">
        <v>99</v>
      </c>
      <c r="BJ137" s="22">
        <v>9</v>
      </c>
    </row>
    <row r="138" spans="1:62" ht="13">
      <c r="A138" s="22" t="s">
        <v>1776</v>
      </c>
      <c r="B138" s="22"/>
      <c r="C138" s="22"/>
      <c r="D138" s="22"/>
      <c r="E138" s="22">
        <v>1</v>
      </c>
      <c r="F138" s="22">
        <v>1</v>
      </c>
      <c r="G138" s="28">
        <v>22</v>
      </c>
      <c r="H138" s="28">
        <v>3</v>
      </c>
      <c r="I138" s="30">
        <v>1955</v>
      </c>
      <c r="J138" s="34">
        <f t="shared" si="0"/>
        <v>20170</v>
      </c>
      <c r="K138" s="39" t="s">
        <v>614</v>
      </c>
      <c r="L138" s="25" t="s">
        <v>987</v>
      </c>
      <c r="M138" s="30">
        <v>99</v>
      </c>
      <c r="N138" s="52"/>
      <c r="O138" s="52"/>
      <c r="P138" s="25" t="s">
        <v>889</v>
      </c>
      <c r="Q138" s="25" t="s">
        <v>913</v>
      </c>
      <c r="R138" s="25">
        <v>32.630552199999997</v>
      </c>
      <c r="S138" s="25">
        <v>51.299747199999999</v>
      </c>
      <c r="T138" s="22">
        <v>2</v>
      </c>
      <c r="U138" s="22">
        <v>1</v>
      </c>
      <c r="V138" s="18"/>
      <c r="W138" s="22">
        <v>4</v>
      </c>
      <c r="X138" s="22">
        <v>2</v>
      </c>
      <c r="Y138" s="18"/>
      <c r="Z138" s="22">
        <v>99</v>
      </c>
      <c r="AA138" s="22">
        <v>2</v>
      </c>
      <c r="AB138" s="18" t="s">
        <v>221</v>
      </c>
      <c r="AC138" s="22">
        <v>6</v>
      </c>
      <c r="AD138" s="22">
        <v>2</v>
      </c>
      <c r="AE138" s="18" t="s">
        <v>221</v>
      </c>
      <c r="AF138" s="22">
        <v>99</v>
      </c>
      <c r="AG138" s="18"/>
      <c r="AH138" s="22">
        <v>99</v>
      </c>
      <c r="AI138" s="57"/>
      <c r="AJ138" s="18"/>
      <c r="AK138" s="22">
        <v>99</v>
      </c>
      <c r="AL138" s="22">
        <v>99</v>
      </c>
      <c r="AM138" s="22">
        <v>99</v>
      </c>
      <c r="AN138" s="22">
        <v>99</v>
      </c>
      <c r="AO138" s="22">
        <v>99</v>
      </c>
      <c r="AP138" s="22">
        <v>99</v>
      </c>
      <c r="AQ138" s="22" t="s">
        <v>1778</v>
      </c>
      <c r="AR138" s="2" t="s">
        <v>790</v>
      </c>
      <c r="AS138" s="22">
        <v>1</v>
      </c>
      <c r="AT138" s="22">
        <v>6</v>
      </c>
      <c r="AU138" s="22">
        <v>3</v>
      </c>
      <c r="AV138" s="22">
        <v>3</v>
      </c>
      <c r="AW138" s="22">
        <v>4</v>
      </c>
      <c r="AX138" s="37">
        <v>4</v>
      </c>
      <c r="AY138" s="22">
        <v>4</v>
      </c>
      <c r="AZ138" s="22">
        <v>1</v>
      </c>
      <c r="BA138" s="38">
        <v>9</v>
      </c>
      <c r="BB138" s="22">
        <v>99</v>
      </c>
      <c r="BC138" s="22">
        <v>99</v>
      </c>
      <c r="BD138" s="22">
        <v>99</v>
      </c>
      <c r="BE138" s="37">
        <v>99</v>
      </c>
      <c r="BF138" s="22">
        <v>2</v>
      </c>
      <c r="BG138" s="22">
        <v>1</v>
      </c>
      <c r="BH138" s="22">
        <v>3</v>
      </c>
      <c r="BI138" s="22">
        <v>2</v>
      </c>
      <c r="BJ138" s="22">
        <v>7</v>
      </c>
    </row>
    <row r="139" spans="1:62" ht="13">
      <c r="A139" s="22" t="s">
        <v>1779</v>
      </c>
      <c r="B139" s="22"/>
      <c r="C139" s="22"/>
      <c r="D139" s="22"/>
      <c r="E139" s="22">
        <v>2</v>
      </c>
      <c r="F139" s="22">
        <v>1</v>
      </c>
      <c r="G139" s="28">
        <v>23</v>
      </c>
      <c r="H139" s="28">
        <v>3</v>
      </c>
      <c r="I139" s="30">
        <v>1955</v>
      </c>
      <c r="J139" s="34">
        <f t="shared" si="0"/>
        <v>20171</v>
      </c>
      <c r="K139" s="39" t="s">
        <v>830</v>
      </c>
      <c r="L139" s="25" t="s">
        <v>988</v>
      </c>
      <c r="M139" s="30">
        <v>1</v>
      </c>
      <c r="N139" s="17" t="s">
        <v>233</v>
      </c>
      <c r="O139" s="17"/>
      <c r="P139" s="25" t="s">
        <v>32</v>
      </c>
      <c r="Q139" s="25" t="s">
        <v>346</v>
      </c>
      <c r="R139" s="25">
        <v>31.768319000000002</v>
      </c>
      <c r="S139" s="25">
        <v>35.213709999999999</v>
      </c>
      <c r="T139" s="22">
        <v>2</v>
      </c>
      <c r="U139" s="22">
        <v>2</v>
      </c>
      <c r="V139" s="22">
        <v>1</v>
      </c>
      <c r="W139" s="22">
        <v>2</v>
      </c>
      <c r="X139" s="22">
        <v>2</v>
      </c>
      <c r="Y139" s="18"/>
      <c r="Z139" s="22">
        <v>99</v>
      </c>
      <c r="AA139" s="22">
        <v>1</v>
      </c>
      <c r="AB139" s="18" t="s">
        <v>221</v>
      </c>
      <c r="AC139" s="22">
        <v>7</v>
      </c>
      <c r="AD139" s="22">
        <v>2</v>
      </c>
      <c r="AE139" s="18" t="s">
        <v>221</v>
      </c>
      <c r="AF139" s="22">
        <v>99</v>
      </c>
      <c r="AG139" s="18"/>
      <c r="AH139" s="22">
        <v>99</v>
      </c>
      <c r="AI139" s="57"/>
      <c r="AJ139" s="18"/>
      <c r="AK139" s="22">
        <v>99</v>
      </c>
      <c r="AL139" s="22">
        <v>99</v>
      </c>
      <c r="AM139" s="22">
        <v>99</v>
      </c>
      <c r="AN139" s="22">
        <v>99</v>
      </c>
      <c r="AO139" s="22">
        <v>99</v>
      </c>
      <c r="AP139" s="22">
        <v>99</v>
      </c>
      <c r="AQ139" s="18" t="s">
        <v>221</v>
      </c>
      <c r="AR139" s="18" t="s">
        <v>221</v>
      </c>
      <c r="AS139" s="18"/>
      <c r="AT139" s="18"/>
      <c r="AU139" s="22">
        <v>3</v>
      </c>
      <c r="AV139" s="22">
        <v>3</v>
      </c>
      <c r="AW139" s="22">
        <v>4</v>
      </c>
      <c r="AX139" s="37">
        <v>4</v>
      </c>
      <c r="AY139" s="22">
        <v>4</v>
      </c>
      <c r="AZ139" s="22">
        <v>2</v>
      </c>
      <c r="BA139" s="38">
        <v>99</v>
      </c>
      <c r="BB139" s="22">
        <v>99</v>
      </c>
      <c r="BC139" s="22">
        <v>99</v>
      </c>
      <c r="BD139" s="22">
        <v>99</v>
      </c>
      <c r="BE139" s="37">
        <v>99</v>
      </c>
      <c r="BF139" s="22">
        <v>999</v>
      </c>
      <c r="BG139" s="22">
        <v>999</v>
      </c>
      <c r="BH139" s="22">
        <v>999</v>
      </c>
      <c r="BI139" s="22">
        <v>999</v>
      </c>
      <c r="BJ139" s="22">
        <v>8</v>
      </c>
    </row>
    <row r="140" spans="1:62" ht="13">
      <c r="A140" s="22" t="s">
        <v>1780</v>
      </c>
      <c r="B140" s="22"/>
      <c r="C140" s="22"/>
      <c r="D140" s="22"/>
      <c r="E140" s="22">
        <v>2</v>
      </c>
      <c r="F140" s="22">
        <v>2</v>
      </c>
      <c r="G140" s="28">
        <v>25</v>
      </c>
      <c r="H140" s="28">
        <v>3</v>
      </c>
      <c r="I140" s="30">
        <v>1955</v>
      </c>
      <c r="J140" s="34">
        <f t="shared" si="0"/>
        <v>20173</v>
      </c>
      <c r="K140" s="11" t="s">
        <v>690</v>
      </c>
      <c r="L140" s="25" t="s">
        <v>989</v>
      </c>
      <c r="M140" s="30">
        <v>7</v>
      </c>
      <c r="N140" s="17" t="s">
        <v>447</v>
      </c>
      <c r="O140" s="17"/>
      <c r="P140" s="18"/>
      <c r="Q140" s="41" t="s">
        <v>582</v>
      </c>
      <c r="R140" s="42">
        <v>39.912941199999999</v>
      </c>
      <c r="S140" s="42">
        <v>-104.79560549999999</v>
      </c>
      <c r="T140" s="22">
        <v>1</v>
      </c>
      <c r="U140" s="22">
        <v>2</v>
      </c>
      <c r="V140" s="22">
        <v>1</v>
      </c>
      <c r="W140" s="22">
        <v>2</v>
      </c>
      <c r="X140" s="22">
        <v>2</v>
      </c>
      <c r="Y140" s="18"/>
      <c r="Z140" s="22">
        <v>99</v>
      </c>
      <c r="AA140" s="22">
        <v>2</v>
      </c>
      <c r="AB140" s="18" t="s">
        <v>221</v>
      </c>
      <c r="AC140" s="22">
        <v>14</v>
      </c>
      <c r="AD140" s="22">
        <v>2</v>
      </c>
      <c r="AE140" s="18" t="s">
        <v>221</v>
      </c>
      <c r="AF140" s="22">
        <v>99</v>
      </c>
      <c r="AG140" s="18"/>
      <c r="AH140" s="22">
        <v>99</v>
      </c>
      <c r="AI140" s="57"/>
      <c r="AJ140" s="18"/>
      <c r="AK140" s="22">
        <v>99</v>
      </c>
      <c r="AL140" s="22">
        <v>99</v>
      </c>
      <c r="AM140" s="22">
        <v>99</v>
      </c>
      <c r="AN140" s="22">
        <v>99</v>
      </c>
      <c r="AO140" s="22">
        <v>99</v>
      </c>
      <c r="AP140" s="22">
        <v>99</v>
      </c>
      <c r="AQ140" s="18" t="s">
        <v>221</v>
      </c>
      <c r="AR140" s="18" t="s">
        <v>221</v>
      </c>
      <c r="AS140" s="18"/>
      <c r="AT140" s="18"/>
      <c r="AU140" s="22">
        <v>3</v>
      </c>
      <c r="AV140" s="22">
        <v>3</v>
      </c>
      <c r="AW140" s="22">
        <v>4</v>
      </c>
      <c r="AX140" s="37">
        <v>4</v>
      </c>
      <c r="AY140" s="22">
        <v>4</v>
      </c>
      <c r="AZ140" s="22">
        <v>2</v>
      </c>
      <c r="BA140" s="38">
        <v>99</v>
      </c>
      <c r="BB140" s="22">
        <v>99</v>
      </c>
      <c r="BC140" s="22">
        <v>99</v>
      </c>
      <c r="BD140" s="22">
        <v>99</v>
      </c>
      <c r="BE140" s="37">
        <v>99</v>
      </c>
      <c r="BF140" s="22">
        <v>999</v>
      </c>
      <c r="BG140" s="22">
        <v>999</v>
      </c>
      <c r="BH140" s="22">
        <v>999</v>
      </c>
      <c r="BI140" s="22">
        <v>999</v>
      </c>
      <c r="BJ140" s="22">
        <v>99</v>
      </c>
    </row>
    <row r="141" spans="1:62" ht="13">
      <c r="A141" s="22" t="s">
        <v>1782</v>
      </c>
      <c r="B141" s="22"/>
      <c r="C141" s="22"/>
      <c r="D141" s="22"/>
      <c r="E141" s="22">
        <v>3</v>
      </c>
      <c r="F141" s="22">
        <v>1</v>
      </c>
      <c r="G141" s="28">
        <v>3</v>
      </c>
      <c r="H141" s="28">
        <v>4</v>
      </c>
      <c r="I141" s="30">
        <v>1955</v>
      </c>
      <c r="J141" s="34">
        <f t="shared" si="0"/>
        <v>20182</v>
      </c>
      <c r="K141" s="39" t="s">
        <v>614</v>
      </c>
      <c r="L141" s="25" t="s">
        <v>997</v>
      </c>
      <c r="M141" s="30">
        <v>14</v>
      </c>
      <c r="N141" s="52"/>
      <c r="O141" s="52"/>
      <c r="P141" s="18"/>
      <c r="Q141" s="41" t="s">
        <v>582</v>
      </c>
      <c r="R141" s="124"/>
      <c r="S141" s="124"/>
      <c r="T141" s="22">
        <v>1</v>
      </c>
      <c r="U141" s="22">
        <v>2</v>
      </c>
      <c r="V141" s="18"/>
      <c r="W141" s="18"/>
      <c r="X141" s="18"/>
      <c r="Y141" s="18"/>
      <c r="Z141" s="22">
        <v>99</v>
      </c>
      <c r="AA141" s="22">
        <v>1</v>
      </c>
      <c r="AB141" s="18" t="s">
        <v>221</v>
      </c>
      <c r="AC141" s="22">
        <v>99</v>
      </c>
      <c r="AD141" s="22">
        <v>2</v>
      </c>
      <c r="AE141" s="18" t="s">
        <v>221</v>
      </c>
      <c r="AF141" s="22">
        <v>99</v>
      </c>
      <c r="AG141" s="18"/>
      <c r="AH141" s="22">
        <v>99</v>
      </c>
      <c r="AI141" s="57"/>
      <c r="AJ141" s="18"/>
      <c r="AK141" s="22">
        <v>99</v>
      </c>
      <c r="AL141" s="22">
        <v>99</v>
      </c>
      <c r="AM141" s="22">
        <v>99</v>
      </c>
      <c r="AN141" s="22">
        <v>99</v>
      </c>
      <c r="AO141" s="22">
        <v>99</v>
      </c>
      <c r="AP141" s="22">
        <v>99</v>
      </c>
      <c r="AQ141" s="18" t="s">
        <v>221</v>
      </c>
      <c r="AR141" s="18" t="s">
        <v>221</v>
      </c>
      <c r="AS141" s="18"/>
      <c r="AT141" s="18"/>
      <c r="AU141" s="22">
        <v>3</v>
      </c>
      <c r="AV141" s="22">
        <v>3</v>
      </c>
      <c r="AW141" s="22">
        <v>4</v>
      </c>
      <c r="AX141" s="37">
        <v>4</v>
      </c>
      <c r="AY141" s="22">
        <v>4</v>
      </c>
      <c r="AZ141" s="22">
        <v>1</v>
      </c>
      <c r="BA141" s="38">
        <v>9</v>
      </c>
      <c r="BB141" s="22">
        <v>99</v>
      </c>
      <c r="BC141" s="22">
        <v>99</v>
      </c>
      <c r="BD141" s="22">
        <v>99</v>
      </c>
      <c r="BE141" s="37">
        <v>99</v>
      </c>
      <c r="BF141" s="22">
        <v>0</v>
      </c>
      <c r="BG141" s="22">
        <v>0</v>
      </c>
      <c r="BH141" s="22">
        <v>0</v>
      </c>
      <c r="BI141" s="22">
        <v>999</v>
      </c>
      <c r="BJ141" s="22">
        <v>10</v>
      </c>
    </row>
    <row r="142" spans="1:62" ht="13">
      <c r="A142" s="22" t="s">
        <v>1785</v>
      </c>
      <c r="B142" s="22"/>
      <c r="C142" s="22"/>
      <c r="D142" s="22"/>
      <c r="E142" s="22">
        <v>2</v>
      </c>
      <c r="F142" s="22">
        <v>1</v>
      </c>
      <c r="G142" s="28">
        <v>4</v>
      </c>
      <c r="H142" s="28">
        <v>4</v>
      </c>
      <c r="I142" s="30">
        <v>1955</v>
      </c>
      <c r="J142" s="34">
        <f t="shared" si="0"/>
        <v>20183</v>
      </c>
      <c r="K142" s="39" t="s">
        <v>328</v>
      </c>
      <c r="L142" s="25" t="s">
        <v>999</v>
      </c>
      <c r="M142" s="30">
        <v>1</v>
      </c>
      <c r="N142" s="17" t="s">
        <v>233</v>
      </c>
      <c r="O142" s="17"/>
      <c r="P142" s="25" t="s">
        <v>1001</v>
      </c>
      <c r="Q142" s="25" t="s">
        <v>1006</v>
      </c>
      <c r="R142" s="105"/>
      <c r="S142" s="105"/>
      <c r="T142" s="22">
        <v>2</v>
      </c>
      <c r="U142" s="22">
        <v>1</v>
      </c>
      <c r="V142" s="22">
        <v>1</v>
      </c>
      <c r="W142" s="22">
        <v>2</v>
      </c>
      <c r="X142" s="22">
        <v>2</v>
      </c>
      <c r="Y142" s="18"/>
      <c r="Z142" s="22">
        <v>99</v>
      </c>
      <c r="AA142" s="22">
        <v>99</v>
      </c>
      <c r="AB142" s="18" t="s">
        <v>221</v>
      </c>
      <c r="AC142" s="22">
        <v>99</v>
      </c>
      <c r="AD142" s="22">
        <v>99</v>
      </c>
      <c r="AE142" s="18" t="s">
        <v>221</v>
      </c>
      <c r="AF142" s="22">
        <v>99</v>
      </c>
      <c r="AG142" s="18"/>
      <c r="AH142" s="22">
        <v>99</v>
      </c>
      <c r="AI142" s="57"/>
      <c r="AJ142" s="18"/>
      <c r="AK142" s="22">
        <v>99</v>
      </c>
      <c r="AL142" s="22">
        <v>99</v>
      </c>
      <c r="AM142" s="22">
        <v>99</v>
      </c>
      <c r="AN142" s="22">
        <v>99</v>
      </c>
      <c r="AO142" s="22">
        <v>99</v>
      </c>
      <c r="AP142" s="22">
        <v>99</v>
      </c>
      <c r="AQ142" s="22" t="s">
        <v>1786</v>
      </c>
      <c r="AR142" s="2" t="s">
        <v>790</v>
      </c>
      <c r="AS142" s="22">
        <v>1</v>
      </c>
      <c r="AT142" s="22">
        <v>99</v>
      </c>
      <c r="AU142" s="22">
        <v>3</v>
      </c>
      <c r="AV142" s="22">
        <v>3</v>
      </c>
      <c r="AW142" s="22">
        <v>4</v>
      </c>
      <c r="AX142" s="37">
        <v>4</v>
      </c>
      <c r="AY142" s="22">
        <v>4</v>
      </c>
      <c r="AZ142" s="22">
        <v>1</v>
      </c>
      <c r="BA142" s="38">
        <v>9</v>
      </c>
      <c r="BB142" s="22">
        <v>99</v>
      </c>
      <c r="BC142" s="22">
        <v>99</v>
      </c>
      <c r="BD142" s="22">
        <v>99</v>
      </c>
      <c r="BE142" s="37">
        <v>99</v>
      </c>
      <c r="BF142" s="22">
        <v>999</v>
      </c>
      <c r="BG142" s="22">
        <v>999</v>
      </c>
      <c r="BH142" s="22">
        <v>999</v>
      </c>
      <c r="BI142" s="22">
        <v>999</v>
      </c>
      <c r="BJ142" s="22">
        <v>12</v>
      </c>
    </row>
    <row r="143" spans="1:62" ht="13">
      <c r="A143" s="22" t="s">
        <v>1787</v>
      </c>
      <c r="B143" s="22"/>
      <c r="C143" s="22"/>
      <c r="D143" s="22"/>
      <c r="E143" s="22">
        <v>2</v>
      </c>
      <c r="F143" s="22">
        <v>2</v>
      </c>
      <c r="G143" s="28">
        <v>8</v>
      </c>
      <c r="H143" s="28">
        <v>4</v>
      </c>
      <c r="I143" s="30">
        <v>1955</v>
      </c>
      <c r="J143" s="34">
        <f t="shared" si="0"/>
        <v>20187</v>
      </c>
      <c r="K143" s="35" t="s">
        <v>221</v>
      </c>
      <c r="L143" s="25" t="s">
        <v>1002</v>
      </c>
      <c r="M143" s="30">
        <v>1</v>
      </c>
      <c r="N143" s="17" t="s">
        <v>233</v>
      </c>
      <c r="O143" s="17"/>
      <c r="P143" s="25" t="s">
        <v>1003</v>
      </c>
      <c r="Q143" s="25" t="s">
        <v>1010</v>
      </c>
      <c r="R143" s="105"/>
      <c r="S143" s="105"/>
      <c r="T143" s="22">
        <v>2</v>
      </c>
      <c r="U143" s="22">
        <v>2</v>
      </c>
      <c r="V143" s="22">
        <v>1</v>
      </c>
      <c r="W143" s="22">
        <v>4</v>
      </c>
      <c r="X143" s="22">
        <v>2</v>
      </c>
      <c r="Y143" s="18"/>
      <c r="Z143" s="22">
        <v>99</v>
      </c>
      <c r="AA143" s="22">
        <v>2</v>
      </c>
      <c r="AB143" s="18" t="s">
        <v>221</v>
      </c>
      <c r="AC143" s="22">
        <v>6</v>
      </c>
      <c r="AD143" s="22">
        <v>2</v>
      </c>
      <c r="AE143" s="18" t="s">
        <v>221</v>
      </c>
      <c r="AF143" s="22">
        <v>99</v>
      </c>
      <c r="AG143" s="18"/>
      <c r="AH143" s="22">
        <v>99</v>
      </c>
      <c r="AI143" s="57"/>
      <c r="AJ143" s="18"/>
      <c r="AK143" s="22">
        <v>99</v>
      </c>
      <c r="AL143" s="22">
        <v>99</v>
      </c>
      <c r="AM143" s="22">
        <v>99</v>
      </c>
      <c r="AN143" s="22">
        <v>99</v>
      </c>
      <c r="AO143" s="22">
        <v>99</v>
      </c>
      <c r="AP143" s="22">
        <v>99</v>
      </c>
      <c r="AQ143" s="22" t="s">
        <v>1788</v>
      </c>
      <c r="AR143" s="2" t="s">
        <v>1281</v>
      </c>
      <c r="AS143" s="22">
        <v>5</v>
      </c>
      <c r="AT143" s="22">
        <v>4</v>
      </c>
      <c r="AU143" s="22">
        <v>3</v>
      </c>
      <c r="AV143" s="22">
        <v>3</v>
      </c>
      <c r="AW143" s="22">
        <v>4</v>
      </c>
      <c r="AX143" s="37">
        <v>4</v>
      </c>
      <c r="AY143" s="22">
        <v>4</v>
      </c>
      <c r="AZ143" s="22">
        <v>1</v>
      </c>
      <c r="BA143" s="38">
        <v>9</v>
      </c>
      <c r="BB143" s="22">
        <v>99</v>
      </c>
      <c r="BC143" s="22">
        <v>99</v>
      </c>
      <c r="BD143" s="22">
        <v>99</v>
      </c>
      <c r="BE143" s="37">
        <v>99</v>
      </c>
      <c r="BF143" s="22">
        <v>1</v>
      </c>
      <c r="BG143" s="22">
        <v>0</v>
      </c>
      <c r="BH143" s="22">
        <v>1</v>
      </c>
      <c r="BI143" s="22">
        <v>999</v>
      </c>
      <c r="BJ143" s="22">
        <v>5</v>
      </c>
    </row>
    <row r="144" spans="1:62" ht="13">
      <c r="A144" s="22" t="s">
        <v>1789</v>
      </c>
      <c r="B144" s="22"/>
      <c r="C144" s="22"/>
      <c r="D144" s="22"/>
      <c r="E144" s="22">
        <v>2</v>
      </c>
      <c r="F144" s="22">
        <v>1</v>
      </c>
      <c r="G144" s="28">
        <v>13</v>
      </c>
      <c r="H144" s="28">
        <v>4</v>
      </c>
      <c r="I144" s="30">
        <v>1955</v>
      </c>
      <c r="J144" s="34">
        <f t="shared" si="0"/>
        <v>20192</v>
      </c>
      <c r="K144" s="35" t="s">
        <v>221</v>
      </c>
      <c r="L144" s="25" t="s">
        <v>1005</v>
      </c>
      <c r="M144" s="30">
        <v>1</v>
      </c>
      <c r="N144" s="17" t="s">
        <v>233</v>
      </c>
      <c r="O144" s="17"/>
      <c r="P144" s="25" t="s">
        <v>711</v>
      </c>
      <c r="Q144" s="25" t="s">
        <v>712</v>
      </c>
      <c r="R144" s="25">
        <v>29.557669000000001</v>
      </c>
      <c r="S144" s="25">
        <v>34.951925000000003</v>
      </c>
      <c r="T144" s="22">
        <v>2</v>
      </c>
      <c r="U144" s="22">
        <v>1</v>
      </c>
      <c r="V144" s="22">
        <v>5</v>
      </c>
      <c r="W144" s="22">
        <v>4</v>
      </c>
      <c r="X144" s="22">
        <v>2</v>
      </c>
      <c r="Y144" s="18"/>
      <c r="Z144" s="22">
        <v>99</v>
      </c>
      <c r="AA144" s="22">
        <v>1</v>
      </c>
      <c r="AB144" s="18" t="s">
        <v>221</v>
      </c>
      <c r="AC144" s="22">
        <v>9</v>
      </c>
      <c r="AD144" s="22">
        <v>2</v>
      </c>
      <c r="AE144" s="18" t="s">
        <v>221</v>
      </c>
      <c r="AF144" s="22">
        <v>99</v>
      </c>
      <c r="AG144" s="18"/>
      <c r="AH144" s="22">
        <v>99</v>
      </c>
      <c r="AI144" s="57"/>
      <c r="AJ144" s="18"/>
      <c r="AK144" s="22">
        <v>99</v>
      </c>
      <c r="AL144" s="22">
        <v>99</v>
      </c>
      <c r="AM144" s="22">
        <v>99</v>
      </c>
      <c r="AN144" s="22">
        <v>99</v>
      </c>
      <c r="AO144" s="22">
        <v>99</v>
      </c>
      <c r="AP144" s="22">
        <v>99</v>
      </c>
      <c r="AQ144" s="22" t="s">
        <v>1791</v>
      </c>
      <c r="AR144" s="18" t="s">
        <v>221</v>
      </c>
      <c r="AS144" s="22">
        <v>5</v>
      </c>
      <c r="AT144" s="22">
        <v>4</v>
      </c>
      <c r="AU144" s="22">
        <v>3</v>
      </c>
      <c r="AV144" s="22">
        <v>3</v>
      </c>
      <c r="AW144" s="22">
        <v>4</v>
      </c>
      <c r="AX144" s="37">
        <v>4</v>
      </c>
      <c r="AY144" s="22">
        <v>4</v>
      </c>
      <c r="AZ144" s="22">
        <v>1</v>
      </c>
      <c r="BA144" s="38">
        <v>9</v>
      </c>
      <c r="BB144" s="22">
        <v>99</v>
      </c>
      <c r="BC144" s="22">
        <v>99</v>
      </c>
      <c r="BD144" s="22">
        <v>99</v>
      </c>
      <c r="BE144" s="37">
        <v>99</v>
      </c>
      <c r="BF144" s="22">
        <v>5</v>
      </c>
      <c r="BG144" s="22">
        <v>0</v>
      </c>
      <c r="BH144" s="22">
        <v>5</v>
      </c>
      <c r="BI144" s="22">
        <v>99</v>
      </c>
      <c r="BJ144" s="22">
        <v>7</v>
      </c>
    </row>
    <row r="145" spans="1:62" ht="13">
      <c r="A145" s="22" t="s">
        <v>1792</v>
      </c>
      <c r="B145" s="22"/>
      <c r="C145" s="22"/>
      <c r="D145" s="22"/>
      <c r="E145" s="22">
        <v>1</v>
      </c>
      <c r="F145" s="22">
        <v>1</v>
      </c>
      <c r="G145" s="28">
        <v>17</v>
      </c>
      <c r="H145" s="28">
        <v>4</v>
      </c>
      <c r="I145" s="30">
        <v>1955</v>
      </c>
      <c r="J145" s="34">
        <f t="shared" si="0"/>
        <v>20196</v>
      </c>
      <c r="K145" s="11" t="s">
        <v>690</v>
      </c>
      <c r="L145" s="25" t="s">
        <v>1007</v>
      </c>
      <c r="M145" s="30">
        <v>5</v>
      </c>
      <c r="N145" s="17" t="s">
        <v>32</v>
      </c>
      <c r="O145" s="17"/>
      <c r="P145" s="25" t="s">
        <v>32</v>
      </c>
      <c r="Q145" s="25" t="s">
        <v>346</v>
      </c>
      <c r="R145" s="25">
        <v>31.768319000000002</v>
      </c>
      <c r="S145" s="25">
        <v>35.213709999999999</v>
      </c>
      <c r="T145" s="22">
        <v>2</v>
      </c>
      <c r="U145" s="22">
        <v>2</v>
      </c>
      <c r="V145" s="22">
        <v>1</v>
      </c>
      <c r="W145" s="22">
        <v>2</v>
      </c>
      <c r="X145" s="22">
        <v>2</v>
      </c>
      <c r="Y145" s="18"/>
      <c r="Z145" s="22">
        <v>5</v>
      </c>
      <c r="AA145" s="22">
        <v>1</v>
      </c>
      <c r="AB145" s="18" t="s">
        <v>221</v>
      </c>
      <c r="AC145" s="22">
        <v>99</v>
      </c>
      <c r="AD145" s="22">
        <v>2</v>
      </c>
      <c r="AE145" s="18" t="s">
        <v>221</v>
      </c>
      <c r="AF145" s="22">
        <v>99</v>
      </c>
      <c r="AG145" s="18"/>
      <c r="AH145" s="22">
        <v>99</v>
      </c>
      <c r="AI145" s="57"/>
      <c r="AJ145" s="18"/>
      <c r="AK145" s="22">
        <v>99</v>
      </c>
      <c r="AL145" s="22">
        <v>99</v>
      </c>
      <c r="AM145" s="22">
        <v>99</v>
      </c>
      <c r="AN145" s="22">
        <v>99</v>
      </c>
      <c r="AO145" s="22">
        <v>99</v>
      </c>
      <c r="AP145" s="22">
        <v>99</v>
      </c>
      <c r="AQ145" s="18" t="s">
        <v>221</v>
      </c>
      <c r="AR145" s="18" t="s">
        <v>221</v>
      </c>
      <c r="AS145" s="18"/>
      <c r="AT145" s="18"/>
      <c r="AU145" s="22">
        <v>3</v>
      </c>
      <c r="AV145" s="22">
        <v>3</v>
      </c>
      <c r="AW145" s="22">
        <v>4</v>
      </c>
      <c r="AX145" s="37">
        <v>4</v>
      </c>
      <c r="AY145" s="22">
        <v>4</v>
      </c>
      <c r="AZ145" s="22">
        <v>2</v>
      </c>
      <c r="BA145" s="38">
        <v>99</v>
      </c>
      <c r="BB145" s="22">
        <v>99</v>
      </c>
      <c r="BC145" s="22">
        <v>99</v>
      </c>
      <c r="BD145" s="22">
        <v>99</v>
      </c>
      <c r="BE145" s="37">
        <v>99</v>
      </c>
      <c r="BF145" s="22">
        <v>999</v>
      </c>
      <c r="BG145" s="22">
        <v>999</v>
      </c>
      <c r="BH145" s="22">
        <v>999</v>
      </c>
      <c r="BI145" s="22">
        <v>999</v>
      </c>
      <c r="BJ145" s="22">
        <v>8</v>
      </c>
    </row>
    <row r="146" spans="1:62" ht="13">
      <c r="A146" s="22" t="s">
        <v>1797</v>
      </c>
      <c r="B146" s="22"/>
      <c r="C146" s="22"/>
      <c r="D146" s="22"/>
      <c r="E146" s="22">
        <v>3</v>
      </c>
      <c r="F146" s="22">
        <v>2</v>
      </c>
      <c r="G146" s="28">
        <v>18</v>
      </c>
      <c r="H146" s="28">
        <v>4</v>
      </c>
      <c r="I146" s="30">
        <v>1955</v>
      </c>
      <c r="J146" s="34">
        <f t="shared" si="0"/>
        <v>20197</v>
      </c>
      <c r="K146" s="35" t="s">
        <v>221</v>
      </c>
      <c r="L146" s="25" t="s">
        <v>1008</v>
      </c>
      <c r="M146" s="30">
        <v>5</v>
      </c>
      <c r="N146" s="17" t="s">
        <v>32</v>
      </c>
      <c r="O146" s="17"/>
      <c r="P146" s="25" t="s">
        <v>32</v>
      </c>
      <c r="Q146" s="25" t="s">
        <v>346</v>
      </c>
      <c r="R146" s="25">
        <v>31.768319000000002</v>
      </c>
      <c r="S146" s="25">
        <v>35.213709999999999</v>
      </c>
      <c r="T146" s="22">
        <v>2</v>
      </c>
      <c r="U146" s="22">
        <v>2</v>
      </c>
      <c r="V146" s="22">
        <v>1</v>
      </c>
      <c r="W146" s="22">
        <v>2</v>
      </c>
      <c r="X146" s="22">
        <v>2</v>
      </c>
      <c r="Y146" s="18"/>
      <c r="Z146" s="22">
        <v>5</v>
      </c>
      <c r="AA146" s="22">
        <v>2</v>
      </c>
      <c r="AB146" s="22" t="s">
        <v>1805</v>
      </c>
      <c r="AC146" s="22">
        <v>6</v>
      </c>
      <c r="AD146" s="22">
        <v>2</v>
      </c>
      <c r="AE146" s="18" t="s">
        <v>221</v>
      </c>
      <c r="AF146" s="22">
        <v>99</v>
      </c>
      <c r="AG146" s="18"/>
      <c r="AH146" s="22">
        <v>99</v>
      </c>
      <c r="AI146" s="57"/>
      <c r="AJ146" s="18"/>
      <c r="AK146" s="22">
        <v>99</v>
      </c>
      <c r="AL146" s="22">
        <v>99</v>
      </c>
      <c r="AM146" s="22">
        <v>99</v>
      </c>
      <c r="AN146" s="22">
        <v>99</v>
      </c>
      <c r="AO146" s="22">
        <v>99</v>
      </c>
      <c r="AP146" s="22">
        <v>99</v>
      </c>
      <c r="AQ146" s="18" t="s">
        <v>221</v>
      </c>
      <c r="AR146" s="18" t="s">
        <v>221</v>
      </c>
      <c r="AS146" s="18"/>
      <c r="AT146" s="18"/>
      <c r="AU146" s="22">
        <v>3</v>
      </c>
      <c r="AV146" s="22">
        <v>3</v>
      </c>
      <c r="AW146" s="22">
        <v>4</v>
      </c>
      <c r="AX146" s="37">
        <v>4</v>
      </c>
      <c r="AY146" s="22">
        <v>4</v>
      </c>
      <c r="AZ146" s="22">
        <v>2</v>
      </c>
      <c r="BA146" s="38">
        <v>99</v>
      </c>
      <c r="BB146" s="22">
        <v>99</v>
      </c>
      <c r="BC146" s="22">
        <v>99</v>
      </c>
      <c r="BD146" s="22">
        <v>99</v>
      </c>
      <c r="BE146" s="37">
        <v>99</v>
      </c>
      <c r="BF146" s="22">
        <v>999</v>
      </c>
      <c r="BG146" s="22">
        <v>999</v>
      </c>
      <c r="BH146" s="22">
        <v>999</v>
      </c>
      <c r="BI146" s="22">
        <v>999</v>
      </c>
      <c r="BJ146" s="22">
        <v>8</v>
      </c>
    </row>
    <row r="147" spans="1:62" ht="13">
      <c r="A147" s="22" t="s">
        <v>1817</v>
      </c>
      <c r="B147" s="22"/>
      <c r="C147" s="22"/>
      <c r="D147" s="22"/>
      <c r="E147" s="22">
        <v>2</v>
      </c>
      <c r="F147" s="22">
        <v>1</v>
      </c>
      <c r="G147" s="28">
        <v>20</v>
      </c>
      <c r="H147" s="28">
        <v>4</v>
      </c>
      <c r="I147" s="30">
        <v>1955</v>
      </c>
      <c r="J147" s="34">
        <f t="shared" si="0"/>
        <v>20199</v>
      </c>
      <c r="K147" s="35" t="s">
        <v>221</v>
      </c>
      <c r="L147" s="25" t="s">
        <v>1009</v>
      </c>
      <c r="M147" s="30">
        <v>1</v>
      </c>
      <c r="N147" s="17" t="s">
        <v>233</v>
      </c>
      <c r="O147" s="17"/>
      <c r="P147" s="25" t="s">
        <v>32</v>
      </c>
      <c r="Q147" s="25" t="s">
        <v>346</v>
      </c>
      <c r="R147" s="25">
        <v>31.768319000000002</v>
      </c>
      <c r="S147" s="25">
        <v>35.213709999999999</v>
      </c>
      <c r="T147" s="22">
        <v>2</v>
      </c>
      <c r="U147" s="22">
        <v>2</v>
      </c>
      <c r="V147" s="22">
        <v>5</v>
      </c>
      <c r="W147" s="22">
        <v>2</v>
      </c>
      <c r="X147" s="22">
        <v>2</v>
      </c>
      <c r="Y147" s="18"/>
      <c r="Z147" s="22">
        <v>5</v>
      </c>
      <c r="AA147" s="22">
        <v>99</v>
      </c>
      <c r="AB147" s="18" t="s">
        <v>221</v>
      </c>
      <c r="AC147" s="22">
        <v>6</v>
      </c>
      <c r="AD147" s="22">
        <v>2</v>
      </c>
      <c r="AE147" s="18" t="s">
        <v>221</v>
      </c>
      <c r="AF147" s="22">
        <v>99</v>
      </c>
      <c r="AG147" s="18"/>
      <c r="AH147" s="22">
        <v>99</v>
      </c>
      <c r="AI147" s="57"/>
      <c r="AJ147" s="18"/>
      <c r="AK147" s="22">
        <v>99</v>
      </c>
      <c r="AL147" s="22">
        <v>99</v>
      </c>
      <c r="AM147" s="22">
        <v>99</v>
      </c>
      <c r="AN147" s="22">
        <v>99</v>
      </c>
      <c r="AO147" s="22">
        <v>99</v>
      </c>
      <c r="AP147" s="22">
        <v>99</v>
      </c>
      <c r="AQ147" s="18" t="s">
        <v>221</v>
      </c>
      <c r="AR147" s="18" t="s">
        <v>221</v>
      </c>
      <c r="AS147" s="22">
        <v>99</v>
      </c>
      <c r="AT147" s="22">
        <v>2</v>
      </c>
      <c r="AU147" s="22">
        <v>3</v>
      </c>
      <c r="AV147" s="22">
        <v>3</v>
      </c>
      <c r="AW147" s="22">
        <v>4</v>
      </c>
      <c r="AX147" s="37">
        <v>4</v>
      </c>
      <c r="AY147" s="22">
        <v>4</v>
      </c>
      <c r="AZ147" s="22">
        <v>2</v>
      </c>
      <c r="BA147" s="38">
        <v>99</v>
      </c>
      <c r="BB147" s="22">
        <v>99</v>
      </c>
      <c r="BC147" s="22">
        <v>99</v>
      </c>
      <c r="BD147" s="22">
        <v>99</v>
      </c>
      <c r="BE147" s="37">
        <v>99</v>
      </c>
      <c r="BF147" s="22">
        <v>4</v>
      </c>
      <c r="BG147" s="22">
        <v>0</v>
      </c>
      <c r="BH147" s="22">
        <v>4</v>
      </c>
      <c r="BI147" s="22">
        <v>999</v>
      </c>
      <c r="BJ147" s="22">
        <v>8</v>
      </c>
    </row>
    <row r="148" spans="1:62" ht="13">
      <c r="A148" s="22" t="s">
        <v>1820</v>
      </c>
      <c r="B148" s="22"/>
      <c r="C148" s="22"/>
      <c r="D148" s="22"/>
      <c r="E148" s="22">
        <v>2</v>
      </c>
      <c r="F148" s="22">
        <v>1</v>
      </c>
      <c r="G148" s="28">
        <v>29</v>
      </c>
      <c r="H148" s="28">
        <v>4</v>
      </c>
      <c r="I148" s="30">
        <v>1955</v>
      </c>
      <c r="J148" s="34">
        <f t="shared" si="0"/>
        <v>20208</v>
      </c>
      <c r="K148" s="35" t="s">
        <v>221</v>
      </c>
      <c r="L148" s="25" t="s">
        <v>1011</v>
      </c>
      <c r="M148" s="30">
        <v>5</v>
      </c>
      <c r="N148" s="17" t="s">
        <v>32</v>
      </c>
      <c r="O148" s="17"/>
      <c r="P148" s="25" t="s">
        <v>1012</v>
      </c>
      <c r="Q148" s="25" t="s">
        <v>1822</v>
      </c>
      <c r="R148" s="25">
        <v>31.559028699999999</v>
      </c>
      <c r="S148" s="25">
        <v>35.473189499999997</v>
      </c>
      <c r="T148" s="22">
        <v>2</v>
      </c>
      <c r="U148" s="22">
        <v>2</v>
      </c>
      <c r="V148" s="22">
        <v>1</v>
      </c>
      <c r="W148" s="22">
        <v>1</v>
      </c>
      <c r="X148" s="22">
        <v>1</v>
      </c>
      <c r="Y148" s="18"/>
      <c r="Z148" s="22">
        <v>5</v>
      </c>
      <c r="AA148" s="22">
        <v>99</v>
      </c>
      <c r="AB148" s="2" t="s">
        <v>734</v>
      </c>
      <c r="AC148" s="22">
        <v>6</v>
      </c>
      <c r="AD148" s="22">
        <v>2</v>
      </c>
      <c r="AE148" s="18" t="s">
        <v>221</v>
      </c>
      <c r="AF148" s="22">
        <v>99</v>
      </c>
      <c r="AG148" s="18"/>
      <c r="AH148" s="22">
        <v>99</v>
      </c>
      <c r="AI148" s="57"/>
      <c r="AJ148" s="18"/>
      <c r="AK148" s="22">
        <v>99</v>
      </c>
      <c r="AL148" s="22">
        <v>99</v>
      </c>
      <c r="AM148" s="22">
        <v>99</v>
      </c>
      <c r="AN148" s="22">
        <v>99</v>
      </c>
      <c r="AO148" s="22">
        <v>99</v>
      </c>
      <c r="AP148" s="22">
        <v>99</v>
      </c>
      <c r="AQ148" s="18" t="s">
        <v>221</v>
      </c>
      <c r="AR148" s="18" t="s">
        <v>221</v>
      </c>
      <c r="AS148" s="18"/>
      <c r="AT148" s="18"/>
      <c r="AU148" s="22">
        <v>3</v>
      </c>
      <c r="AV148" s="22">
        <v>3</v>
      </c>
      <c r="AW148" s="22">
        <v>4</v>
      </c>
      <c r="AX148" s="37">
        <v>4</v>
      </c>
      <c r="AY148" s="22">
        <v>4</v>
      </c>
      <c r="AZ148" s="22">
        <v>1</v>
      </c>
      <c r="BA148" s="38">
        <v>9</v>
      </c>
      <c r="BB148" s="22">
        <v>99</v>
      </c>
      <c r="BC148" s="22">
        <v>99</v>
      </c>
      <c r="BD148" s="22">
        <v>99</v>
      </c>
      <c r="BE148" s="37">
        <v>99</v>
      </c>
      <c r="BF148" s="22">
        <v>999</v>
      </c>
      <c r="BG148" s="22">
        <v>999</v>
      </c>
      <c r="BH148" s="22">
        <v>999</v>
      </c>
      <c r="BI148" s="22">
        <v>999</v>
      </c>
      <c r="BJ148" s="22">
        <v>9</v>
      </c>
    </row>
    <row r="149" spans="1:62" ht="13">
      <c r="A149" s="22" t="s">
        <v>1825</v>
      </c>
      <c r="B149" s="22"/>
      <c r="C149" s="22"/>
      <c r="D149" s="22"/>
      <c r="E149" s="22">
        <v>1</v>
      </c>
      <c r="F149" s="22">
        <v>1</v>
      </c>
      <c r="G149" s="28">
        <v>7</v>
      </c>
      <c r="H149" s="28">
        <v>5</v>
      </c>
      <c r="I149" s="30">
        <v>1955</v>
      </c>
      <c r="J149" s="34">
        <f t="shared" si="0"/>
        <v>20216</v>
      </c>
      <c r="K149" s="39" t="s">
        <v>328</v>
      </c>
      <c r="L149" s="25" t="s">
        <v>1015</v>
      </c>
      <c r="M149" s="30">
        <v>1</v>
      </c>
      <c r="N149" s="17" t="s">
        <v>233</v>
      </c>
      <c r="O149" s="17"/>
      <c r="P149" s="25" t="s">
        <v>1016</v>
      </c>
      <c r="Q149" s="25" t="s">
        <v>1039</v>
      </c>
      <c r="R149" s="25">
        <v>31.767764</v>
      </c>
      <c r="S149" s="25">
        <v>35.160212999999999</v>
      </c>
      <c r="T149" s="22">
        <v>2</v>
      </c>
      <c r="U149" s="22">
        <v>2</v>
      </c>
      <c r="V149" s="22">
        <v>5</v>
      </c>
      <c r="W149" s="22">
        <v>2</v>
      </c>
      <c r="X149" s="22">
        <v>2</v>
      </c>
      <c r="Y149" s="18"/>
      <c r="Z149" s="22">
        <v>5</v>
      </c>
      <c r="AA149" s="22">
        <v>2</v>
      </c>
      <c r="AB149" s="18" t="s">
        <v>221</v>
      </c>
      <c r="AC149" s="22">
        <v>99</v>
      </c>
      <c r="AD149" s="22">
        <v>2</v>
      </c>
      <c r="AE149" s="18" t="s">
        <v>221</v>
      </c>
      <c r="AF149" s="22">
        <v>99</v>
      </c>
      <c r="AG149" s="18"/>
      <c r="AH149" s="22">
        <v>99</v>
      </c>
      <c r="AI149" s="57"/>
      <c r="AJ149" s="18"/>
      <c r="AK149" s="22">
        <v>99</v>
      </c>
      <c r="AL149" s="22">
        <v>99</v>
      </c>
      <c r="AM149" s="22">
        <v>99</v>
      </c>
      <c r="AN149" s="22">
        <v>99</v>
      </c>
      <c r="AO149" s="22">
        <v>99</v>
      </c>
      <c r="AP149" s="22">
        <v>99</v>
      </c>
      <c r="AQ149" s="18" t="s">
        <v>221</v>
      </c>
      <c r="AR149" s="18" t="s">
        <v>221</v>
      </c>
      <c r="AS149" s="22">
        <v>99</v>
      </c>
      <c r="AT149" s="22">
        <v>3</v>
      </c>
      <c r="AU149" s="22">
        <v>3</v>
      </c>
      <c r="AV149" s="22">
        <v>3</v>
      </c>
      <c r="AW149" s="22">
        <v>4</v>
      </c>
      <c r="AX149" s="37">
        <v>4</v>
      </c>
      <c r="AY149" s="22">
        <v>4</v>
      </c>
      <c r="AZ149" s="22">
        <v>2</v>
      </c>
      <c r="BA149" s="38">
        <v>99</v>
      </c>
      <c r="BB149" s="22">
        <v>99</v>
      </c>
      <c r="BC149" s="22">
        <v>99</v>
      </c>
      <c r="BD149" s="22">
        <v>99</v>
      </c>
      <c r="BE149" s="37">
        <v>99</v>
      </c>
      <c r="BF149" s="22">
        <v>1</v>
      </c>
      <c r="BG149" s="22">
        <v>0</v>
      </c>
      <c r="BH149" s="22">
        <v>1</v>
      </c>
      <c r="BI149" s="22">
        <v>999</v>
      </c>
      <c r="BJ149" s="22">
        <v>99</v>
      </c>
    </row>
    <row r="150" spans="1:62" ht="13">
      <c r="A150" s="22" t="s">
        <v>1837</v>
      </c>
      <c r="B150" s="22"/>
      <c r="C150" s="22"/>
      <c r="D150" s="22"/>
      <c r="E150" s="22">
        <v>2</v>
      </c>
      <c r="F150" s="22">
        <v>1</v>
      </c>
      <c r="G150" s="28">
        <v>12</v>
      </c>
      <c r="H150" s="28">
        <v>5</v>
      </c>
      <c r="I150" s="30">
        <v>1955</v>
      </c>
      <c r="J150" s="34">
        <f t="shared" si="0"/>
        <v>20221</v>
      </c>
      <c r="K150" s="11" t="s">
        <v>1537</v>
      </c>
      <c r="L150" s="25" t="s">
        <v>1017</v>
      </c>
      <c r="M150" s="30">
        <v>1</v>
      </c>
      <c r="N150" s="17" t="s">
        <v>233</v>
      </c>
      <c r="O150" s="17"/>
      <c r="P150" s="25" t="s">
        <v>1018</v>
      </c>
      <c r="Q150" s="25" t="s">
        <v>1040</v>
      </c>
      <c r="R150" s="25">
        <v>4.4166799999999897</v>
      </c>
      <c r="S150" s="25">
        <v>-75.449979999999996</v>
      </c>
      <c r="T150" s="22">
        <v>1</v>
      </c>
      <c r="U150" s="18"/>
      <c r="V150" s="22">
        <v>5</v>
      </c>
      <c r="W150" s="22">
        <v>2</v>
      </c>
      <c r="X150" s="22">
        <v>2</v>
      </c>
      <c r="Y150" s="18"/>
      <c r="Z150" s="22">
        <v>5</v>
      </c>
      <c r="AA150" s="22">
        <v>1</v>
      </c>
      <c r="AB150" s="18" t="s">
        <v>221</v>
      </c>
      <c r="AC150" s="22">
        <v>6</v>
      </c>
      <c r="AD150" s="22">
        <v>2</v>
      </c>
      <c r="AE150" s="18" t="s">
        <v>221</v>
      </c>
      <c r="AF150" s="22">
        <v>99</v>
      </c>
      <c r="AG150" s="18"/>
      <c r="AH150" s="22">
        <v>99</v>
      </c>
      <c r="AI150" s="57"/>
      <c r="AJ150" s="18"/>
      <c r="AK150" s="22">
        <v>99</v>
      </c>
      <c r="AL150" s="22">
        <v>99</v>
      </c>
      <c r="AM150" s="22">
        <v>99</v>
      </c>
      <c r="AN150" s="22">
        <v>99</v>
      </c>
      <c r="AO150" s="22">
        <v>99</v>
      </c>
      <c r="AP150" s="22">
        <v>99</v>
      </c>
      <c r="AQ150" s="18" t="s">
        <v>221</v>
      </c>
      <c r="AR150" s="18" t="s">
        <v>221</v>
      </c>
      <c r="AS150" s="18"/>
      <c r="AT150" s="18"/>
      <c r="AU150" s="22">
        <v>3</v>
      </c>
      <c r="AV150" s="22">
        <v>3</v>
      </c>
      <c r="AW150" s="22">
        <v>4</v>
      </c>
      <c r="AX150" s="37">
        <v>4</v>
      </c>
      <c r="AY150" s="22">
        <v>4</v>
      </c>
      <c r="AZ150" s="22">
        <v>1</v>
      </c>
      <c r="BA150" s="38">
        <v>9</v>
      </c>
      <c r="BB150" s="22">
        <v>99</v>
      </c>
      <c r="BC150" s="22">
        <v>99</v>
      </c>
      <c r="BD150" s="22">
        <v>99</v>
      </c>
      <c r="BE150" s="37">
        <v>99</v>
      </c>
      <c r="BF150" s="22">
        <v>0</v>
      </c>
      <c r="BG150" s="22">
        <v>0</v>
      </c>
      <c r="BH150" s="22">
        <v>0</v>
      </c>
      <c r="BI150" s="22">
        <v>999</v>
      </c>
      <c r="BJ150" s="22">
        <v>8</v>
      </c>
    </row>
    <row r="151" spans="1:62" ht="13">
      <c r="A151" s="22" t="s">
        <v>1856</v>
      </c>
      <c r="B151" s="22"/>
      <c r="C151" s="22"/>
      <c r="D151" s="22"/>
      <c r="E151" s="22">
        <v>1</v>
      </c>
      <c r="F151" s="22">
        <v>1</v>
      </c>
      <c r="G151" s="28">
        <v>12</v>
      </c>
      <c r="H151" s="28">
        <v>5</v>
      </c>
      <c r="I151" s="30">
        <v>1955</v>
      </c>
      <c r="J151" s="34">
        <f t="shared" si="0"/>
        <v>20221</v>
      </c>
      <c r="K151" s="11" t="s">
        <v>690</v>
      </c>
      <c r="L151" s="25" t="s">
        <v>1019</v>
      </c>
      <c r="M151" s="30">
        <v>5</v>
      </c>
      <c r="N151" s="17" t="s">
        <v>32</v>
      </c>
      <c r="O151" s="17"/>
      <c r="P151" s="25" t="s">
        <v>1022</v>
      </c>
      <c r="Q151" s="25" t="s">
        <v>1045</v>
      </c>
      <c r="R151" s="25">
        <v>32.074806199999998</v>
      </c>
      <c r="S151" s="25">
        <v>34.765366999999998</v>
      </c>
      <c r="T151" s="22">
        <v>2</v>
      </c>
      <c r="U151" s="22">
        <v>2</v>
      </c>
      <c r="V151" s="22">
        <v>1</v>
      </c>
      <c r="W151" s="22">
        <v>1</v>
      </c>
      <c r="X151" s="22">
        <v>1</v>
      </c>
      <c r="Y151" s="18"/>
      <c r="Z151" s="22">
        <v>5</v>
      </c>
      <c r="AA151" s="22">
        <v>1</v>
      </c>
      <c r="AB151" s="18" t="s">
        <v>221</v>
      </c>
      <c r="AC151" s="22">
        <v>99</v>
      </c>
      <c r="AD151" s="22">
        <v>2</v>
      </c>
      <c r="AE151" s="18" t="s">
        <v>221</v>
      </c>
      <c r="AF151" s="22">
        <v>99</v>
      </c>
      <c r="AG151" s="18"/>
      <c r="AH151" s="22">
        <v>99</v>
      </c>
      <c r="AI151" s="57"/>
      <c r="AJ151" s="18"/>
      <c r="AK151" s="22">
        <v>99</v>
      </c>
      <c r="AL151" s="22">
        <v>99</v>
      </c>
      <c r="AM151" s="22">
        <v>99</v>
      </c>
      <c r="AN151" s="22">
        <v>99</v>
      </c>
      <c r="AO151" s="22">
        <v>99</v>
      </c>
      <c r="AP151" s="22">
        <v>99</v>
      </c>
      <c r="AQ151" s="18" t="s">
        <v>221</v>
      </c>
      <c r="AR151" s="18" t="s">
        <v>221</v>
      </c>
      <c r="AS151" s="18"/>
      <c r="AT151" s="18"/>
      <c r="AU151" s="22">
        <v>3</v>
      </c>
      <c r="AV151" s="22">
        <v>3</v>
      </c>
      <c r="AW151" s="22">
        <v>4</v>
      </c>
      <c r="AX151" s="37">
        <v>4</v>
      </c>
      <c r="AY151" s="22">
        <v>4</v>
      </c>
      <c r="AZ151" s="22">
        <v>1</v>
      </c>
      <c r="BA151" s="38">
        <v>9</v>
      </c>
      <c r="BB151" s="22">
        <v>99</v>
      </c>
      <c r="BC151" s="22">
        <v>99</v>
      </c>
      <c r="BD151" s="22">
        <v>99</v>
      </c>
      <c r="BE151" s="37">
        <v>99</v>
      </c>
      <c r="BF151" s="22">
        <v>0</v>
      </c>
      <c r="BG151" s="22">
        <v>0</v>
      </c>
      <c r="BH151" s="22">
        <v>0</v>
      </c>
      <c r="BI151" s="22">
        <v>999</v>
      </c>
      <c r="BJ151" s="22">
        <v>8</v>
      </c>
    </row>
    <row r="152" spans="1:62" ht="13">
      <c r="A152" s="22" t="s">
        <v>1871</v>
      </c>
      <c r="B152" s="22"/>
      <c r="C152" s="22"/>
      <c r="D152" s="22"/>
      <c r="E152" s="22">
        <v>1</v>
      </c>
      <c r="F152" s="22">
        <v>1</v>
      </c>
      <c r="G152" s="28">
        <v>18</v>
      </c>
      <c r="H152" s="28">
        <v>5</v>
      </c>
      <c r="I152" s="30">
        <v>1955</v>
      </c>
      <c r="J152" s="34">
        <f t="shared" si="0"/>
        <v>20227</v>
      </c>
      <c r="K152" s="39" t="s">
        <v>614</v>
      </c>
      <c r="L152" s="25" t="s">
        <v>1023</v>
      </c>
      <c r="M152" s="30">
        <v>99</v>
      </c>
      <c r="N152" s="52"/>
      <c r="O152" s="52"/>
      <c r="P152" s="25" t="s">
        <v>889</v>
      </c>
      <c r="Q152" s="25" t="s">
        <v>913</v>
      </c>
      <c r="R152" s="25">
        <v>32.630552199999997</v>
      </c>
      <c r="S152" s="25">
        <v>51.299747199999999</v>
      </c>
      <c r="T152" s="22">
        <v>2</v>
      </c>
      <c r="U152" s="22">
        <v>1</v>
      </c>
      <c r="V152" s="22">
        <v>1</v>
      </c>
      <c r="W152" s="22">
        <v>4</v>
      </c>
      <c r="X152" s="22">
        <v>2</v>
      </c>
      <c r="Y152" s="18"/>
      <c r="Z152" s="22">
        <v>5</v>
      </c>
      <c r="AA152" s="22">
        <v>1</v>
      </c>
      <c r="AB152" s="18" t="s">
        <v>221</v>
      </c>
      <c r="AC152" s="22">
        <v>99</v>
      </c>
      <c r="AD152" s="22">
        <v>2</v>
      </c>
      <c r="AE152" s="18" t="s">
        <v>221</v>
      </c>
      <c r="AF152" s="22">
        <v>99</v>
      </c>
      <c r="AG152" s="18"/>
      <c r="AH152" s="22">
        <v>99</v>
      </c>
      <c r="AI152" s="57"/>
      <c r="AJ152" s="18"/>
      <c r="AK152" s="22">
        <v>99</v>
      </c>
      <c r="AL152" s="22">
        <v>99</v>
      </c>
      <c r="AM152" s="22">
        <v>99</v>
      </c>
      <c r="AN152" s="22">
        <v>99</v>
      </c>
      <c r="AO152" s="22">
        <v>99</v>
      </c>
      <c r="AP152" s="22">
        <v>99</v>
      </c>
      <c r="AQ152" s="18" t="s">
        <v>221</v>
      </c>
      <c r="AR152" s="18" t="s">
        <v>221</v>
      </c>
      <c r="AS152" s="18"/>
      <c r="AT152" s="18"/>
      <c r="AU152" s="22">
        <v>3</v>
      </c>
      <c r="AV152" s="22">
        <v>3</v>
      </c>
      <c r="AW152" s="22">
        <v>4</v>
      </c>
      <c r="AX152" s="37">
        <v>4</v>
      </c>
      <c r="AY152" s="22">
        <v>4</v>
      </c>
      <c r="AZ152" s="22">
        <v>2</v>
      </c>
      <c r="BA152" s="38">
        <v>99</v>
      </c>
      <c r="BB152" s="22">
        <v>99</v>
      </c>
      <c r="BC152" s="22">
        <v>99</v>
      </c>
      <c r="BD152" s="22">
        <v>99</v>
      </c>
      <c r="BE152" s="37">
        <v>99</v>
      </c>
      <c r="BF152" s="22">
        <v>0</v>
      </c>
      <c r="BG152" s="22">
        <v>0</v>
      </c>
      <c r="BH152" s="22">
        <v>0</v>
      </c>
      <c r="BI152" s="22">
        <v>999</v>
      </c>
      <c r="BJ152" s="22">
        <v>9</v>
      </c>
    </row>
    <row r="153" spans="1:62" ht="13">
      <c r="A153" s="22" t="s">
        <v>1892</v>
      </c>
      <c r="B153" s="22"/>
      <c r="C153" s="22"/>
      <c r="D153" s="22"/>
      <c r="E153" s="22">
        <v>2</v>
      </c>
      <c r="F153" s="22">
        <v>1</v>
      </c>
      <c r="G153" s="28">
        <v>23</v>
      </c>
      <c r="H153" s="28">
        <v>5</v>
      </c>
      <c r="I153" s="30">
        <v>1955</v>
      </c>
      <c r="J153" s="34">
        <f t="shared" si="0"/>
        <v>20232</v>
      </c>
      <c r="K153" s="39" t="s">
        <v>614</v>
      </c>
      <c r="L153" s="25" t="s">
        <v>1026</v>
      </c>
      <c r="M153" s="30">
        <v>99</v>
      </c>
      <c r="N153" s="52"/>
      <c r="O153" s="52"/>
      <c r="P153" s="25" t="s">
        <v>889</v>
      </c>
      <c r="Q153" s="25" t="s">
        <v>913</v>
      </c>
      <c r="R153" s="25">
        <v>32.630552199999997</v>
      </c>
      <c r="S153" s="25">
        <v>51.299747199999999</v>
      </c>
      <c r="T153" s="22">
        <v>2</v>
      </c>
      <c r="U153" s="22">
        <v>2</v>
      </c>
      <c r="V153" s="18"/>
      <c r="W153" s="22">
        <v>4</v>
      </c>
      <c r="X153" s="22">
        <v>2</v>
      </c>
      <c r="Y153" s="18"/>
      <c r="Z153" s="22">
        <v>5</v>
      </c>
      <c r="AA153" s="22">
        <v>1</v>
      </c>
      <c r="AB153" s="2" t="s">
        <v>734</v>
      </c>
      <c r="AC153" s="22">
        <v>7</v>
      </c>
      <c r="AD153" s="22">
        <v>2</v>
      </c>
      <c r="AE153" s="18" t="s">
        <v>221</v>
      </c>
      <c r="AF153" s="22">
        <v>99</v>
      </c>
      <c r="AG153" s="18"/>
      <c r="AH153" s="22">
        <v>99</v>
      </c>
      <c r="AI153" s="57"/>
      <c r="AJ153" s="18"/>
      <c r="AK153" s="22">
        <v>99</v>
      </c>
      <c r="AL153" s="22">
        <v>99</v>
      </c>
      <c r="AM153" s="22">
        <v>99</v>
      </c>
      <c r="AN153" s="22">
        <v>99</v>
      </c>
      <c r="AO153" s="22">
        <v>99</v>
      </c>
      <c r="AP153" s="22">
        <v>99</v>
      </c>
      <c r="AQ153" s="22" t="s">
        <v>1916</v>
      </c>
      <c r="AR153" s="2" t="s">
        <v>1917</v>
      </c>
      <c r="AS153" s="22">
        <v>99</v>
      </c>
      <c r="AT153" s="22">
        <v>6</v>
      </c>
      <c r="AU153" s="22">
        <v>3</v>
      </c>
      <c r="AV153" s="22">
        <v>3</v>
      </c>
      <c r="AW153" s="22">
        <v>4</v>
      </c>
      <c r="AX153" s="37">
        <v>4</v>
      </c>
      <c r="AY153" s="22">
        <v>4</v>
      </c>
      <c r="AZ153" s="22">
        <v>1</v>
      </c>
      <c r="BA153" s="38">
        <v>9</v>
      </c>
      <c r="BB153" s="22">
        <v>99</v>
      </c>
      <c r="BC153" s="22">
        <v>99</v>
      </c>
      <c r="BD153" s="22">
        <v>99</v>
      </c>
      <c r="BE153" s="37">
        <v>99</v>
      </c>
      <c r="BF153" s="22">
        <v>8</v>
      </c>
      <c r="BG153" s="22">
        <v>2</v>
      </c>
      <c r="BH153" s="22">
        <v>10</v>
      </c>
      <c r="BI153" s="22">
        <v>999</v>
      </c>
      <c r="BJ153" s="22">
        <v>3</v>
      </c>
    </row>
    <row r="154" spans="1:62" ht="13">
      <c r="A154" s="22" t="s">
        <v>1923</v>
      </c>
      <c r="B154" s="22"/>
      <c r="C154" s="22"/>
      <c r="D154" s="22"/>
      <c r="E154" s="22">
        <v>1</v>
      </c>
      <c r="F154" s="22">
        <v>1</v>
      </c>
      <c r="G154" s="28">
        <v>23</v>
      </c>
      <c r="H154" s="28">
        <v>5</v>
      </c>
      <c r="I154" s="30">
        <v>1955</v>
      </c>
      <c r="J154" s="34">
        <f t="shared" si="0"/>
        <v>20232</v>
      </c>
      <c r="K154" s="39" t="s">
        <v>1738</v>
      </c>
      <c r="L154" s="25" t="s">
        <v>1027</v>
      </c>
      <c r="M154" s="30">
        <v>99</v>
      </c>
      <c r="N154" s="52"/>
      <c r="O154" s="52"/>
      <c r="P154" s="25" t="s">
        <v>1029</v>
      </c>
      <c r="Q154" s="25" t="s">
        <v>1052</v>
      </c>
      <c r="R154" s="25">
        <v>31.522693999999898</v>
      </c>
      <c r="S154" s="25">
        <v>34.595581000000003</v>
      </c>
      <c r="T154" s="22">
        <v>2</v>
      </c>
      <c r="U154" s="22">
        <v>2</v>
      </c>
      <c r="V154" s="18"/>
      <c r="W154" s="22">
        <v>4</v>
      </c>
      <c r="X154" s="22">
        <v>2</v>
      </c>
      <c r="Y154" s="18"/>
      <c r="Z154" s="22">
        <v>5</v>
      </c>
      <c r="AA154" s="22">
        <v>1</v>
      </c>
      <c r="AB154" s="18" t="s">
        <v>221</v>
      </c>
      <c r="AC154" s="22">
        <v>99</v>
      </c>
      <c r="AD154" s="22">
        <v>2</v>
      </c>
      <c r="AE154" s="18" t="s">
        <v>221</v>
      </c>
      <c r="AF154" s="22">
        <v>99</v>
      </c>
      <c r="AG154" s="18"/>
      <c r="AH154" s="22">
        <v>99</v>
      </c>
      <c r="AI154" s="57"/>
      <c r="AJ154" s="18"/>
      <c r="AK154" s="22">
        <v>99</v>
      </c>
      <c r="AL154" s="22">
        <v>99</v>
      </c>
      <c r="AM154" s="22">
        <v>99</v>
      </c>
      <c r="AN154" s="22">
        <v>99</v>
      </c>
      <c r="AO154" s="22">
        <v>99</v>
      </c>
      <c r="AP154" s="22">
        <v>99</v>
      </c>
      <c r="AQ154" s="18" t="s">
        <v>221</v>
      </c>
      <c r="AR154" s="18" t="s">
        <v>221</v>
      </c>
      <c r="AS154" s="22">
        <v>99</v>
      </c>
      <c r="AT154" s="22">
        <v>2</v>
      </c>
      <c r="AU154" s="22">
        <v>3</v>
      </c>
      <c r="AV154" s="22">
        <v>3</v>
      </c>
      <c r="AW154" s="22">
        <v>4</v>
      </c>
      <c r="AX154" s="37">
        <v>4</v>
      </c>
      <c r="AY154" s="22">
        <v>4</v>
      </c>
      <c r="AZ154" s="22">
        <v>2</v>
      </c>
      <c r="BA154" s="38">
        <v>99</v>
      </c>
      <c r="BB154" s="22">
        <v>99</v>
      </c>
      <c r="BC154" s="22">
        <v>99</v>
      </c>
      <c r="BD154" s="22">
        <v>99</v>
      </c>
      <c r="BE154" s="37">
        <v>99</v>
      </c>
      <c r="BF154" s="22">
        <v>1</v>
      </c>
      <c r="BG154" s="22">
        <v>0</v>
      </c>
      <c r="BH154" s="22">
        <v>1</v>
      </c>
      <c r="BI154" s="22">
        <v>999</v>
      </c>
      <c r="BJ154" s="22">
        <v>7</v>
      </c>
    </row>
    <row r="155" spans="1:62" ht="13">
      <c r="A155" s="22" t="s">
        <v>1944</v>
      </c>
      <c r="B155" s="22"/>
      <c r="C155" s="22"/>
      <c r="D155" s="22"/>
      <c r="E155" s="22">
        <v>3</v>
      </c>
      <c r="F155" s="22">
        <v>1</v>
      </c>
      <c r="G155" s="28">
        <v>29</v>
      </c>
      <c r="H155" s="28">
        <v>5</v>
      </c>
      <c r="I155" s="30">
        <v>1955</v>
      </c>
      <c r="J155" s="34">
        <f t="shared" si="0"/>
        <v>20238</v>
      </c>
      <c r="K155" s="11" t="s">
        <v>1321</v>
      </c>
      <c r="L155" s="25" t="s">
        <v>1030</v>
      </c>
      <c r="M155" s="30">
        <v>99</v>
      </c>
      <c r="N155" s="52"/>
      <c r="O155" s="52"/>
      <c r="P155" s="25" t="s">
        <v>1032</v>
      </c>
      <c r="Q155" s="25" t="s">
        <v>1055</v>
      </c>
      <c r="R155" s="25">
        <v>31.522693999999898</v>
      </c>
      <c r="S155" s="25">
        <v>34.595581000000003</v>
      </c>
      <c r="T155" s="22">
        <v>2</v>
      </c>
      <c r="U155" s="22">
        <v>2</v>
      </c>
      <c r="V155" s="18"/>
      <c r="W155" s="22">
        <v>4</v>
      </c>
      <c r="X155" s="22">
        <v>2</v>
      </c>
      <c r="Y155" s="18"/>
      <c r="Z155" s="22">
        <v>5</v>
      </c>
      <c r="AA155" s="22">
        <v>99</v>
      </c>
      <c r="AB155" s="18" t="s">
        <v>221</v>
      </c>
      <c r="AC155" s="22">
        <v>99</v>
      </c>
      <c r="AD155" s="22">
        <v>2</v>
      </c>
      <c r="AE155" s="18" t="s">
        <v>221</v>
      </c>
      <c r="AF155" s="22">
        <v>99</v>
      </c>
      <c r="AG155" s="18"/>
      <c r="AH155" s="22">
        <v>99</v>
      </c>
      <c r="AI155" s="57"/>
      <c r="AJ155" s="18"/>
      <c r="AK155" s="22">
        <v>99</v>
      </c>
      <c r="AL155" s="22">
        <v>99</v>
      </c>
      <c r="AM155" s="22">
        <v>99</v>
      </c>
      <c r="AN155" s="22">
        <v>99</v>
      </c>
      <c r="AO155" s="22">
        <v>99</v>
      </c>
      <c r="AP155" s="22">
        <v>99</v>
      </c>
      <c r="AQ155" s="18" t="s">
        <v>221</v>
      </c>
      <c r="AR155" s="18" t="s">
        <v>221</v>
      </c>
      <c r="AS155" s="18"/>
      <c r="AT155" s="18"/>
      <c r="AU155" s="22">
        <v>3</v>
      </c>
      <c r="AV155" s="22">
        <v>3</v>
      </c>
      <c r="AW155" s="22">
        <v>4</v>
      </c>
      <c r="AX155" s="37">
        <v>4</v>
      </c>
      <c r="AY155" s="22">
        <v>4</v>
      </c>
      <c r="AZ155" s="22">
        <v>2</v>
      </c>
      <c r="BA155" s="38">
        <v>99</v>
      </c>
      <c r="BB155" s="22">
        <v>99</v>
      </c>
      <c r="BC155" s="22">
        <v>99</v>
      </c>
      <c r="BD155" s="22">
        <v>99</v>
      </c>
      <c r="BE155" s="37">
        <v>99</v>
      </c>
      <c r="BF155" s="22">
        <v>0</v>
      </c>
      <c r="BG155" s="22">
        <v>0</v>
      </c>
      <c r="BH155" s="22">
        <v>0</v>
      </c>
      <c r="BI155" s="22">
        <v>999</v>
      </c>
      <c r="BJ155" s="22">
        <v>9</v>
      </c>
    </row>
    <row r="156" spans="1:62" ht="13">
      <c r="A156" s="22" t="s">
        <v>1956</v>
      </c>
      <c r="B156" s="22"/>
      <c r="C156" s="22"/>
      <c r="D156" s="22"/>
      <c r="E156" s="22">
        <v>1</v>
      </c>
      <c r="F156" s="22">
        <v>1</v>
      </c>
      <c r="G156" s="28">
        <v>29</v>
      </c>
      <c r="H156" s="28">
        <v>5</v>
      </c>
      <c r="I156" s="30">
        <v>1955</v>
      </c>
      <c r="J156" s="34">
        <f t="shared" si="0"/>
        <v>20238</v>
      </c>
      <c r="K156" s="11" t="s">
        <v>690</v>
      </c>
      <c r="L156" s="25" t="s">
        <v>1036</v>
      </c>
      <c r="M156" s="30">
        <v>99</v>
      </c>
      <c r="N156" s="52"/>
      <c r="O156" s="52"/>
      <c r="P156" s="25" t="s">
        <v>1037</v>
      </c>
      <c r="Q156" s="25" t="s">
        <v>1059</v>
      </c>
      <c r="R156" s="105"/>
      <c r="S156" s="105"/>
      <c r="T156" s="22">
        <v>1</v>
      </c>
      <c r="U156" s="22">
        <v>1</v>
      </c>
      <c r="V156" s="22">
        <v>1</v>
      </c>
      <c r="W156" s="18"/>
      <c r="X156" s="22">
        <v>2</v>
      </c>
      <c r="Y156" s="18"/>
      <c r="Z156" s="22">
        <v>5</v>
      </c>
      <c r="AA156" s="22">
        <v>1</v>
      </c>
      <c r="AB156" s="18" t="s">
        <v>221</v>
      </c>
      <c r="AC156" s="22">
        <v>99</v>
      </c>
      <c r="AD156" s="22">
        <v>2</v>
      </c>
      <c r="AE156" s="18" t="s">
        <v>221</v>
      </c>
      <c r="AF156" s="22">
        <v>99</v>
      </c>
      <c r="AG156" s="18"/>
      <c r="AH156" s="22">
        <v>99</v>
      </c>
      <c r="AI156" s="57"/>
      <c r="AJ156" s="18"/>
      <c r="AK156" s="22">
        <v>99</v>
      </c>
      <c r="AL156" s="22">
        <v>99</v>
      </c>
      <c r="AM156" s="22">
        <v>99</v>
      </c>
      <c r="AN156" s="22">
        <v>99</v>
      </c>
      <c r="AO156" s="22">
        <v>99</v>
      </c>
      <c r="AP156" s="22">
        <v>99</v>
      </c>
      <c r="AQ156" s="22" t="s">
        <v>1978</v>
      </c>
      <c r="AR156" s="2" t="s">
        <v>996</v>
      </c>
      <c r="AS156" s="22">
        <v>99</v>
      </c>
      <c r="AT156" s="22">
        <v>4</v>
      </c>
      <c r="AU156" s="22">
        <v>3</v>
      </c>
      <c r="AV156" s="22">
        <v>3</v>
      </c>
      <c r="AW156" s="22">
        <v>4</v>
      </c>
      <c r="AX156" s="37">
        <v>4</v>
      </c>
      <c r="AY156" s="22">
        <v>4</v>
      </c>
      <c r="AZ156" s="22">
        <v>2</v>
      </c>
      <c r="BA156" s="38">
        <v>99</v>
      </c>
      <c r="BB156" s="22">
        <v>99</v>
      </c>
      <c r="BC156" s="22">
        <v>99</v>
      </c>
      <c r="BD156" s="22">
        <v>99</v>
      </c>
      <c r="BE156" s="37">
        <v>99</v>
      </c>
      <c r="BF156" s="22">
        <v>1</v>
      </c>
      <c r="BG156" s="22">
        <v>0</v>
      </c>
      <c r="BH156" s="22">
        <v>1</v>
      </c>
      <c r="BI156" s="22">
        <v>999</v>
      </c>
      <c r="BJ156" s="22">
        <v>3</v>
      </c>
    </row>
    <row r="157" spans="1:62" ht="13">
      <c r="A157" s="22" t="s">
        <v>1988</v>
      </c>
      <c r="B157" s="22"/>
      <c r="C157" s="22"/>
      <c r="D157" s="22"/>
      <c r="E157" s="22">
        <v>1</v>
      </c>
      <c r="F157" s="22">
        <v>1</v>
      </c>
      <c r="G157" s="28">
        <v>7</v>
      </c>
      <c r="H157" s="28">
        <v>6</v>
      </c>
      <c r="I157" s="30">
        <v>1955</v>
      </c>
      <c r="J157" s="34">
        <f t="shared" si="0"/>
        <v>20247</v>
      </c>
      <c r="K157" s="11" t="s">
        <v>1992</v>
      </c>
      <c r="L157" s="25" t="s">
        <v>1041</v>
      </c>
      <c r="M157" s="30">
        <v>1</v>
      </c>
      <c r="N157" s="17" t="s">
        <v>233</v>
      </c>
      <c r="O157" s="17"/>
      <c r="P157" s="25" t="s">
        <v>1042</v>
      </c>
      <c r="Q157" s="25" t="s">
        <v>1064</v>
      </c>
      <c r="R157" s="25">
        <v>32.723787000000002</v>
      </c>
      <c r="S157" s="25">
        <v>35.565241999999998</v>
      </c>
      <c r="T157" s="22">
        <v>2</v>
      </c>
      <c r="U157" s="22">
        <v>1</v>
      </c>
      <c r="V157" s="22">
        <v>5</v>
      </c>
      <c r="W157" s="22">
        <v>2</v>
      </c>
      <c r="X157" s="22">
        <v>1</v>
      </c>
      <c r="Y157" s="18"/>
      <c r="Z157" s="22">
        <v>5</v>
      </c>
      <c r="AA157" s="22">
        <v>1</v>
      </c>
      <c r="AB157" s="18" t="s">
        <v>221</v>
      </c>
      <c r="AC157" s="22">
        <v>99</v>
      </c>
      <c r="AD157" s="22">
        <v>2</v>
      </c>
      <c r="AE157" s="18" t="s">
        <v>221</v>
      </c>
      <c r="AF157" s="22">
        <v>99</v>
      </c>
      <c r="AG157" s="18"/>
      <c r="AH157" s="22">
        <v>99</v>
      </c>
      <c r="AI157" s="57"/>
      <c r="AJ157" s="18"/>
      <c r="AK157" s="22">
        <v>99</v>
      </c>
      <c r="AL157" s="22">
        <v>99</v>
      </c>
      <c r="AM157" s="22">
        <v>99</v>
      </c>
      <c r="AN157" s="22">
        <v>99</v>
      </c>
      <c r="AO157" s="22">
        <v>99</v>
      </c>
      <c r="AP157" s="22">
        <v>99</v>
      </c>
      <c r="AQ157" s="18" t="s">
        <v>221</v>
      </c>
      <c r="AR157" s="18" t="s">
        <v>221</v>
      </c>
      <c r="AS157" s="18"/>
      <c r="AT157" s="18"/>
      <c r="AU157" s="22">
        <v>3</v>
      </c>
      <c r="AV157" s="22">
        <v>3</v>
      </c>
      <c r="AW157" s="22">
        <v>4</v>
      </c>
      <c r="AX157" s="37">
        <v>4</v>
      </c>
      <c r="AY157" s="22">
        <v>4</v>
      </c>
      <c r="AZ157" s="22">
        <v>2</v>
      </c>
      <c r="BA157" s="38">
        <v>99</v>
      </c>
      <c r="BB157" s="22">
        <v>99</v>
      </c>
      <c r="BC157" s="22">
        <v>99</v>
      </c>
      <c r="BD157" s="22">
        <v>99</v>
      </c>
      <c r="BE157" s="37">
        <v>99</v>
      </c>
      <c r="BF157" s="22">
        <v>0</v>
      </c>
      <c r="BG157" s="22">
        <v>0</v>
      </c>
      <c r="BH157" s="22">
        <v>0</v>
      </c>
      <c r="BI157" s="22">
        <v>999</v>
      </c>
      <c r="BJ157" s="22">
        <v>10</v>
      </c>
    </row>
    <row r="158" spans="1:62" ht="13">
      <c r="A158" s="22" t="s">
        <v>2008</v>
      </c>
      <c r="B158" s="22"/>
      <c r="C158" s="22"/>
      <c r="D158" s="22"/>
      <c r="E158" s="22">
        <v>1</v>
      </c>
      <c r="F158" s="22">
        <v>1</v>
      </c>
      <c r="G158" s="28">
        <v>18</v>
      </c>
      <c r="H158" s="28">
        <v>6</v>
      </c>
      <c r="I158" s="30">
        <v>1955</v>
      </c>
      <c r="J158" s="34">
        <f t="shared" si="0"/>
        <v>20258</v>
      </c>
      <c r="K158" s="11" t="s">
        <v>2013</v>
      </c>
      <c r="L158" s="25" t="s">
        <v>1043</v>
      </c>
      <c r="M158" s="30">
        <v>99</v>
      </c>
      <c r="N158" s="52"/>
      <c r="O158" s="52"/>
      <c r="P158" s="25" t="s">
        <v>1044</v>
      </c>
      <c r="Q158" s="25" t="s">
        <v>1068</v>
      </c>
      <c r="R158" s="105"/>
      <c r="S158" s="105"/>
      <c r="T158" s="22">
        <v>2</v>
      </c>
      <c r="U158" s="22">
        <v>1</v>
      </c>
      <c r="V158" s="22">
        <v>1</v>
      </c>
      <c r="W158" s="18"/>
      <c r="X158" s="22">
        <v>2</v>
      </c>
      <c r="Y158" s="18"/>
      <c r="Z158" s="22">
        <v>5</v>
      </c>
      <c r="AA158" s="22">
        <v>1</v>
      </c>
      <c r="AB158" s="18" t="s">
        <v>221</v>
      </c>
      <c r="AC158" s="22">
        <v>11</v>
      </c>
      <c r="AD158" s="22">
        <v>2</v>
      </c>
      <c r="AE158" s="18" t="s">
        <v>221</v>
      </c>
      <c r="AF158" s="22">
        <v>99</v>
      </c>
      <c r="AG158" s="18"/>
      <c r="AH158" s="22">
        <v>99</v>
      </c>
      <c r="AI158" s="57"/>
      <c r="AJ158" s="18"/>
      <c r="AK158" s="22">
        <v>99</v>
      </c>
      <c r="AL158" s="22">
        <v>99</v>
      </c>
      <c r="AM158" s="22">
        <v>99</v>
      </c>
      <c r="AN158" s="22">
        <v>99</v>
      </c>
      <c r="AO158" s="22">
        <v>99</v>
      </c>
      <c r="AP158" s="22">
        <v>99</v>
      </c>
      <c r="AQ158" s="18" t="s">
        <v>221</v>
      </c>
      <c r="AR158" s="18" t="s">
        <v>221</v>
      </c>
      <c r="AS158" s="18"/>
      <c r="AT158" s="18"/>
      <c r="AU158" s="22">
        <v>3</v>
      </c>
      <c r="AV158" s="22">
        <v>3</v>
      </c>
      <c r="AW158" s="22">
        <v>4</v>
      </c>
      <c r="AX158" s="37">
        <v>4</v>
      </c>
      <c r="AY158" s="22">
        <v>4</v>
      </c>
      <c r="AZ158" s="22">
        <v>2</v>
      </c>
      <c r="BA158" s="38">
        <v>99</v>
      </c>
      <c r="BB158" s="22">
        <v>99</v>
      </c>
      <c r="BC158" s="22">
        <v>99</v>
      </c>
      <c r="BD158" s="22">
        <v>99</v>
      </c>
      <c r="BE158" s="37">
        <v>99</v>
      </c>
      <c r="BF158" s="22">
        <v>0</v>
      </c>
      <c r="BG158" s="22">
        <v>0</v>
      </c>
      <c r="BH158" s="22">
        <v>0</v>
      </c>
      <c r="BI158" s="22">
        <v>3</v>
      </c>
      <c r="BJ158" s="22">
        <v>7</v>
      </c>
    </row>
    <row r="159" spans="1:62" ht="13">
      <c r="A159" s="22" t="s">
        <v>2032</v>
      </c>
      <c r="B159" s="22"/>
      <c r="C159" s="22"/>
      <c r="D159" s="22"/>
      <c r="E159" s="22">
        <v>2</v>
      </c>
      <c r="F159" s="22">
        <v>2</v>
      </c>
      <c r="G159" s="28">
        <v>19</v>
      </c>
      <c r="H159" s="28">
        <v>6</v>
      </c>
      <c r="I159" s="30">
        <v>1955</v>
      </c>
      <c r="J159" s="34">
        <f t="shared" si="0"/>
        <v>20259</v>
      </c>
      <c r="K159" s="39" t="s">
        <v>1503</v>
      </c>
      <c r="L159" s="25" t="s">
        <v>1047</v>
      </c>
      <c r="M159" s="30">
        <v>14</v>
      </c>
      <c r="N159" s="52"/>
      <c r="O159" s="52"/>
      <c r="P159" s="18"/>
      <c r="Q159" s="41" t="s">
        <v>582</v>
      </c>
      <c r="R159" s="124"/>
      <c r="S159" s="124"/>
      <c r="T159" s="18"/>
      <c r="U159" s="22">
        <v>1</v>
      </c>
      <c r="V159" s="22">
        <v>5</v>
      </c>
      <c r="W159" s="18"/>
      <c r="X159" s="22">
        <v>1</v>
      </c>
      <c r="Y159" s="18"/>
      <c r="Z159" s="22">
        <v>5</v>
      </c>
      <c r="AA159" s="22">
        <v>1</v>
      </c>
      <c r="AB159" s="18" t="s">
        <v>221</v>
      </c>
      <c r="AC159" s="22">
        <v>6</v>
      </c>
      <c r="AD159" s="22">
        <v>2</v>
      </c>
      <c r="AE159" s="18" t="s">
        <v>221</v>
      </c>
      <c r="AF159" s="22">
        <v>99</v>
      </c>
      <c r="AG159" s="18"/>
      <c r="AH159" s="22">
        <v>99</v>
      </c>
      <c r="AI159" s="57"/>
      <c r="AJ159" s="18"/>
      <c r="AK159" s="22">
        <v>99</v>
      </c>
      <c r="AL159" s="22">
        <v>99</v>
      </c>
      <c r="AM159" s="22">
        <v>99</v>
      </c>
      <c r="AN159" s="22">
        <v>99</v>
      </c>
      <c r="AO159" s="22">
        <v>99</v>
      </c>
      <c r="AP159" s="22">
        <v>99</v>
      </c>
      <c r="AQ159" s="18" t="s">
        <v>221</v>
      </c>
      <c r="AR159" s="18" t="s">
        <v>221</v>
      </c>
      <c r="AS159" s="18"/>
      <c r="AT159" s="18"/>
      <c r="AU159" s="22">
        <v>3</v>
      </c>
      <c r="AV159" s="22">
        <v>3</v>
      </c>
      <c r="AW159" s="22">
        <v>4</v>
      </c>
      <c r="AX159" s="37">
        <v>4</v>
      </c>
      <c r="AY159" s="22">
        <v>4</v>
      </c>
      <c r="AZ159" s="22">
        <v>2</v>
      </c>
      <c r="BA159" s="38">
        <v>99</v>
      </c>
      <c r="BB159" s="22">
        <v>99</v>
      </c>
      <c r="BC159" s="22">
        <v>99</v>
      </c>
      <c r="BD159" s="22">
        <v>99</v>
      </c>
      <c r="BE159" s="37">
        <v>99</v>
      </c>
      <c r="BF159" s="22">
        <v>0</v>
      </c>
      <c r="BG159" s="22">
        <v>0</v>
      </c>
      <c r="BH159" s="22">
        <v>0</v>
      </c>
      <c r="BI159" s="22">
        <v>999</v>
      </c>
      <c r="BJ159" s="22">
        <v>8</v>
      </c>
    </row>
    <row r="160" spans="1:62" ht="13">
      <c r="A160" s="18" t="s">
        <v>221</v>
      </c>
      <c r="B160" s="22"/>
      <c r="C160" s="22"/>
      <c r="D160" s="22"/>
      <c r="E160" s="22">
        <v>2</v>
      </c>
      <c r="F160" s="22">
        <v>1</v>
      </c>
      <c r="G160" s="28">
        <v>20</v>
      </c>
      <c r="H160" s="28">
        <v>6</v>
      </c>
      <c r="I160" s="30">
        <v>1955</v>
      </c>
      <c r="J160" s="34">
        <f t="shared" si="0"/>
        <v>20260</v>
      </c>
      <c r="K160" s="11" t="s">
        <v>1294</v>
      </c>
      <c r="L160" s="18"/>
      <c r="M160" s="30">
        <v>3</v>
      </c>
      <c r="N160" s="17" t="s">
        <v>552</v>
      </c>
      <c r="O160" s="17"/>
      <c r="P160" s="25" t="s">
        <v>1050</v>
      </c>
      <c r="Q160" s="25" t="s">
        <v>2043</v>
      </c>
      <c r="R160" s="25">
        <v>51.253774999999997</v>
      </c>
      <c r="S160" s="25">
        <v>-85.323213899999999</v>
      </c>
      <c r="T160" s="22">
        <v>2</v>
      </c>
      <c r="U160" s="22">
        <v>1</v>
      </c>
      <c r="V160" s="18"/>
      <c r="W160" s="18"/>
      <c r="X160" s="22">
        <v>2</v>
      </c>
      <c r="Y160" s="18"/>
      <c r="Z160" s="22">
        <v>5</v>
      </c>
      <c r="AA160" s="22">
        <v>1</v>
      </c>
      <c r="AB160" s="18" t="s">
        <v>221</v>
      </c>
      <c r="AC160" s="22">
        <v>99</v>
      </c>
      <c r="AD160" s="22">
        <v>2</v>
      </c>
      <c r="AE160" s="18" t="s">
        <v>221</v>
      </c>
      <c r="AF160" s="22">
        <v>99</v>
      </c>
      <c r="AG160" s="18"/>
      <c r="AH160" s="22">
        <v>99</v>
      </c>
      <c r="AI160" s="57"/>
      <c r="AJ160" s="18"/>
      <c r="AK160" s="22">
        <v>99</v>
      </c>
      <c r="AL160" s="22">
        <v>99</v>
      </c>
      <c r="AM160" s="22">
        <v>99</v>
      </c>
      <c r="AN160" s="22">
        <v>99</v>
      </c>
      <c r="AO160" s="22">
        <v>99</v>
      </c>
      <c r="AP160" s="22">
        <v>99</v>
      </c>
      <c r="AQ160" s="18" t="s">
        <v>221</v>
      </c>
      <c r="AR160" s="18" t="s">
        <v>221</v>
      </c>
      <c r="AS160" s="18"/>
      <c r="AT160" s="18"/>
      <c r="AU160" s="22">
        <v>3</v>
      </c>
      <c r="AV160" s="22">
        <v>3</v>
      </c>
      <c r="AW160" s="22">
        <v>4</v>
      </c>
      <c r="AX160" s="37">
        <v>4</v>
      </c>
      <c r="AY160" s="22">
        <v>4</v>
      </c>
      <c r="AZ160" s="22">
        <v>2</v>
      </c>
      <c r="BA160" s="38">
        <v>99</v>
      </c>
      <c r="BB160" s="22">
        <v>99</v>
      </c>
      <c r="BC160" s="22">
        <v>99</v>
      </c>
      <c r="BD160" s="22">
        <v>99</v>
      </c>
      <c r="BE160" s="37">
        <v>99</v>
      </c>
      <c r="BF160" s="22">
        <v>0</v>
      </c>
      <c r="BG160" s="22">
        <v>0</v>
      </c>
      <c r="BH160" s="22">
        <v>0</v>
      </c>
      <c r="BI160" s="22">
        <v>999</v>
      </c>
      <c r="BJ160" s="22">
        <v>10</v>
      </c>
    </row>
    <row r="161" spans="1:62" ht="13">
      <c r="A161" s="22" t="s">
        <v>2044</v>
      </c>
      <c r="B161" s="22"/>
      <c r="C161" s="22"/>
      <c r="D161" s="22"/>
      <c r="E161" s="22">
        <v>2</v>
      </c>
      <c r="F161" s="22">
        <v>2</v>
      </c>
      <c r="G161" s="28">
        <v>21</v>
      </c>
      <c r="H161" s="28">
        <v>6</v>
      </c>
      <c r="I161" s="30">
        <v>1955</v>
      </c>
      <c r="J161" s="34">
        <f t="shared" si="0"/>
        <v>20261</v>
      </c>
      <c r="K161" s="39" t="s">
        <v>1056</v>
      </c>
      <c r="L161" s="25" t="s">
        <v>1053</v>
      </c>
      <c r="M161" s="30">
        <v>99</v>
      </c>
      <c r="N161" s="52"/>
      <c r="O161" s="52"/>
      <c r="P161" s="25" t="s">
        <v>1054</v>
      </c>
      <c r="Q161" s="25" t="s">
        <v>1077</v>
      </c>
      <c r="R161" s="105"/>
      <c r="S161" s="105"/>
      <c r="T161" s="22">
        <v>1</v>
      </c>
      <c r="U161" s="22">
        <v>2</v>
      </c>
      <c r="V161" s="18"/>
      <c r="W161" s="22">
        <v>2</v>
      </c>
      <c r="X161" s="22">
        <v>2</v>
      </c>
      <c r="Y161" s="18"/>
      <c r="Z161" s="22">
        <v>5</v>
      </c>
      <c r="AA161" s="22">
        <v>1</v>
      </c>
      <c r="AB161" s="18" t="s">
        <v>221</v>
      </c>
      <c r="AC161" s="22">
        <v>99</v>
      </c>
      <c r="AD161" s="22">
        <v>1</v>
      </c>
      <c r="AE161" s="18" t="s">
        <v>221</v>
      </c>
      <c r="AF161" s="22">
        <v>99</v>
      </c>
      <c r="AG161" s="18"/>
      <c r="AH161" s="22">
        <v>99</v>
      </c>
      <c r="AI161" s="57"/>
      <c r="AJ161" s="18"/>
      <c r="AK161" s="22">
        <v>99</v>
      </c>
      <c r="AL161" s="22">
        <v>99</v>
      </c>
      <c r="AM161" s="22">
        <v>99</v>
      </c>
      <c r="AN161" s="22">
        <v>99</v>
      </c>
      <c r="AO161" s="22">
        <v>99</v>
      </c>
      <c r="AP161" s="22">
        <v>99</v>
      </c>
      <c r="AQ161" s="18" t="s">
        <v>221</v>
      </c>
      <c r="AR161" s="18" t="s">
        <v>221</v>
      </c>
      <c r="AS161" s="18"/>
      <c r="AT161" s="18"/>
      <c r="AU161" s="22">
        <v>3</v>
      </c>
      <c r="AV161" s="22">
        <v>3</v>
      </c>
      <c r="AW161" s="22">
        <v>4</v>
      </c>
      <c r="AX161" s="37">
        <v>4</v>
      </c>
      <c r="AY161" s="22">
        <v>4</v>
      </c>
      <c r="AZ161" s="22">
        <v>2</v>
      </c>
      <c r="BA161" s="38">
        <v>99</v>
      </c>
      <c r="BB161" s="22">
        <v>99</v>
      </c>
      <c r="BC161" s="22">
        <v>99</v>
      </c>
      <c r="BD161" s="22">
        <v>99</v>
      </c>
      <c r="BE161" s="37">
        <v>99</v>
      </c>
      <c r="BF161" s="22">
        <v>0</v>
      </c>
      <c r="BG161" s="22">
        <v>0</v>
      </c>
      <c r="BH161" s="22">
        <v>0</v>
      </c>
      <c r="BI161" s="22">
        <v>999</v>
      </c>
      <c r="BJ161" s="22">
        <v>99</v>
      </c>
    </row>
    <row r="162" spans="1:62" ht="13">
      <c r="A162" s="22" t="s">
        <v>2051</v>
      </c>
      <c r="B162" s="22"/>
      <c r="C162" s="22"/>
      <c r="D162" s="22"/>
      <c r="E162" s="22">
        <v>2</v>
      </c>
      <c r="F162" s="22">
        <v>1</v>
      </c>
      <c r="G162" s="28">
        <v>24</v>
      </c>
      <c r="H162" s="28">
        <v>6</v>
      </c>
      <c r="I162" s="30">
        <v>1955</v>
      </c>
      <c r="J162" s="34">
        <f t="shared" si="0"/>
        <v>20264</v>
      </c>
      <c r="K162" s="35" t="s">
        <v>221</v>
      </c>
      <c r="L162" s="25" t="s">
        <v>1057</v>
      </c>
      <c r="M162" s="30">
        <v>1</v>
      </c>
      <c r="N162" s="17" t="s">
        <v>233</v>
      </c>
      <c r="O162" s="17"/>
      <c r="P162" s="25" t="s">
        <v>1058</v>
      </c>
      <c r="Q162" s="25" t="s">
        <v>1081</v>
      </c>
      <c r="R162" s="25">
        <v>33.818502100000003</v>
      </c>
      <c r="S162" s="25">
        <v>-84.368981199999993</v>
      </c>
      <c r="T162" s="22">
        <v>2</v>
      </c>
      <c r="U162" s="22">
        <v>1</v>
      </c>
      <c r="V162" s="22">
        <v>5</v>
      </c>
      <c r="W162" s="22">
        <v>2</v>
      </c>
      <c r="X162" s="22">
        <v>2</v>
      </c>
      <c r="Y162" s="18"/>
      <c r="Z162" s="22">
        <v>5</v>
      </c>
      <c r="AA162" s="22">
        <v>1</v>
      </c>
      <c r="AB162" s="18" t="s">
        <v>221</v>
      </c>
      <c r="AC162" s="22">
        <v>6</v>
      </c>
      <c r="AD162" s="22">
        <v>2</v>
      </c>
      <c r="AE162" s="18" t="s">
        <v>221</v>
      </c>
      <c r="AF162" s="22">
        <v>99</v>
      </c>
      <c r="AG162" s="18"/>
      <c r="AH162" s="22">
        <v>99</v>
      </c>
      <c r="AI162" s="57"/>
      <c r="AJ162" s="18"/>
      <c r="AK162" s="22">
        <v>99</v>
      </c>
      <c r="AL162" s="22">
        <v>99</v>
      </c>
      <c r="AM162" s="22">
        <v>99</v>
      </c>
      <c r="AN162" s="22">
        <v>99</v>
      </c>
      <c r="AO162" s="22">
        <v>99</v>
      </c>
      <c r="AP162" s="22">
        <v>99</v>
      </c>
      <c r="AQ162" s="18" t="s">
        <v>221</v>
      </c>
      <c r="AR162" s="18" t="s">
        <v>221</v>
      </c>
      <c r="AS162" s="18"/>
      <c r="AT162" s="18"/>
      <c r="AU162" s="22">
        <v>3</v>
      </c>
      <c r="AV162" s="22">
        <v>3</v>
      </c>
      <c r="AW162" s="22">
        <v>4</v>
      </c>
      <c r="AX162" s="37">
        <v>4</v>
      </c>
      <c r="AY162" s="22">
        <v>4</v>
      </c>
      <c r="AZ162" s="22">
        <v>2</v>
      </c>
      <c r="BA162" s="38">
        <v>99</v>
      </c>
      <c r="BB162" s="22">
        <v>99</v>
      </c>
      <c r="BC162" s="22">
        <v>99</v>
      </c>
      <c r="BD162" s="22">
        <v>99</v>
      </c>
      <c r="BE162" s="37">
        <v>99</v>
      </c>
      <c r="BF162" s="22">
        <v>0</v>
      </c>
      <c r="BG162" s="22">
        <v>0</v>
      </c>
      <c r="BH162" s="22">
        <v>0</v>
      </c>
      <c r="BI162" s="22">
        <v>999</v>
      </c>
      <c r="BJ162" s="22">
        <v>7</v>
      </c>
    </row>
    <row r="163" spans="1:62" ht="13">
      <c r="A163" s="22" t="s">
        <v>2057</v>
      </c>
      <c r="B163" s="22"/>
      <c r="C163" s="22"/>
      <c r="D163" s="22"/>
      <c r="E163" s="22">
        <v>2</v>
      </c>
      <c r="F163" s="22">
        <v>1</v>
      </c>
      <c r="G163" s="28">
        <v>25</v>
      </c>
      <c r="H163" s="28">
        <v>6</v>
      </c>
      <c r="I163" s="30">
        <v>1955</v>
      </c>
      <c r="J163" s="34">
        <f t="shared" si="0"/>
        <v>20265</v>
      </c>
      <c r="K163" s="11" t="s">
        <v>1733</v>
      </c>
      <c r="L163" s="25" t="s">
        <v>1060</v>
      </c>
      <c r="M163" s="30">
        <v>7</v>
      </c>
      <c r="N163" s="17" t="s">
        <v>447</v>
      </c>
      <c r="O163" s="17"/>
      <c r="P163" s="18"/>
      <c r="Q163" s="41" t="s">
        <v>582</v>
      </c>
      <c r="R163" s="124"/>
      <c r="S163" s="124"/>
      <c r="T163" s="22">
        <v>1</v>
      </c>
      <c r="U163" s="22">
        <v>2</v>
      </c>
      <c r="V163" s="22">
        <v>2</v>
      </c>
      <c r="W163" s="22">
        <v>2</v>
      </c>
      <c r="X163" s="22">
        <v>2</v>
      </c>
      <c r="Y163" s="18"/>
      <c r="Z163" s="22">
        <v>99</v>
      </c>
      <c r="AA163" s="22">
        <v>99</v>
      </c>
      <c r="AB163" s="18" t="s">
        <v>221</v>
      </c>
      <c r="AC163" s="22">
        <v>6</v>
      </c>
      <c r="AD163" s="22">
        <v>2</v>
      </c>
      <c r="AE163" s="18" t="s">
        <v>221</v>
      </c>
      <c r="AF163" s="22">
        <v>99</v>
      </c>
      <c r="AG163" s="18"/>
      <c r="AH163" s="22">
        <v>99</v>
      </c>
      <c r="AI163" s="57"/>
      <c r="AJ163" s="18"/>
      <c r="AK163" s="22">
        <v>99</v>
      </c>
      <c r="AL163" s="22">
        <v>99</v>
      </c>
      <c r="AM163" s="22">
        <v>99</v>
      </c>
      <c r="AN163" s="22">
        <v>99</v>
      </c>
      <c r="AO163" s="22">
        <v>99</v>
      </c>
      <c r="AP163" s="22">
        <v>99</v>
      </c>
      <c r="AQ163" s="18" t="s">
        <v>221</v>
      </c>
      <c r="AR163" s="18" t="s">
        <v>221</v>
      </c>
      <c r="AS163" s="22">
        <v>99</v>
      </c>
      <c r="AT163" s="22">
        <v>99</v>
      </c>
      <c r="AU163" s="22">
        <v>3</v>
      </c>
      <c r="AV163" s="22">
        <v>3</v>
      </c>
      <c r="AW163" s="22">
        <v>4</v>
      </c>
      <c r="AX163" s="37">
        <v>4</v>
      </c>
      <c r="AY163" s="22">
        <v>4</v>
      </c>
      <c r="AZ163" s="22">
        <v>2</v>
      </c>
      <c r="BA163" s="38">
        <v>99</v>
      </c>
      <c r="BB163" s="22">
        <v>99</v>
      </c>
      <c r="BC163" s="22">
        <v>99</v>
      </c>
      <c r="BD163" s="22">
        <v>99</v>
      </c>
      <c r="BE163" s="37">
        <v>99</v>
      </c>
      <c r="BF163" s="22">
        <v>5</v>
      </c>
      <c r="BG163" s="22">
        <v>0</v>
      </c>
      <c r="BH163" s="22">
        <v>5</v>
      </c>
      <c r="BI163" s="22">
        <v>999</v>
      </c>
      <c r="BJ163" s="22">
        <v>8</v>
      </c>
    </row>
    <row r="164" spans="1:62" ht="13">
      <c r="A164" s="22" t="s">
        <v>2078</v>
      </c>
      <c r="B164" s="22"/>
      <c r="C164" s="22"/>
      <c r="D164" s="22"/>
      <c r="E164" s="22">
        <v>1</v>
      </c>
      <c r="F164" s="22">
        <v>1</v>
      </c>
      <c r="G164" s="28">
        <v>2</v>
      </c>
      <c r="H164" s="28">
        <v>7</v>
      </c>
      <c r="I164" s="30">
        <v>1955</v>
      </c>
      <c r="J164" s="34">
        <f t="shared" si="0"/>
        <v>20272</v>
      </c>
      <c r="K164" s="39" t="s">
        <v>830</v>
      </c>
      <c r="L164" s="25" t="s">
        <v>1063</v>
      </c>
      <c r="M164" s="30">
        <v>1</v>
      </c>
      <c r="N164" s="17" t="s">
        <v>233</v>
      </c>
      <c r="O164" s="17"/>
      <c r="P164" s="25" t="s">
        <v>616</v>
      </c>
      <c r="Q164" s="25" t="s">
        <v>725</v>
      </c>
      <c r="R164" s="25">
        <v>31.931566</v>
      </c>
      <c r="S164" s="25">
        <v>34.872937999999998</v>
      </c>
      <c r="T164" s="22">
        <v>2</v>
      </c>
      <c r="U164" s="22">
        <v>2</v>
      </c>
      <c r="V164" s="22">
        <v>5</v>
      </c>
      <c r="W164" s="22">
        <v>3</v>
      </c>
      <c r="X164" s="22">
        <v>2</v>
      </c>
      <c r="Y164" s="18"/>
      <c r="Z164" s="22">
        <v>99</v>
      </c>
      <c r="AA164" s="22">
        <v>99</v>
      </c>
      <c r="AB164" s="18" t="s">
        <v>221</v>
      </c>
      <c r="AC164" s="22">
        <v>99</v>
      </c>
      <c r="AD164" s="22">
        <v>2</v>
      </c>
      <c r="AE164" s="18" t="s">
        <v>221</v>
      </c>
      <c r="AF164" s="22">
        <v>99</v>
      </c>
      <c r="AG164" s="18"/>
      <c r="AH164" s="22">
        <v>99</v>
      </c>
      <c r="AI164" s="57"/>
      <c r="AJ164" s="18"/>
      <c r="AK164" s="22">
        <v>99</v>
      </c>
      <c r="AL164" s="22">
        <v>99</v>
      </c>
      <c r="AM164" s="22">
        <v>99</v>
      </c>
      <c r="AN164" s="22">
        <v>99</v>
      </c>
      <c r="AO164" s="22">
        <v>99</v>
      </c>
      <c r="AP164" s="22">
        <v>99</v>
      </c>
      <c r="AQ164" s="18" t="s">
        <v>221</v>
      </c>
      <c r="AR164" s="18" t="s">
        <v>221</v>
      </c>
      <c r="AS164" s="18"/>
      <c r="AT164" s="18"/>
      <c r="AU164" s="22">
        <v>3</v>
      </c>
      <c r="AV164" s="22">
        <v>3</v>
      </c>
      <c r="AW164" s="22">
        <v>4</v>
      </c>
      <c r="AX164" s="37">
        <v>4</v>
      </c>
      <c r="AY164" s="22">
        <v>4</v>
      </c>
      <c r="AZ164" s="22">
        <v>2</v>
      </c>
      <c r="BA164" s="38">
        <v>99</v>
      </c>
      <c r="BB164" s="22">
        <v>99</v>
      </c>
      <c r="BC164" s="22">
        <v>99</v>
      </c>
      <c r="BD164" s="22">
        <v>99</v>
      </c>
      <c r="BE164" s="37">
        <v>99</v>
      </c>
      <c r="BF164" s="22">
        <v>999</v>
      </c>
      <c r="BG164" s="22">
        <v>999</v>
      </c>
      <c r="BH164" s="22">
        <v>999</v>
      </c>
      <c r="BI164" s="22">
        <v>999</v>
      </c>
      <c r="BJ164" s="22">
        <v>8</v>
      </c>
    </row>
    <row r="165" spans="1:62" ht="13">
      <c r="A165" s="22" t="s">
        <v>2114</v>
      </c>
      <c r="B165" s="22"/>
      <c r="C165" s="22"/>
      <c r="D165" s="22"/>
      <c r="E165" s="22">
        <v>1</v>
      </c>
      <c r="F165" s="22">
        <v>1</v>
      </c>
      <c r="G165" s="28">
        <v>2</v>
      </c>
      <c r="H165" s="28">
        <v>7</v>
      </c>
      <c r="I165" s="30">
        <v>1955</v>
      </c>
      <c r="J165" s="34">
        <f t="shared" si="0"/>
        <v>20272</v>
      </c>
      <c r="K165" s="39" t="s">
        <v>1716</v>
      </c>
      <c r="L165" s="25" t="s">
        <v>1067</v>
      </c>
      <c r="M165" s="30">
        <v>7</v>
      </c>
      <c r="N165" s="17" t="s">
        <v>447</v>
      </c>
      <c r="O165" s="17"/>
      <c r="P165" s="18"/>
      <c r="Q165" s="41" t="s">
        <v>582</v>
      </c>
      <c r="R165" s="124"/>
      <c r="S165" s="124"/>
      <c r="T165" s="22">
        <v>1</v>
      </c>
      <c r="U165" s="22">
        <v>2</v>
      </c>
      <c r="V165" s="22">
        <v>5</v>
      </c>
      <c r="W165" s="22">
        <v>3</v>
      </c>
      <c r="X165" s="22">
        <v>2</v>
      </c>
      <c r="Y165" s="18"/>
      <c r="Z165" s="22">
        <v>5</v>
      </c>
      <c r="AA165" s="22">
        <v>1</v>
      </c>
      <c r="AB165" s="18" t="s">
        <v>221</v>
      </c>
      <c r="AC165" s="18"/>
      <c r="AD165" s="22">
        <v>2</v>
      </c>
      <c r="AE165" s="18" t="s">
        <v>221</v>
      </c>
      <c r="AF165" s="22">
        <v>99</v>
      </c>
      <c r="AG165" s="18"/>
      <c r="AH165" s="22">
        <v>99</v>
      </c>
      <c r="AI165" s="57"/>
      <c r="AJ165" s="18"/>
      <c r="AK165" s="22">
        <v>99</v>
      </c>
      <c r="AL165" s="22">
        <v>99</v>
      </c>
      <c r="AM165" s="22">
        <v>99</v>
      </c>
      <c r="AN165" s="22">
        <v>99</v>
      </c>
      <c r="AO165" s="22">
        <v>99</v>
      </c>
      <c r="AP165" s="22">
        <v>99</v>
      </c>
      <c r="AQ165" s="18" t="s">
        <v>221</v>
      </c>
      <c r="AR165" s="18" t="s">
        <v>221</v>
      </c>
      <c r="AS165" s="18"/>
      <c r="AT165" s="18"/>
      <c r="AU165" s="22">
        <v>3</v>
      </c>
      <c r="AV165" s="22">
        <v>3</v>
      </c>
      <c r="AW165" s="22">
        <v>4</v>
      </c>
      <c r="AX165" s="37">
        <v>4</v>
      </c>
      <c r="AY165" s="22">
        <v>4</v>
      </c>
      <c r="AZ165" s="22">
        <v>2</v>
      </c>
      <c r="BA165" s="38">
        <v>99</v>
      </c>
      <c r="BB165" s="22">
        <v>99</v>
      </c>
      <c r="BC165" s="22">
        <v>99</v>
      </c>
      <c r="BD165" s="22">
        <v>99</v>
      </c>
      <c r="BE165" s="37">
        <v>99</v>
      </c>
      <c r="BF165" s="22">
        <v>999</v>
      </c>
      <c r="BG165" s="22">
        <v>999</v>
      </c>
      <c r="BH165" s="22">
        <v>999</v>
      </c>
      <c r="BI165" s="22">
        <v>999</v>
      </c>
      <c r="BJ165" s="22">
        <v>3</v>
      </c>
    </row>
    <row r="166" spans="1:62" ht="13">
      <c r="A166" s="22" t="s">
        <v>2159</v>
      </c>
      <c r="B166" s="18"/>
      <c r="C166" s="18"/>
      <c r="D166" s="18"/>
      <c r="E166" s="18"/>
      <c r="F166" s="18"/>
      <c r="G166" s="28">
        <v>11</v>
      </c>
      <c r="H166" s="28">
        <v>7</v>
      </c>
      <c r="I166" s="30">
        <v>1955</v>
      </c>
      <c r="J166" s="34">
        <f t="shared" si="0"/>
        <v>20281</v>
      </c>
      <c r="K166" s="39" t="s">
        <v>614</v>
      </c>
      <c r="L166" s="25" t="s">
        <v>1070</v>
      </c>
      <c r="M166" s="30">
        <v>1</v>
      </c>
      <c r="N166" s="17" t="s">
        <v>233</v>
      </c>
      <c r="O166" s="17"/>
      <c r="P166" s="18"/>
      <c r="Q166" s="41" t="s">
        <v>582</v>
      </c>
      <c r="R166" s="124"/>
      <c r="S166" s="124"/>
      <c r="T166" s="22">
        <v>2</v>
      </c>
      <c r="U166" s="22">
        <v>2</v>
      </c>
      <c r="V166" s="22">
        <v>5</v>
      </c>
      <c r="W166" s="22">
        <v>2</v>
      </c>
      <c r="X166" s="22">
        <v>2</v>
      </c>
      <c r="Y166" s="18"/>
      <c r="Z166" s="22">
        <v>5</v>
      </c>
      <c r="AA166" s="22">
        <v>1</v>
      </c>
      <c r="AB166" s="18" t="s">
        <v>221</v>
      </c>
      <c r="AC166" s="22">
        <v>99</v>
      </c>
      <c r="AD166" s="22">
        <v>2</v>
      </c>
      <c r="AE166" s="18" t="s">
        <v>221</v>
      </c>
      <c r="AF166" s="18"/>
      <c r="AG166" s="18"/>
      <c r="AH166" s="18"/>
      <c r="AI166" s="57"/>
      <c r="AJ166" s="18"/>
      <c r="AK166" s="18"/>
      <c r="AL166" s="18"/>
      <c r="AM166" s="18"/>
      <c r="AN166" s="18"/>
      <c r="AO166" s="18"/>
      <c r="AP166" s="18"/>
      <c r="AQ166" s="18" t="s">
        <v>221</v>
      </c>
      <c r="AR166" s="18" t="s">
        <v>221</v>
      </c>
      <c r="AS166" s="18"/>
      <c r="AT166" s="18"/>
      <c r="AU166" s="18"/>
      <c r="AV166" s="22">
        <v>3</v>
      </c>
      <c r="AW166" s="22">
        <v>4</v>
      </c>
      <c r="AX166" s="37">
        <v>4</v>
      </c>
      <c r="AY166" s="22">
        <v>4</v>
      </c>
      <c r="AZ166" s="22">
        <v>2</v>
      </c>
      <c r="BA166" s="38">
        <v>99</v>
      </c>
      <c r="BB166" s="22">
        <v>99</v>
      </c>
      <c r="BC166" s="18"/>
      <c r="BD166" s="18"/>
      <c r="BE166" s="89"/>
      <c r="BF166" s="22">
        <v>0</v>
      </c>
      <c r="BG166" s="22">
        <v>0</v>
      </c>
      <c r="BH166" s="22">
        <v>0</v>
      </c>
      <c r="BI166" s="22">
        <v>999</v>
      </c>
      <c r="BJ166" s="22">
        <v>8</v>
      </c>
    </row>
    <row r="167" spans="1:62" ht="13">
      <c r="A167" s="22" t="s">
        <v>2201</v>
      </c>
      <c r="B167" s="18"/>
      <c r="C167" s="18"/>
      <c r="D167" s="18"/>
      <c r="E167" s="18"/>
      <c r="F167" s="18"/>
      <c r="G167" s="28">
        <v>11</v>
      </c>
      <c r="H167" s="28">
        <v>7</v>
      </c>
      <c r="I167" s="30">
        <v>1955</v>
      </c>
      <c r="J167" s="34">
        <f t="shared" si="0"/>
        <v>20281</v>
      </c>
      <c r="K167" s="39" t="s">
        <v>965</v>
      </c>
      <c r="L167" s="25" t="s">
        <v>1072</v>
      </c>
      <c r="M167" s="30">
        <v>1</v>
      </c>
      <c r="N167" s="17" t="s">
        <v>233</v>
      </c>
      <c r="O167" s="17"/>
      <c r="P167" s="25" t="s">
        <v>1073</v>
      </c>
      <c r="Q167" s="25" t="s">
        <v>2210</v>
      </c>
      <c r="R167" s="25">
        <v>32.574984200000003</v>
      </c>
      <c r="S167" s="25">
        <v>-117.02800569999999</v>
      </c>
      <c r="T167" s="22">
        <v>1</v>
      </c>
      <c r="U167" s="22">
        <v>1</v>
      </c>
      <c r="V167" s="22">
        <v>5</v>
      </c>
      <c r="W167" s="22">
        <v>2</v>
      </c>
      <c r="X167" s="22">
        <v>2</v>
      </c>
      <c r="Y167" s="18"/>
      <c r="Z167" s="22">
        <v>1</v>
      </c>
      <c r="AA167" s="22">
        <v>3</v>
      </c>
      <c r="AB167" s="2" t="s">
        <v>2217</v>
      </c>
      <c r="AC167" s="22">
        <v>99</v>
      </c>
      <c r="AD167" s="22">
        <v>2</v>
      </c>
      <c r="AE167" s="18" t="s">
        <v>221</v>
      </c>
      <c r="AF167" s="18"/>
      <c r="AG167" s="18"/>
      <c r="AH167" s="18"/>
      <c r="AI167" s="57"/>
      <c r="AJ167" s="18"/>
      <c r="AK167" s="18"/>
      <c r="AL167" s="18"/>
      <c r="AM167" s="18"/>
      <c r="AN167" s="18"/>
      <c r="AO167" s="18"/>
      <c r="AP167" s="18"/>
      <c r="AQ167" s="18" t="s">
        <v>221</v>
      </c>
      <c r="AR167" s="18" t="s">
        <v>221</v>
      </c>
      <c r="AS167" s="18"/>
      <c r="AT167" s="18"/>
      <c r="AU167" s="18"/>
      <c r="AV167" s="22">
        <v>3</v>
      </c>
      <c r="AW167" s="22">
        <v>4</v>
      </c>
      <c r="AX167" s="37">
        <v>4</v>
      </c>
      <c r="AY167" s="22">
        <v>4</v>
      </c>
      <c r="AZ167" s="22">
        <v>2</v>
      </c>
      <c r="BA167" s="38">
        <v>99</v>
      </c>
      <c r="BB167" s="22">
        <v>99</v>
      </c>
      <c r="BC167" s="18"/>
      <c r="BD167" s="18"/>
      <c r="BE167" s="89"/>
      <c r="BF167" s="22">
        <v>0</v>
      </c>
      <c r="BG167" s="22">
        <v>0</v>
      </c>
      <c r="BH167" s="22">
        <v>0</v>
      </c>
      <c r="BI167" s="22">
        <v>999</v>
      </c>
      <c r="BJ167" s="22">
        <v>9</v>
      </c>
    </row>
    <row r="168" spans="1:62" ht="13">
      <c r="A168" s="18" t="s">
        <v>221</v>
      </c>
      <c r="B168" s="22"/>
      <c r="C168" s="22"/>
      <c r="D168" s="22"/>
      <c r="E168" s="22">
        <v>2</v>
      </c>
      <c r="F168" s="22">
        <v>1</v>
      </c>
      <c r="G168" s="28">
        <v>11</v>
      </c>
      <c r="H168" s="28">
        <v>7</v>
      </c>
      <c r="I168" s="30">
        <v>1955</v>
      </c>
      <c r="J168" s="34">
        <f t="shared" si="0"/>
        <v>20281</v>
      </c>
      <c r="K168" s="35" t="s">
        <v>221</v>
      </c>
      <c r="L168" s="18"/>
      <c r="M168" s="51"/>
      <c r="N168" s="52"/>
      <c r="O168" s="52"/>
      <c r="P168" s="25" t="s">
        <v>1074</v>
      </c>
      <c r="Q168" s="25" t="s">
        <v>2226</v>
      </c>
      <c r="R168" s="105"/>
      <c r="S168" s="105"/>
      <c r="T168" s="22">
        <v>1</v>
      </c>
      <c r="U168" s="22">
        <v>1</v>
      </c>
      <c r="V168" s="18"/>
      <c r="W168" s="18"/>
      <c r="X168" s="22">
        <v>2</v>
      </c>
      <c r="Y168" s="18"/>
      <c r="Z168" s="22">
        <v>1</v>
      </c>
      <c r="AA168" s="22">
        <v>3</v>
      </c>
      <c r="AB168" s="18" t="s">
        <v>221</v>
      </c>
      <c r="AC168" s="22">
        <v>99</v>
      </c>
      <c r="AD168" s="22">
        <v>2</v>
      </c>
      <c r="AE168" s="18" t="s">
        <v>221</v>
      </c>
      <c r="AF168" s="22">
        <v>99</v>
      </c>
      <c r="AG168" s="18"/>
      <c r="AH168" s="22">
        <v>99</v>
      </c>
      <c r="AI168" s="57"/>
      <c r="AJ168" s="18"/>
      <c r="AK168" s="22">
        <v>99</v>
      </c>
      <c r="AL168" s="22">
        <v>99</v>
      </c>
      <c r="AM168" s="22">
        <v>99</v>
      </c>
      <c r="AN168" s="22">
        <v>99</v>
      </c>
      <c r="AO168" s="22">
        <v>99</v>
      </c>
      <c r="AP168" s="22">
        <v>99</v>
      </c>
      <c r="AQ168" s="18" t="s">
        <v>221</v>
      </c>
      <c r="AR168" s="18" t="s">
        <v>221</v>
      </c>
      <c r="AS168" s="18"/>
      <c r="AT168" s="18"/>
      <c r="AU168" s="22">
        <v>3</v>
      </c>
      <c r="AV168" s="22">
        <v>3</v>
      </c>
      <c r="AW168" s="22">
        <v>4</v>
      </c>
      <c r="AX168" s="37">
        <v>4</v>
      </c>
      <c r="AY168" s="22">
        <v>4</v>
      </c>
      <c r="AZ168" s="22">
        <v>2</v>
      </c>
      <c r="BA168" s="38">
        <v>99</v>
      </c>
      <c r="BB168" s="22">
        <v>99</v>
      </c>
      <c r="BC168" s="22">
        <v>99</v>
      </c>
      <c r="BD168" s="22">
        <v>99</v>
      </c>
      <c r="BE168" s="37">
        <v>99</v>
      </c>
      <c r="BF168" s="22">
        <v>0</v>
      </c>
      <c r="BG168" s="22">
        <v>0</v>
      </c>
      <c r="BH168" s="22">
        <v>0</v>
      </c>
      <c r="BI168" s="22">
        <v>999</v>
      </c>
      <c r="BJ168" s="22">
        <v>9</v>
      </c>
    </row>
    <row r="169" spans="1:62" ht="13">
      <c r="A169" s="22" t="s">
        <v>2245</v>
      </c>
      <c r="B169" s="22"/>
      <c r="C169" s="22"/>
      <c r="D169" s="22"/>
      <c r="E169" s="22">
        <v>1</v>
      </c>
      <c r="F169" s="22">
        <v>1</v>
      </c>
      <c r="G169" s="28">
        <v>19</v>
      </c>
      <c r="H169" s="28">
        <v>7</v>
      </c>
      <c r="I169" s="30">
        <v>1955</v>
      </c>
      <c r="J169" s="34">
        <f t="shared" si="0"/>
        <v>20289</v>
      </c>
      <c r="K169" s="39" t="s">
        <v>328</v>
      </c>
      <c r="L169" s="25" t="s">
        <v>1076</v>
      </c>
      <c r="M169" s="30">
        <v>1</v>
      </c>
      <c r="N169" s="17" t="s">
        <v>233</v>
      </c>
      <c r="O169" s="17"/>
      <c r="P169" s="25" t="s">
        <v>1078</v>
      </c>
      <c r="Q169" s="25" t="s">
        <v>1092</v>
      </c>
      <c r="R169" s="25">
        <v>32.196015000000003</v>
      </c>
      <c r="S169" s="25">
        <v>34.981513</v>
      </c>
      <c r="T169" s="22">
        <v>1</v>
      </c>
      <c r="U169" s="22">
        <v>1</v>
      </c>
      <c r="V169" s="22">
        <v>5</v>
      </c>
      <c r="W169" s="22">
        <v>3</v>
      </c>
      <c r="X169" s="22">
        <v>2</v>
      </c>
      <c r="Y169" s="18"/>
      <c r="Z169" s="22">
        <v>1</v>
      </c>
      <c r="AA169" s="22">
        <v>99</v>
      </c>
      <c r="AB169" s="18" t="s">
        <v>221</v>
      </c>
      <c r="AC169" s="22">
        <v>6</v>
      </c>
      <c r="AD169" s="22">
        <v>2</v>
      </c>
      <c r="AE169" s="18" t="s">
        <v>221</v>
      </c>
      <c r="AF169" s="22">
        <v>99</v>
      </c>
      <c r="AG169" s="18"/>
      <c r="AH169" s="22">
        <v>99</v>
      </c>
      <c r="AI169" s="57"/>
      <c r="AJ169" s="18"/>
      <c r="AK169" s="22">
        <v>99</v>
      </c>
      <c r="AL169" s="22">
        <v>99</v>
      </c>
      <c r="AM169" s="22">
        <v>99</v>
      </c>
      <c r="AN169" s="22">
        <v>99</v>
      </c>
      <c r="AO169" s="22">
        <v>99</v>
      </c>
      <c r="AP169" s="22">
        <v>99</v>
      </c>
      <c r="AQ169" s="18" t="s">
        <v>221</v>
      </c>
      <c r="AR169" s="18" t="s">
        <v>221</v>
      </c>
      <c r="AS169" s="18"/>
      <c r="AT169" s="18"/>
      <c r="AU169" s="22">
        <v>3</v>
      </c>
      <c r="AV169" s="22">
        <v>3</v>
      </c>
      <c r="AW169" s="22">
        <v>4</v>
      </c>
      <c r="AX169" s="37">
        <v>4</v>
      </c>
      <c r="AY169" s="22">
        <v>4</v>
      </c>
      <c r="AZ169" s="22">
        <v>2</v>
      </c>
      <c r="BA169" s="38">
        <v>99</v>
      </c>
      <c r="BB169" s="22">
        <v>99</v>
      </c>
      <c r="BC169" s="22">
        <v>99</v>
      </c>
      <c r="BD169" s="22">
        <v>99</v>
      </c>
      <c r="BE169" s="37">
        <v>99</v>
      </c>
      <c r="BF169" s="22">
        <v>0</v>
      </c>
      <c r="BG169" s="22">
        <v>0</v>
      </c>
      <c r="BH169" s="22">
        <v>0</v>
      </c>
      <c r="BI169" s="22">
        <v>999</v>
      </c>
      <c r="BJ169" s="22">
        <v>9</v>
      </c>
    </row>
    <row r="170" spans="1:62" ht="13">
      <c r="A170" s="22" t="s">
        <v>2278</v>
      </c>
      <c r="B170" s="22"/>
      <c r="C170" s="22"/>
      <c r="D170" s="22"/>
      <c r="E170" s="22">
        <v>1</v>
      </c>
      <c r="F170" s="22">
        <v>1</v>
      </c>
      <c r="G170" s="28">
        <v>20</v>
      </c>
      <c r="H170" s="28">
        <v>7</v>
      </c>
      <c r="I170" s="30">
        <v>1955</v>
      </c>
      <c r="J170" s="34">
        <f t="shared" si="0"/>
        <v>20290</v>
      </c>
      <c r="K170" s="39" t="s">
        <v>1738</v>
      </c>
      <c r="L170" s="25" t="s">
        <v>1079</v>
      </c>
      <c r="M170" s="30">
        <v>8</v>
      </c>
      <c r="N170" s="17" t="s">
        <v>711</v>
      </c>
      <c r="O170" s="17"/>
      <c r="P170" s="18"/>
      <c r="Q170" s="41" t="s">
        <v>582</v>
      </c>
      <c r="R170" s="124"/>
      <c r="S170" s="124"/>
      <c r="T170" s="22">
        <v>2</v>
      </c>
      <c r="U170" s="22">
        <v>99</v>
      </c>
      <c r="V170" s="22">
        <v>5</v>
      </c>
      <c r="W170" s="22">
        <v>2</v>
      </c>
      <c r="X170" s="22">
        <v>2</v>
      </c>
      <c r="Y170" s="18"/>
      <c r="Z170" s="22">
        <v>5</v>
      </c>
      <c r="AA170" s="22">
        <v>1</v>
      </c>
      <c r="AB170" s="2" t="s">
        <v>1294</v>
      </c>
      <c r="AC170" s="22">
        <v>6</v>
      </c>
      <c r="AD170" s="22">
        <v>2</v>
      </c>
      <c r="AE170" s="18" t="s">
        <v>221</v>
      </c>
      <c r="AF170" s="22">
        <v>99</v>
      </c>
      <c r="AG170" s="18"/>
      <c r="AH170" s="22">
        <v>99</v>
      </c>
      <c r="AI170" s="57"/>
      <c r="AJ170" s="18"/>
      <c r="AK170" s="22">
        <v>99</v>
      </c>
      <c r="AL170" s="22">
        <v>99</v>
      </c>
      <c r="AM170" s="22">
        <v>99</v>
      </c>
      <c r="AN170" s="22">
        <v>99</v>
      </c>
      <c r="AO170" s="22">
        <v>99</v>
      </c>
      <c r="AP170" s="22">
        <v>99</v>
      </c>
      <c r="AQ170" s="18" t="s">
        <v>221</v>
      </c>
      <c r="AR170" s="18" t="s">
        <v>221</v>
      </c>
      <c r="AS170" s="18"/>
      <c r="AT170" s="18"/>
      <c r="AU170" s="22">
        <v>3</v>
      </c>
      <c r="AV170" s="22">
        <v>3</v>
      </c>
      <c r="AW170" s="22">
        <v>4</v>
      </c>
      <c r="AX170" s="37">
        <v>4</v>
      </c>
      <c r="AY170" s="22">
        <v>4</v>
      </c>
      <c r="AZ170" s="22">
        <v>2</v>
      </c>
      <c r="BA170" s="38">
        <v>99</v>
      </c>
      <c r="BB170" s="22">
        <v>99</v>
      </c>
      <c r="BC170" s="22">
        <v>99</v>
      </c>
      <c r="BD170" s="22">
        <v>99</v>
      </c>
      <c r="BE170" s="37">
        <v>99</v>
      </c>
      <c r="BF170" s="22">
        <v>0</v>
      </c>
      <c r="BG170" s="22">
        <v>0</v>
      </c>
      <c r="BH170" s="22">
        <v>0</v>
      </c>
      <c r="BI170" s="22">
        <v>999</v>
      </c>
      <c r="BJ170" s="22">
        <v>8</v>
      </c>
    </row>
    <row r="171" spans="1:62" ht="13">
      <c r="A171" s="22" t="s">
        <v>2304</v>
      </c>
      <c r="B171" s="22"/>
      <c r="C171" s="22"/>
      <c r="D171" s="22"/>
      <c r="E171" s="22">
        <v>1</v>
      </c>
      <c r="F171" s="22">
        <v>1</v>
      </c>
      <c r="G171" s="28">
        <v>20</v>
      </c>
      <c r="H171" s="28">
        <v>7</v>
      </c>
      <c r="I171" s="30">
        <v>1955</v>
      </c>
      <c r="J171" s="34">
        <f t="shared" si="0"/>
        <v>20290</v>
      </c>
      <c r="K171" s="39" t="s">
        <v>2310</v>
      </c>
      <c r="L171" s="25" t="s">
        <v>1082</v>
      </c>
      <c r="M171" s="30">
        <v>99</v>
      </c>
      <c r="N171" s="52"/>
      <c r="O171" s="52"/>
      <c r="P171" s="25" t="s">
        <v>1083</v>
      </c>
      <c r="Q171" s="25" t="s">
        <v>1096</v>
      </c>
      <c r="R171" s="105"/>
      <c r="S171" s="105"/>
      <c r="T171" s="22">
        <v>1</v>
      </c>
      <c r="U171" s="22">
        <v>1</v>
      </c>
      <c r="V171" s="18"/>
      <c r="W171" s="18"/>
      <c r="X171" s="22">
        <v>2</v>
      </c>
      <c r="Y171" s="18"/>
      <c r="Z171" s="22">
        <v>5</v>
      </c>
      <c r="AA171" s="22">
        <v>1</v>
      </c>
      <c r="AB171" s="18" t="s">
        <v>221</v>
      </c>
      <c r="AC171" s="22">
        <v>11</v>
      </c>
      <c r="AD171" s="22">
        <v>2</v>
      </c>
      <c r="AE171" s="18" t="s">
        <v>221</v>
      </c>
      <c r="AF171" s="22">
        <v>99</v>
      </c>
      <c r="AG171" s="18"/>
      <c r="AH171" s="22">
        <v>99</v>
      </c>
      <c r="AI171" s="57"/>
      <c r="AJ171" s="18"/>
      <c r="AK171" s="22">
        <v>99</v>
      </c>
      <c r="AL171" s="22">
        <v>99</v>
      </c>
      <c r="AM171" s="22">
        <v>99</v>
      </c>
      <c r="AN171" s="22">
        <v>99</v>
      </c>
      <c r="AO171" s="22">
        <v>99</v>
      </c>
      <c r="AP171" s="22">
        <v>99</v>
      </c>
      <c r="AQ171" s="22" t="s">
        <v>2321</v>
      </c>
      <c r="AR171" s="2" t="s">
        <v>737</v>
      </c>
      <c r="AS171" s="22">
        <v>99</v>
      </c>
      <c r="AT171" s="22">
        <v>4</v>
      </c>
      <c r="AU171" s="22">
        <v>3</v>
      </c>
      <c r="AV171" s="22">
        <v>3</v>
      </c>
      <c r="AW171" s="22">
        <v>4</v>
      </c>
      <c r="AX171" s="37">
        <v>4</v>
      </c>
      <c r="AY171" s="22">
        <v>4</v>
      </c>
      <c r="AZ171" s="22">
        <v>2</v>
      </c>
      <c r="BA171" s="38">
        <v>99</v>
      </c>
      <c r="BB171" s="22">
        <v>99</v>
      </c>
      <c r="BC171" s="22">
        <v>99</v>
      </c>
      <c r="BD171" s="22">
        <v>99</v>
      </c>
      <c r="BE171" s="37">
        <v>99</v>
      </c>
      <c r="BF171" s="22">
        <v>3</v>
      </c>
      <c r="BG171" s="22">
        <v>0</v>
      </c>
      <c r="BH171" s="22">
        <v>3</v>
      </c>
      <c r="BI171" s="22">
        <v>3</v>
      </c>
      <c r="BJ171" s="22">
        <v>7</v>
      </c>
    </row>
    <row r="172" spans="1:62" ht="13">
      <c r="A172" s="22" t="s">
        <v>2328</v>
      </c>
      <c r="B172" s="22"/>
      <c r="C172" s="22"/>
      <c r="D172" s="22"/>
      <c r="E172" s="22">
        <v>2</v>
      </c>
      <c r="F172" s="22">
        <v>2</v>
      </c>
      <c r="G172" s="28">
        <v>23</v>
      </c>
      <c r="H172" s="28">
        <v>7</v>
      </c>
      <c r="I172" s="30">
        <v>1955</v>
      </c>
      <c r="J172" s="34">
        <f t="shared" si="0"/>
        <v>20293</v>
      </c>
      <c r="K172" s="11" t="s">
        <v>2334</v>
      </c>
      <c r="L172" s="25" t="s">
        <v>1085</v>
      </c>
      <c r="M172" s="30">
        <v>99</v>
      </c>
      <c r="N172" s="52"/>
      <c r="O172" s="52"/>
      <c r="P172" s="25" t="s">
        <v>1086</v>
      </c>
      <c r="Q172" s="25" t="s">
        <v>1102</v>
      </c>
      <c r="R172" s="105"/>
      <c r="S172" s="105"/>
      <c r="T172" s="22">
        <v>1</v>
      </c>
      <c r="U172" s="22">
        <v>2</v>
      </c>
      <c r="V172" s="18"/>
      <c r="W172" s="18"/>
      <c r="X172" s="22">
        <v>2</v>
      </c>
      <c r="Y172" s="18"/>
      <c r="Z172" s="22">
        <v>5</v>
      </c>
      <c r="AA172" s="22">
        <v>1</v>
      </c>
      <c r="AB172" s="18" t="s">
        <v>221</v>
      </c>
      <c r="AC172" s="22">
        <v>99</v>
      </c>
      <c r="AD172" s="22">
        <v>2</v>
      </c>
      <c r="AE172" s="18" t="s">
        <v>221</v>
      </c>
      <c r="AF172" s="22">
        <v>99</v>
      </c>
      <c r="AG172" s="18"/>
      <c r="AH172" s="22">
        <v>99</v>
      </c>
      <c r="AI172" s="57"/>
      <c r="AJ172" s="18"/>
      <c r="AK172" s="22">
        <v>99</v>
      </c>
      <c r="AL172" s="22">
        <v>99</v>
      </c>
      <c r="AM172" s="22">
        <v>99</v>
      </c>
      <c r="AN172" s="22">
        <v>99</v>
      </c>
      <c r="AO172" s="22">
        <v>99</v>
      </c>
      <c r="AP172" s="22">
        <v>99</v>
      </c>
      <c r="AQ172" s="18" t="s">
        <v>221</v>
      </c>
      <c r="AR172" s="18" t="s">
        <v>221</v>
      </c>
      <c r="AS172" s="18"/>
      <c r="AT172" s="18"/>
      <c r="AU172" s="22">
        <v>3</v>
      </c>
      <c r="AV172" s="22">
        <v>3</v>
      </c>
      <c r="AW172" s="22">
        <v>4</v>
      </c>
      <c r="AX172" s="37">
        <v>4</v>
      </c>
      <c r="AY172" s="22">
        <v>4</v>
      </c>
      <c r="AZ172" s="22">
        <v>2</v>
      </c>
      <c r="BA172" s="38">
        <v>99</v>
      </c>
      <c r="BB172" s="22">
        <v>99</v>
      </c>
      <c r="BC172" s="22">
        <v>99</v>
      </c>
      <c r="BD172" s="22">
        <v>99</v>
      </c>
      <c r="BE172" s="37">
        <v>99</v>
      </c>
      <c r="BF172" s="22">
        <v>0</v>
      </c>
      <c r="BG172" s="22">
        <v>0</v>
      </c>
      <c r="BH172" s="22">
        <v>0</v>
      </c>
      <c r="BI172" s="22">
        <v>999</v>
      </c>
      <c r="BJ172" s="22">
        <v>8</v>
      </c>
    </row>
    <row r="173" spans="1:62" ht="13">
      <c r="A173" s="22" t="s">
        <v>2350</v>
      </c>
      <c r="B173" s="22"/>
      <c r="C173" s="22"/>
      <c r="D173" s="22"/>
      <c r="E173" s="22">
        <v>1</v>
      </c>
      <c r="F173" s="22">
        <v>1</v>
      </c>
      <c r="G173" s="28">
        <v>25</v>
      </c>
      <c r="H173" s="28">
        <v>7</v>
      </c>
      <c r="I173" s="30">
        <v>1955</v>
      </c>
      <c r="J173" s="34">
        <f t="shared" si="0"/>
        <v>20295</v>
      </c>
      <c r="K173" s="35" t="s">
        <v>221</v>
      </c>
      <c r="L173" s="25" t="s">
        <v>1091</v>
      </c>
      <c r="M173" s="30">
        <v>1</v>
      </c>
      <c r="N173" s="17" t="s">
        <v>233</v>
      </c>
      <c r="O173" s="17"/>
      <c r="P173" s="18"/>
      <c r="Q173" s="41" t="s">
        <v>582</v>
      </c>
      <c r="R173" s="124"/>
      <c r="S173" s="124"/>
      <c r="T173" s="22">
        <v>2</v>
      </c>
      <c r="U173" s="22">
        <v>2</v>
      </c>
      <c r="V173" s="22">
        <v>5</v>
      </c>
      <c r="W173" s="22">
        <v>4</v>
      </c>
      <c r="X173" s="22">
        <v>2</v>
      </c>
      <c r="Y173" s="18"/>
      <c r="Z173" s="22">
        <v>5</v>
      </c>
      <c r="AA173" s="22">
        <v>1</v>
      </c>
      <c r="AB173" s="18" t="s">
        <v>221</v>
      </c>
      <c r="AC173" s="22">
        <v>99</v>
      </c>
      <c r="AD173" s="22">
        <v>2</v>
      </c>
      <c r="AE173" s="18" t="s">
        <v>221</v>
      </c>
      <c r="AF173" s="22">
        <v>99</v>
      </c>
      <c r="AG173" s="18"/>
      <c r="AH173" s="22">
        <v>99</v>
      </c>
      <c r="AI173" s="57"/>
      <c r="AJ173" s="18"/>
      <c r="AK173" s="22">
        <v>99</v>
      </c>
      <c r="AL173" s="22">
        <v>99</v>
      </c>
      <c r="AM173" s="22">
        <v>99</v>
      </c>
      <c r="AN173" s="22">
        <v>2</v>
      </c>
      <c r="AO173" s="22">
        <v>99</v>
      </c>
      <c r="AP173" s="22">
        <v>99</v>
      </c>
      <c r="AQ173" s="18" t="s">
        <v>221</v>
      </c>
      <c r="AR173" s="18" t="s">
        <v>221</v>
      </c>
      <c r="AS173" s="18"/>
      <c r="AT173" s="18"/>
      <c r="AU173" s="22">
        <v>3</v>
      </c>
      <c r="AV173" s="22">
        <v>3</v>
      </c>
      <c r="AW173" s="22">
        <v>4</v>
      </c>
      <c r="AX173" s="37">
        <v>4</v>
      </c>
      <c r="AY173" s="22">
        <v>4</v>
      </c>
      <c r="AZ173" s="22">
        <v>2</v>
      </c>
      <c r="BA173" s="38">
        <v>99</v>
      </c>
      <c r="BB173" s="22">
        <v>99</v>
      </c>
      <c r="BC173" s="22">
        <v>99</v>
      </c>
      <c r="BD173" s="22">
        <v>99</v>
      </c>
      <c r="BE173" s="37">
        <v>99</v>
      </c>
      <c r="BF173" s="22">
        <v>0</v>
      </c>
      <c r="BG173" s="22">
        <v>0</v>
      </c>
      <c r="BH173" s="22">
        <v>0</v>
      </c>
      <c r="BI173" s="22">
        <v>999</v>
      </c>
      <c r="BJ173" s="22">
        <v>9</v>
      </c>
    </row>
    <row r="174" spans="1:62" ht="13">
      <c r="A174" s="22" t="s">
        <v>2365</v>
      </c>
      <c r="B174" s="22"/>
      <c r="C174" s="22"/>
      <c r="D174" s="22"/>
      <c r="E174" s="22">
        <v>1</v>
      </c>
      <c r="F174" s="22">
        <v>1</v>
      </c>
      <c r="G174" s="28">
        <v>8</v>
      </c>
      <c r="H174" s="28">
        <v>8</v>
      </c>
      <c r="I174" s="30">
        <v>1955</v>
      </c>
      <c r="J174" s="34">
        <f t="shared" si="0"/>
        <v>20309</v>
      </c>
      <c r="K174" s="39" t="s">
        <v>328</v>
      </c>
      <c r="L174" s="25" t="s">
        <v>1093</v>
      </c>
      <c r="M174" s="30">
        <v>7</v>
      </c>
      <c r="N174" s="17" t="s">
        <v>447</v>
      </c>
      <c r="O174" s="17"/>
      <c r="P174" s="18"/>
      <c r="Q174" s="41" t="s">
        <v>582</v>
      </c>
      <c r="R174" s="124"/>
      <c r="S174" s="124"/>
      <c r="T174" s="22">
        <v>1</v>
      </c>
      <c r="U174" s="22">
        <v>2</v>
      </c>
      <c r="V174" s="22">
        <v>5</v>
      </c>
      <c r="W174" s="22">
        <v>2</v>
      </c>
      <c r="X174" s="22">
        <v>2</v>
      </c>
      <c r="Y174" s="18"/>
      <c r="Z174" s="22">
        <v>5</v>
      </c>
      <c r="AA174" s="22">
        <v>1</v>
      </c>
      <c r="AB174" s="18" t="s">
        <v>221</v>
      </c>
      <c r="AC174" s="22">
        <v>99</v>
      </c>
      <c r="AD174" s="22">
        <v>2</v>
      </c>
      <c r="AE174" s="18" t="s">
        <v>221</v>
      </c>
      <c r="AF174" s="22">
        <v>99</v>
      </c>
      <c r="AG174" s="18"/>
      <c r="AH174" s="22">
        <v>99</v>
      </c>
      <c r="AI174" s="57"/>
      <c r="AJ174" s="18"/>
      <c r="AK174" s="22">
        <v>99</v>
      </c>
      <c r="AL174" s="22">
        <v>99</v>
      </c>
      <c r="AM174" s="22">
        <v>99</v>
      </c>
      <c r="AN174" s="22">
        <v>99</v>
      </c>
      <c r="AO174" s="22">
        <v>99</v>
      </c>
      <c r="AP174" s="22">
        <v>99</v>
      </c>
      <c r="AQ174" s="18" t="s">
        <v>221</v>
      </c>
      <c r="AR174" s="18" t="s">
        <v>221</v>
      </c>
      <c r="AS174" s="18"/>
      <c r="AT174" s="18"/>
      <c r="AU174" s="22">
        <v>3</v>
      </c>
      <c r="AV174" s="22">
        <v>3</v>
      </c>
      <c r="AW174" s="22">
        <v>4</v>
      </c>
      <c r="AX174" s="37">
        <v>4</v>
      </c>
      <c r="AY174" s="22">
        <v>4</v>
      </c>
      <c r="AZ174" s="22">
        <v>2</v>
      </c>
      <c r="BA174" s="38">
        <v>99</v>
      </c>
      <c r="BB174" s="22">
        <v>99</v>
      </c>
      <c r="BC174" s="22">
        <v>99</v>
      </c>
      <c r="BD174" s="22">
        <v>99</v>
      </c>
      <c r="BE174" s="37">
        <v>99</v>
      </c>
      <c r="BF174" s="22">
        <v>0</v>
      </c>
      <c r="BG174" s="22">
        <v>0</v>
      </c>
      <c r="BH174" s="22">
        <v>0</v>
      </c>
      <c r="BI174" s="22">
        <v>999</v>
      </c>
      <c r="BJ174" s="22">
        <v>9</v>
      </c>
    </row>
    <row r="175" spans="1:62" ht="13">
      <c r="A175" s="22" t="s">
        <v>2390</v>
      </c>
      <c r="B175" s="22"/>
      <c r="C175" s="22"/>
      <c r="D175" s="22"/>
      <c r="E175" s="22">
        <v>1</v>
      </c>
      <c r="F175" s="22">
        <v>1</v>
      </c>
      <c r="G175" s="28">
        <v>13</v>
      </c>
      <c r="H175" s="28">
        <v>8</v>
      </c>
      <c r="I175" s="30">
        <v>1955</v>
      </c>
      <c r="J175" s="34">
        <f t="shared" si="0"/>
        <v>20314</v>
      </c>
      <c r="K175" s="39" t="s">
        <v>1716</v>
      </c>
      <c r="L175" s="25" t="s">
        <v>1095</v>
      </c>
      <c r="M175" s="30">
        <v>7</v>
      </c>
      <c r="N175" s="17" t="s">
        <v>447</v>
      </c>
      <c r="O175" s="17"/>
      <c r="P175" s="18"/>
      <c r="Q175" s="41" t="s">
        <v>582</v>
      </c>
      <c r="R175" s="124"/>
      <c r="S175" s="124"/>
      <c r="T175" s="22">
        <v>1</v>
      </c>
      <c r="U175" s="22">
        <v>2</v>
      </c>
      <c r="V175" s="22">
        <v>5</v>
      </c>
      <c r="W175" s="22">
        <v>2</v>
      </c>
      <c r="X175" s="22">
        <v>2</v>
      </c>
      <c r="Y175" s="18"/>
      <c r="Z175" s="22">
        <v>5</v>
      </c>
      <c r="AA175" s="22">
        <v>3</v>
      </c>
      <c r="AB175" s="18" t="s">
        <v>221</v>
      </c>
      <c r="AC175" s="22">
        <v>99</v>
      </c>
      <c r="AD175" s="22">
        <v>99</v>
      </c>
      <c r="AE175" s="18" t="s">
        <v>221</v>
      </c>
      <c r="AF175" s="22">
        <v>99</v>
      </c>
      <c r="AG175" s="18"/>
      <c r="AH175" s="22">
        <v>99</v>
      </c>
      <c r="AI175" s="57"/>
      <c r="AJ175" s="18"/>
      <c r="AK175" s="22">
        <v>99</v>
      </c>
      <c r="AL175" s="22">
        <v>99</v>
      </c>
      <c r="AM175" s="22">
        <v>99</v>
      </c>
      <c r="AN175" s="22">
        <v>99</v>
      </c>
      <c r="AO175" s="22">
        <v>99</v>
      </c>
      <c r="AP175" s="22">
        <v>99</v>
      </c>
      <c r="AQ175" s="18" t="s">
        <v>221</v>
      </c>
      <c r="AR175" s="18" t="s">
        <v>221</v>
      </c>
      <c r="AS175" s="18"/>
      <c r="AT175" s="22">
        <v>6</v>
      </c>
      <c r="AU175" s="22">
        <v>3</v>
      </c>
      <c r="AV175" s="22">
        <v>3</v>
      </c>
      <c r="AW175" s="22">
        <v>4</v>
      </c>
      <c r="AX175" s="37">
        <v>4</v>
      </c>
      <c r="AY175" s="22">
        <v>4</v>
      </c>
      <c r="AZ175" s="22">
        <v>2</v>
      </c>
      <c r="BA175" s="38">
        <v>99</v>
      </c>
      <c r="BB175" s="22">
        <v>99</v>
      </c>
      <c r="BC175" s="22">
        <v>99</v>
      </c>
      <c r="BD175" s="22">
        <v>99</v>
      </c>
      <c r="BE175" s="37">
        <v>99</v>
      </c>
      <c r="BF175" s="22">
        <v>2</v>
      </c>
      <c r="BG175" s="22">
        <v>1</v>
      </c>
      <c r="BH175" s="22">
        <v>3</v>
      </c>
      <c r="BI175" s="22">
        <v>99</v>
      </c>
      <c r="BJ175" s="22">
        <v>8</v>
      </c>
    </row>
    <row r="176" spans="1:62" ht="13">
      <c r="A176" s="22" t="s">
        <v>2404</v>
      </c>
      <c r="B176" s="22"/>
      <c r="C176" s="22"/>
      <c r="D176" s="22"/>
      <c r="E176" s="22">
        <v>3</v>
      </c>
      <c r="F176" s="22">
        <v>1</v>
      </c>
      <c r="G176" s="28">
        <v>19</v>
      </c>
      <c r="H176" s="28">
        <v>8</v>
      </c>
      <c r="I176" s="30">
        <v>1955</v>
      </c>
      <c r="J176" s="34">
        <f t="shared" si="0"/>
        <v>20320</v>
      </c>
      <c r="K176" s="35" t="s">
        <v>221</v>
      </c>
      <c r="L176" s="25" t="s">
        <v>1099</v>
      </c>
      <c r="M176" s="30">
        <v>1</v>
      </c>
      <c r="N176" s="17" t="s">
        <v>233</v>
      </c>
      <c r="O176" s="17"/>
      <c r="P176" s="25" t="s">
        <v>32</v>
      </c>
      <c r="Q176" s="25" t="s">
        <v>346</v>
      </c>
      <c r="R176" s="25">
        <v>31.768319000000002</v>
      </c>
      <c r="S176" s="25">
        <v>35.213709999999999</v>
      </c>
      <c r="T176" s="22">
        <v>2</v>
      </c>
      <c r="U176" s="22">
        <v>1</v>
      </c>
      <c r="V176" s="22">
        <v>5</v>
      </c>
      <c r="W176" s="22">
        <v>2</v>
      </c>
      <c r="X176" s="22">
        <v>2</v>
      </c>
      <c r="Y176" s="18"/>
      <c r="Z176" s="22">
        <v>5</v>
      </c>
      <c r="AA176" s="22">
        <v>1</v>
      </c>
      <c r="AB176" s="18" t="s">
        <v>221</v>
      </c>
      <c r="AC176" s="22">
        <v>6</v>
      </c>
      <c r="AD176" s="22">
        <v>2</v>
      </c>
      <c r="AE176" s="18" t="s">
        <v>221</v>
      </c>
      <c r="AF176" s="22">
        <v>99</v>
      </c>
      <c r="AG176" s="18"/>
      <c r="AH176" s="22">
        <v>99</v>
      </c>
      <c r="AI176" s="57"/>
      <c r="AJ176" s="18"/>
      <c r="AK176" s="22">
        <v>99</v>
      </c>
      <c r="AL176" s="22">
        <v>99</v>
      </c>
      <c r="AM176" s="22">
        <v>99</v>
      </c>
      <c r="AN176" s="22">
        <v>99</v>
      </c>
      <c r="AO176" s="22">
        <v>99</v>
      </c>
      <c r="AP176" s="22">
        <v>99</v>
      </c>
      <c r="AQ176" s="18" t="s">
        <v>221</v>
      </c>
      <c r="AR176" s="18" t="s">
        <v>221</v>
      </c>
      <c r="AS176" s="18"/>
      <c r="AT176" s="18"/>
      <c r="AU176" s="22">
        <v>3</v>
      </c>
      <c r="AV176" s="22">
        <v>3</v>
      </c>
      <c r="AW176" s="22">
        <v>4</v>
      </c>
      <c r="AX176" s="37">
        <v>4</v>
      </c>
      <c r="AY176" s="22">
        <v>4</v>
      </c>
      <c r="AZ176" s="22">
        <v>2</v>
      </c>
      <c r="BA176" s="38">
        <v>99</v>
      </c>
      <c r="BB176" s="22">
        <v>99</v>
      </c>
      <c r="BC176" s="22">
        <v>99</v>
      </c>
      <c r="BD176" s="22">
        <v>99</v>
      </c>
      <c r="BE176" s="37">
        <v>99</v>
      </c>
      <c r="BF176" s="22">
        <v>0</v>
      </c>
      <c r="BG176" s="22">
        <v>0</v>
      </c>
      <c r="BH176" s="22">
        <v>0</v>
      </c>
      <c r="BI176" s="22">
        <v>999</v>
      </c>
      <c r="BJ176" s="22">
        <v>8</v>
      </c>
    </row>
    <row r="177" spans="1:62" ht="13">
      <c r="A177" s="22" t="s">
        <v>2430</v>
      </c>
      <c r="B177" s="22"/>
      <c r="C177" s="22"/>
      <c r="D177" s="22"/>
      <c r="E177" s="22">
        <v>3</v>
      </c>
      <c r="F177" s="22">
        <v>1</v>
      </c>
      <c r="G177" s="28">
        <v>22</v>
      </c>
      <c r="H177" s="28">
        <v>8</v>
      </c>
      <c r="I177" s="30">
        <v>1955</v>
      </c>
      <c r="J177" s="34">
        <f t="shared" si="0"/>
        <v>20323</v>
      </c>
      <c r="K177" s="11" t="s">
        <v>562</v>
      </c>
      <c r="L177" s="25" t="s">
        <v>1100</v>
      </c>
      <c r="M177" s="30">
        <v>99</v>
      </c>
      <c r="N177" s="52"/>
      <c r="O177" s="52"/>
      <c r="P177" s="25" t="s">
        <v>1101</v>
      </c>
      <c r="Q177" s="25" t="s">
        <v>2441</v>
      </c>
      <c r="R177" s="105"/>
      <c r="S177" s="105"/>
      <c r="T177" s="22">
        <v>2</v>
      </c>
      <c r="U177" s="22">
        <v>1</v>
      </c>
      <c r="V177" s="18"/>
      <c r="W177" s="18"/>
      <c r="X177" s="22">
        <v>2</v>
      </c>
      <c r="Y177" s="18"/>
      <c r="Z177" s="22">
        <v>5</v>
      </c>
      <c r="AA177" s="22">
        <v>3</v>
      </c>
      <c r="AB177" s="18" t="s">
        <v>221</v>
      </c>
      <c r="AC177" s="22">
        <v>99</v>
      </c>
      <c r="AD177" s="22">
        <v>2</v>
      </c>
      <c r="AE177" s="18" t="s">
        <v>221</v>
      </c>
      <c r="AF177" s="22">
        <v>99</v>
      </c>
      <c r="AG177" s="18"/>
      <c r="AH177" s="22">
        <v>99</v>
      </c>
      <c r="AI177" s="57"/>
      <c r="AJ177" s="18"/>
      <c r="AK177" s="22">
        <v>99</v>
      </c>
      <c r="AL177" s="22">
        <v>99</v>
      </c>
      <c r="AM177" s="22">
        <v>99</v>
      </c>
      <c r="AN177" s="22">
        <v>99</v>
      </c>
      <c r="AO177" s="22">
        <v>99</v>
      </c>
      <c r="AP177" s="22">
        <v>99</v>
      </c>
      <c r="AQ177" s="18" t="s">
        <v>221</v>
      </c>
      <c r="AR177" s="18" t="s">
        <v>221</v>
      </c>
      <c r="AS177" s="18"/>
      <c r="AT177" s="22">
        <v>6</v>
      </c>
      <c r="AU177" s="22">
        <v>3</v>
      </c>
      <c r="AV177" s="22">
        <v>3</v>
      </c>
      <c r="AW177" s="22">
        <v>4</v>
      </c>
      <c r="AX177" s="37">
        <v>4</v>
      </c>
      <c r="AY177" s="22">
        <v>4</v>
      </c>
      <c r="AZ177" s="22">
        <v>2</v>
      </c>
      <c r="BA177" s="38">
        <v>99</v>
      </c>
      <c r="BB177" s="22">
        <v>99</v>
      </c>
      <c r="BC177" s="22">
        <v>99</v>
      </c>
      <c r="BD177" s="22">
        <v>99</v>
      </c>
      <c r="BE177" s="37">
        <v>99</v>
      </c>
      <c r="BF177" s="22">
        <v>0</v>
      </c>
      <c r="BG177" s="22">
        <v>1</v>
      </c>
      <c r="BH177" s="22">
        <v>1</v>
      </c>
      <c r="BI177" s="22">
        <v>99</v>
      </c>
      <c r="BJ177" s="22">
        <v>3</v>
      </c>
    </row>
    <row r="178" spans="1:62" ht="13">
      <c r="A178" s="22" t="s">
        <v>2459</v>
      </c>
      <c r="B178" s="22"/>
      <c r="C178" s="22"/>
      <c r="D178" s="22"/>
      <c r="E178" s="22">
        <v>3</v>
      </c>
      <c r="F178" s="22">
        <v>1</v>
      </c>
      <c r="G178" s="28">
        <v>26</v>
      </c>
      <c r="H178" s="28">
        <v>8</v>
      </c>
      <c r="I178" s="30">
        <v>1955</v>
      </c>
      <c r="J178" s="34">
        <f t="shared" si="0"/>
        <v>20327</v>
      </c>
      <c r="K178" s="39" t="s">
        <v>2467</v>
      </c>
      <c r="L178" s="25" t="s">
        <v>1108</v>
      </c>
      <c r="M178" s="30">
        <v>7</v>
      </c>
      <c r="N178" s="17" t="s">
        <v>447</v>
      </c>
      <c r="O178" s="17"/>
      <c r="P178" s="18"/>
      <c r="Q178" s="41" t="s">
        <v>582</v>
      </c>
      <c r="R178" s="124"/>
      <c r="S178" s="124"/>
      <c r="T178" s="22">
        <v>1</v>
      </c>
      <c r="U178" s="22">
        <v>2</v>
      </c>
      <c r="V178" s="22">
        <v>1</v>
      </c>
      <c r="W178" s="22">
        <v>2</v>
      </c>
      <c r="X178" s="22">
        <v>2</v>
      </c>
      <c r="Y178" s="18"/>
      <c r="Z178" s="22">
        <v>5</v>
      </c>
      <c r="AA178" s="22">
        <v>3</v>
      </c>
      <c r="AB178" s="18" t="s">
        <v>221</v>
      </c>
      <c r="AC178" s="22">
        <v>7</v>
      </c>
      <c r="AD178" s="22">
        <v>2</v>
      </c>
      <c r="AE178" s="18" t="s">
        <v>221</v>
      </c>
      <c r="AF178" s="22">
        <v>99</v>
      </c>
      <c r="AG178" s="18"/>
      <c r="AH178" s="22">
        <v>99</v>
      </c>
      <c r="AI178" s="57"/>
      <c r="AJ178" s="18"/>
      <c r="AK178" s="22">
        <v>99</v>
      </c>
      <c r="AL178" s="22">
        <v>99</v>
      </c>
      <c r="AM178" s="22">
        <v>99</v>
      </c>
      <c r="AN178" s="22">
        <v>99</v>
      </c>
      <c r="AO178" s="22">
        <v>99</v>
      </c>
      <c r="AP178" s="22">
        <v>99</v>
      </c>
      <c r="AQ178" s="18" t="s">
        <v>221</v>
      </c>
      <c r="AR178" s="18" t="s">
        <v>221</v>
      </c>
      <c r="AS178" s="18"/>
      <c r="AT178" s="18"/>
      <c r="AU178" s="22">
        <v>3</v>
      </c>
      <c r="AV178" s="22">
        <v>3</v>
      </c>
      <c r="AW178" s="22">
        <v>4</v>
      </c>
      <c r="AX178" s="37">
        <v>4</v>
      </c>
      <c r="AY178" s="22">
        <v>4</v>
      </c>
      <c r="AZ178" s="22">
        <v>2</v>
      </c>
      <c r="BA178" s="38">
        <v>99</v>
      </c>
      <c r="BB178" s="22">
        <v>99</v>
      </c>
      <c r="BC178" s="22">
        <v>99</v>
      </c>
      <c r="BD178" s="22">
        <v>99</v>
      </c>
      <c r="BE178" s="37">
        <v>99</v>
      </c>
      <c r="BF178" s="22">
        <v>4</v>
      </c>
      <c r="BG178" s="22">
        <v>0</v>
      </c>
      <c r="BH178" s="22">
        <v>4</v>
      </c>
      <c r="BI178" s="22">
        <v>999</v>
      </c>
      <c r="BJ178" s="22">
        <v>3</v>
      </c>
    </row>
    <row r="179" spans="1:62" ht="13">
      <c r="A179" s="22" t="s">
        <v>2487</v>
      </c>
      <c r="B179" s="18"/>
      <c r="C179" s="18"/>
      <c r="D179" s="18"/>
      <c r="E179" s="18"/>
      <c r="F179" s="18"/>
      <c r="G179" s="28">
        <v>30</v>
      </c>
      <c r="H179" s="28">
        <v>8</v>
      </c>
      <c r="I179" s="30">
        <v>1955</v>
      </c>
      <c r="J179" s="34">
        <f t="shared" si="0"/>
        <v>20331</v>
      </c>
      <c r="K179" s="35" t="s">
        <v>221</v>
      </c>
      <c r="L179" s="25" t="s">
        <v>1121</v>
      </c>
      <c r="M179" s="30">
        <v>99</v>
      </c>
      <c r="N179" s="52"/>
      <c r="O179" s="52"/>
      <c r="P179" s="25" t="s">
        <v>1122</v>
      </c>
      <c r="Q179" s="25" t="s">
        <v>1127</v>
      </c>
      <c r="R179" s="105"/>
      <c r="S179" s="105"/>
      <c r="T179" s="22">
        <v>1</v>
      </c>
      <c r="U179" s="22">
        <v>1</v>
      </c>
      <c r="V179" s="18"/>
      <c r="W179" s="18"/>
      <c r="X179" s="22">
        <v>2</v>
      </c>
      <c r="Y179" s="18"/>
      <c r="Z179" s="22">
        <v>5</v>
      </c>
      <c r="AA179" s="22">
        <v>3</v>
      </c>
      <c r="AB179" s="18" t="s">
        <v>221</v>
      </c>
      <c r="AC179" s="22">
        <v>6</v>
      </c>
      <c r="AD179" s="22">
        <v>2</v>
      </c>
      <c r="AE179" s="18" t="s">
        <v>221</v>
      </c>
      <c r="AF179" s="22">
        <v>99</v>
      </c>
      <c r="AG179" s="18"/>
      <c r="AH179" s="22">
        <v>99</v>
      </c>
      <c r="AI179" s="57"/>
      <c r="AJ179" s="18"/>
      <c r="AK179" s="22">
        <v>99</v>
      </c>
      <c r="AL179" s="22">
        <v>99</v>
      </c>
      <c r="AM179" s="22">
        <v>99</v>
      </c>
      <c r="AN179" s="22">
        <v>99</v>
      </c>
      <c r="AO179" s="22">
        <v>99</v>
      </c>
      <c r="AP179" s="22">
        <v>99</v>
      </c>
      <c r="AQ179" s="18" t="s">
        <v>221</v>
      </c>
      <c r="AR179" s="18" t="s">
        <v>221</v>
      </c>
      <c r="AS179" s="18"/>
      <c r="AT179" s="18"/>
      <c r="AU179" s="22">
        <v>99</v>
      </c>
      <c r="AV179" s="22">
        <v>99</v>
      </c>
      <c r="AW179" s="22">
        <v>99</v>
      </c>
      <c r="AX179" s="37">
        <v>99</v>
      </c>
      <c r="AY179" s="22">
        <v>99</v>
      </c>
      <c r="AZ179" s="22">
        <v>99</v>
      </c>
      <c r="BA179" s="38">
        <v>99</v>
      </c>
      <c r="BB179" s="22">
        <v>99</v>
      </c>
      <c r="BC179" s="22">
        <v>99</v>
      </c>
      <c r="BD179" s="22">
        <v>99</v>
      </c>
      <c r="BE179" s="37">
        <v>99</v>
      </c>
      <c r="BF179" s="22">
        <v>1</v>
      </c>
      <c r="BG179" s="22">
        <v>2</v>
      </c>
      <c r="BH179" s="22">
        <v>3</v>
      </c>
      <c r="BI179" s="22">
        <v>999</v>
      </c>
      <c r="BJ179" s="22">
        <v>9</v>
      </c>
    </row>
    <row r="180" spans="1:62" ht="13">
      <c r="A180" s="22" t="s">
        <v>2520</v>
      </c>
      <c r="B180" s="22"/>
      <c r="C180" s="22"/>
      <c r="D180" s="22"/>
      <c r="E180" s="22">
        <v>3</v>
      </c>
      <c r="F180" s="22">
        <v>1</v>
      </c>
      <c r="G180" s="28">
        <v>31</v>
      </c>
      <c r="H180" s="28">
        <v>8</v>
      </c>
      <c r="I180" s="30">
        <v>1955</v>
      </c>
      <c r="J180" s="34">
        <f t="shared" si="0"/>
        <v>20332</v>
      </c>
      <c r="K180" s="39" t="s">
        <v>1716</v>
      </c>
      <c r="L180" s="25" t="s">
        <v>1128</v>
      </c>
      <c r="M180" s="30">
        <v>3</v>
      </c>
      <c r="N180" s="17" t="s">
        <v>552</v>
      </c>
      <c r="O180" s="17"/>
      <c r="P180" s="25" t="s">
        <v>1129</v>
      </c>
      <c r="Q180" s="25" t="s">
        <v>2530</v>
      </c>
      <c r="R180" s="25">
        <v>-1.2769527000000001</v>
      </c>
      <c r="S180" s="25">
        <v>36.827576299999997</v>
      </c>
      <c r="T180" s="22">
        <v>2</v>
      </c>
      <c r="U180" s="22">
        <v>1</v>
      </c>
      <c r="V180" s="18"/>
      <c r="W180" s="18"/>
      <c r="X180" s="22">
        <v>2</v>
      </c>
      <c r="Y180" s="18"/>
      <c r="Z180" s="22">
        <v>99</v>
      </c>
      <c r="AA180" s="22">
        <v>99</v>
      </c>
      <c r="AB180" s="18" t="s">
        <v>221</v>
      </c>
      <c r="AC180" s="22">
        <v>11</v>
      </c>
      <c r="AD180" s="22">
        <v>2</v>
      </c>
      <c r="AE180" s="18" t="s">
        <v>221</v>
      </c>
      <c r="AF180" s="22">
        <v>1</v>
      </c>
      <c r="AG180" s="18"/>
      <c r="AH180" s="22">
        <v>3</v>
      </c>
      <c r="AI180" s="57"/>
      <c r="AJ180" s="18"/>
      <c r="AK180" s="22">
        <v>99</v>
      </c>
      <c r="AL180" s="22">
        <v>99</v>
      </c>
      <c r="AM180" s="22">
        <v>3</v>
      </c>
      <c r="AN180" s="22">
        <v>1</v>
      </c>
      <c r="AO180" s="22">
        <v>3</v>
      </c>
      <c r="AP180" s="22">
        <v>99</v>
      </c>
      <c r="AQ180" s="22" t="s">
        <v>2544</v>
      </c>
      <c r="AR180" s="2" t="s">
        <v>2547</v>
      </c>
      <c r="AS180" s="22">
        <v>3</v>
      </c>
      <c r="AT180" s="22">
        <v>6</v>
      </c>
      <c r="AU180" s="22">
        <v>3</v>
      </c>
      <c r="AV180" s="22">
        <v>3</v>
      </c>
      <c r="AW180" s="22">
        <v>4</v>
      </c>
      <c r="AX180" s="37">
        <v>4</v>
      </c>
      <c r="AY180" s="22">
        <v>4</v>
      </c>
      <c r="AZ180" s="22">
        <v>2</v>
      </c>
      <c r="BA180" s="38">
        <v>99</v>
      </c>
      <c r="BB180" s="22">
        <v>99</v>
      </c>
      <c r="BC180" s="22">
        <v>99</v>
      </c>
      <c r="BD180" s="22">
        <v>99</v>
      </c>
      <c r="BE180" s="37">
        <v>99</v>
      </c>
      <c r="BF180" s="22">
        <v>1</v>
      </c>
      <c r="BG180" s="22">
        <v>3</v>
      </c>
      <c r="BH180" s="22">
        <v>4</v>
      </c>
      <c r="BI180" s="22">
        <v>5</v>
      </c>
      <c r="BJ180" s="22">
        <v>9</v>
      </c>
    </row>
    <row r="181" spans="1:62" ht="13">
      <c r="A181" s="22" t="s">
        <v>2556</v>
      </c>
      <c r="B181" s="22"/>
      <c r="C181" s="22"/>
      <c r="D181" s="22"/>
      <c r="E181" s="22">
        <v>1</v>
      </c>
      <c r="F181" s="22">
        <v>1</v>
      </c>
      <c r="G181" s="28">
        <v>1</v>
      </c>
      <c r="H181" s="28">
        <v>9</v>
      </c>
      <c r="I181" s="30">
        <v>1955</v>
      </c>
      <c r="J181" s="34">
        <f t="shared" si="0"/>
        <v>20333</v>
      </c>
      <c r="K181" s="39" t="s">
        <v>328</v>
      </c>
      <c r="L181" s="25" t="s">
        <v>1130</v>
      </c>
      <c r="M181" s="30">
        <v>99</v>
      </c>
      <c r="N181" s="52"/>
      <c r="O181" s="52"/>
      <c r="P181" s="25" t="s">
        <v>1131</v>
      </c>
      <c r="Q181" s="25" t="s">
        <v>1143</v>
      </c>
      <c r="R181" s="25">
        <v>32.2250364</v>
      </c>
      <c r="S181" s="25">
        <v>35.260968200000001</v>
      </c>
      <c r="T181" s="22">
        <v>1</v>
      </c>
      <c r="U181" s="22">
        <v>2</v>
      </c>
      <c r="V181" s="22">
        <v>1</v>
      </c>
      <c r="W181" s="22">
        <v>2</v>
      </c>
      <c r="X181" s="22">
        <v>2</v>
      </c>
      <c r="Y181" s="18"/>
      <c r="Z181" s="22">
        <v>99</v>
      </c>
      <c r="AA181" s="22">
        <v>99</v>
      </c>
      <c r="AB181" s="18" t="s">
        <v>221</v>
      </c>
      <c r="AC181" s="22">
        <v>6</v>
      </c>
      <c r="AD181" s="18"/>
      <c r="AE181" s="18" t="s">
        <v>221</v>
      </c>
      <c r="AF181" s="22">
        <v>1</v>
      </c>
      <c r="AG181" s="18"/>
      <c r="AH181" s="22">
        <v>3</v>
      </c>
      <c r="AI181" s="57"/>
      <c r="AJ181" s="18"/>
      <c r="AK181" s="22">
        <v>99</v>
      </c>
      <c r="AL181" s="22">
        <v>99</v>
      </c>
      <c r="AM181" s="22">
        <v>3</v>
      </c>
      <c r="AN181" s="22">
        <v>2</v>
      </c>
      <c r="AO181" s="22">
        <v>99</v>
      </c>
      <c r="AP181" s="22">
        <v>99</v>
      </c>
      <c r="AQ181" s="22" t="s">
        <v>2581</v>
      </c>
      <c r="AR181" s="2" t="s">
        <v>790</v>
      </c>
      <c r="AS181" s="22">
        <v>3</v>
      </c>
      <c r="AT181" s="22">
        <v>6</v>
      </c>
      <c r="AU181" s="18"/>
      <c r="AV181" s="18"/>
      <c r="AW181" s="18"/>
      <c r="AX181" s="89"/>
      <c r="AY181" s="18"/>
      <c r="AZ181" s="18"/>
      <c r="BA181" s="88"/>
      <c r="BB181" s="18"/>
      <c r="BC181" s="18"/>
      <c r="BD181" s="18"/>
      <c r="BE181" s="89"/>
      <c r="BF181" s="22">
        <v>1</v>
      </c>
      <c r="BG181" s="22">
        <v>1</v>
      </c>
      <c r="BH181" s="22">
        <v>2</v>
      </c>
      <c r="BI181" s="18"/>
      <c r="BJ181" s="22">
        <v>8</v>
      </c>
    </row>
    <row r="182" spans="1:62" ht="13">
      <c r="A182" s="22" t="s">
        <v>2588</v>
      </c>
      <c r="B182" s="22"/>
      <c r="C182" s="22"/>
      <c r="D182" s="22"/>
      <c r="E182" s="22">
        <v>2</v>
      </c>
      <c r="F182" s="22">
        <v>1</v>
      </c>
      <c r="G182" s="28">
        <v>3</v>
      </c>
      <c r="H182" s="28">
        <v>9</v>
      </c>
      <c r="I182" s="30">
        <v>1955</v>
      </c>
      <c r="J182" s="34">
        <f t="shared" si="0"/>
        <v>20335</v>
      </c>
      <c r="K182" s="39" t="s">
        <v>328</v>
      </c>
      <c r="L182" s="25" t="s">
        <v>1134</v>
      </c>
      <c r="M182" s="30">
        <v>7</v>
      </c>
      <c r="N182" s="17" t="s">
        <v>447</v>
      </c>
      <c r="O182" s="17"/>
      <c r="P182" s="18"/>
      <c r="Q182" s="41" t="s">
        <v>582</v>
      </c>
      <c r="R182" s="124"/>
      <c r="S182" s="124"/>
      <c r="T182" s="22">
        <v>1</v>
      </c>
      <c r="U182" s="22">
        <v>2</v>
      </c>
      <c r="V182" s="22">
        <v>1</v>
      </c>
      <c r="W182" s="22">
        <v>2</v>
      </c>
      <c r="X182" s="22">
        <v>99</v>
      </c>
      <c r="Y182" s="18"/>
      <c r="Z182" s="22">
        <v>99</v>
      </c>
      <c r="AA182" s="22">
        <v>99</v>
      </c>
      <c r="AB182" s="18" t="s">
        <v>221</v>
      </c>
      <c r="AC182" s="22">
        <v>99</v>
      </c>
      <c r="AD182" s="22">
        <v>2</v>
      </c>
      <c r="AE182" s="18" t="s">
        <v>221</v>
      </c>
      <c r="AF182" s="22">
        <v>99</v>
      </c>
      <c r="AG182" s="18"/>
      <c r="AH182" s="22">
        <v>99</v>
      </c>
      <c r="AI182" s="57"/>
      <c r="AJ182" s="18"/>
      <c r="AK182" s="22">
        <v>99</v>
      </c>
      <c r="AL182" s="22">
        <v>99</v>
      </c>
      <c r="AM182" s="22">
        <v>99</v>
      </c>
      <c r="AN182" s="22">
        <v>99</v>
      </c>
      <c r="AO182" s="22">
        <v>99</v>
      </c>
      <c r="AP182" s="22">
        <v>99</v>
      </c>
      <c r="AQ182" s="18" t="s">
        <v>221</v>
      </c>
      <c r="AR182" s="18" t="s">
        <v>221</v>
      </c>
      <c r="AS182" s="18"/>
      <c r="AT182" s="18"/>
      <c r="AU182" s="22">
        <v>3</v>
      </c>
      <c r="AV182" s="22">
        <v>3</v>
      </c>
      <c r="AW182" s="22">
        <v>4</v>
      </c>
      <c r="AX182" s="37">
        <v>4</v>
      </c>
      <c r="AY182" s="22">
        <v>4</v>
      </c>
      <c r="AZ182" s="22">
        <v>2</v>
      </c>
      <c r="BA182" s="38">
        <v>99</v>
      </c>
      <c r="BB182" s="22">
        <v>99</v>
      </c>
      <c r="BC182" s="22">
        <v>99</v>
      </c>
      <c r="BD182" s="22">
        <v>99</v>
      </c>
      <c r="BE182" s="37">
        <v>99</v>
      </c>
      <c r="BF182" s="22">
        <v>0</v>
      </c>
      <c r="BG182" s="22">
        <v>0</v>
      </c>
      <c r="BH182" s="22">
        <v>0</v>
      </c>
      <c r="BI182" s="22">
        <v>999</v>
      </c>
      <c r="BJ182" s="22">
        <v>9</v>
      </c>
    </row>
    <row r="183" spans="1:62" ht="13">
      <c r="A183" s="22" t="s">
        <v>2624</v>
      </c>
      <c r="B183" s="22"/>
      <c r="C183" s="22"/>
      <c r="D183" s="22"/>
      <c r="E183" s="22">
        <v>2</v>
      </c>
      <c r="F183" s="22">
        <v>2</v>
      </c>
      <c r="G183" s="28">
        <v>7</v>
      </c>
      <c r="H183" s="28">
        <v>9</v>
      </c>
      <c r="I183" s="30">
        <v>1955</v>
      </c>
      <c r="J183" s="34">
        <f t="shared" si="0"/>
        <v>20339</v>
      </c>
      <c r="K183" s="35" t="s">
        <v>221</v>
      </c>
      <c r="L183" s="25" t="s">
        <v>1137</v>
      </c>
      <c r="M183" s="30">
        <v>2</v>
      </c>
      <c r="N183" s="17" t="s">
        <v>1180</v>
      </c>
      <c r="O183" s="17"/>
      <c r="P183" s="25" t="s">
        <v>1138</v>
      </c>
      <c r="Q183" s="25" t="s">
        <v>1146</v>
      </c>
      <c r="R183" s="25">
        <v>46.1865606</v>
      </c>
      <c r="S183" s="25">
        <v>21.3122677</v>
      </c>
      <c r="T183" s="22">
        <v>2</v>
      </c>
      <c r="U183" s="22">
        <v>1</v>
      </c>
      <c r="V183" s="22">
        <v>99</v>
      </c>
      <c r="W183" s="22">
        <v>99</v>
      </c>
      <c r="X183" s="22">
        <v>2</v>
      </c>
      <c r="Y183" s="18"/>
      <c r="Z183" s="22">
        <v>5</v>
      </c>
      <c r="AA183" s="22">
        <v>1</v>
      </c>
      <c r="AB183" s="18" t="s">
        <v>221</v>
      </c>
      <c r="AC183" s="22">
        <v>99</v>
      </c>
      <c r="AD183" s="22">
        <v>2</v>
      </c>
      <c r="AE183" s="18" t="s">
        <v>221</v>
      </c>
      <c r="AF183" s="22">
        <v>99</v>
      </c>
      <c r="AG183" s="18"/>
      <c r="AH183" s="22">
        <v>99</v>
      </c>
      <c r="AI183" s="57"/>
      <c r="AJ183" s="18"/>
      <c r="AK183" s="22">
        <v>99</v>
      </c>
      <c r="AL183" s="22">
        <v>99</v>
      </c>
      <c r="AM183" s="22">
        <v>99</v>
      </c>
      <c r="AN183" s="22">
        <v>99</v>
      </c>
      <c r="AO183" s="22">
        <v>99</v>
      </c>
      <c r="AP183" s="22">
        <v>99</v>
      </c>
      <c r="AQ183" s="18" t="s">
        <v>221</v>
      </c>
      <c r="AR183" s="18" t="s">
        <v>221</v>
      </c>
      <c r="AS183" s="18"/>
      <c r="AT183" s="18"/>
      <c r="AU183" s="22">
        <v>3</v>
      </c>
      <c r="AV183" s="22">
        <v>3</v>
      </c>
      <c r="AW183" s="22">
        <v>4</v>
      </c>
      <c r="AX183" s="37">
        <v>4</v>
      </c>
      <c r="AY183" s="22">
        <v>4</v>
      </c>
      <c r="AZ183" s="22">
        <v>2</v>
      </c>
      <c r="BA183" s="38">
        <v>99</v>
      </c>
      <c r="BB183" s="22">
        <v>99</v>
      </c>
      <c r="BC183" s="22">
        <v>99</v>
      </c>
      <c r="BD183" s="22">
        <v>99</v>
      </c>
      <c r="BE183" s="37">
        <v>99</v>
      </c>
      <c r="BF183" s="22">
        <v>999</v>
      </c>
      <c r="BG183" s="22">
        <v>999</v>
      </c>
      <c r="BH183" s="22">
        <v>999</v>
      </c>
      <c r="BI183" s="22">
        <v>999</v>
      </c>
      <c r="BJ183" s="22">
        <v>3</v>
      </c>
    </row>
    <row r="184" spans="1:62" ht="13">
      <c r="A184" s="22" t="s">
        <v>2654</v>
      </c>
      <c r="B184" s="22"/>
      <c r="C184" s="22"/>
      <c r="D184" s="22"/>
      <c r="E184" s="22">
        <v>2</v>
      </c>
      <c r="F184" s="22">
        <v>1</v>
      </c>
      <c r="G184" s="28">
        <v>13</v>
      </c>
      <c r="H184" s="28">
        <v>9</v>
      </c>
      <c r="I184" s="30">
        <v>1955</v>
      </c>
      <c r="J184" s="34">
        <f t="shared" si="0"/>
        <v>20345</v>
      </c>
      <c r="K184" s="11" t="s">
        <v>1294</v>
      </c>
      <c r="L184" s="25" t="s">
        <v>1139</v>
      </c>
      <c r="M184" s="30">
        <v>1</v>
      </c>
      <c r="N184" s="17" t="s">
        <v>233</v>
      </c>
      <c r="O184" s="17"/>
      <c r="P184" s="25" t="s">
        <v>32</v>
      </c>
      <c r="Q184" s="25" t="s">
        <v>346</v>
      </c>
      <c r="R184" s="25">
        <v>31.768319000000002</v>
      </c>
      <c r="S184" s="25">
        <v>35.213709999999999</v>
      </c>
      <c r="T184" s="22">
        <v>2</v>
      </c>
      <c r="U184" s="22">
        <v>1</v>
      </c>
      <c r="V184" s="22">
        <v>5</v>
      </c>
      <c r="W184" s="22">
        <v>2</v>
      </c>
      <c r="X184" s="22">
        <v>2</v>
      </c>
      <c r="Y184" s="18"/>
      <c r="Z184" s="22">
        <v>99</v>
      </c>
      <c r="AA184" s="22">
        <v>99</v>
      </c>
      <c r="AB184" s="2" t="s">
        <v>690</v>
      </c>
      <c r="AC184" s="22">
        <v>9</v>
      </c>
      <c r="AD184" s="22">
        <v>2</v>
      </c>
      <c r="AE184" s="18" t="s">
        <v>221</v>
      </c>
      <c r="AF184" s="22">
        <v>99</v>
      </c>
      <c r="AG184" s="18"/>
      <c r="AH184" s="22">
        <v>99</v>
      </c>
      <c r="AI184" s="57"/>
      <c r="AJ184" s="18"/>
      <c r="AK184" s="22">
        <v>99</v>
      </c>
      <c r="AL184" s="22">
        <v>99</v>
      </c>
      <c r="AM184" s="22">
        <v>99</v>
      </c>
      <c r="AN184" s="22">
        <v>99</v>
      </c>
      <c r="AO184" s="22">
        <v>99</v>
      </c>
      <c r="AP184" s="22">
        <v>99</v>
      </c>
      <c r="AQ184" s="18" t="s">
        <v>221</v>
      </c>
      <c r="AR184" s="18" t="s">
        <v>221</v>
      </c>
      <c r="AS184" s="18"/>
      <c r="AT184" s="18"/>
      <c r="AU184" s="22">
        <v>3</v>
      </c>
      <c r="AV184" s="22">
        <v>3</v>
      </c>
      <c r="AW184" s="22">
        <v>4</v>
      </c>
      <c r="AX184" s="37">
        <v>4</v>
      </c>
      <c r="AY184" s="22">
        <v>4</v>
      </c>
      <c r="AZ184" s="22">
        <v>1</v>
      </c>
      <c r="BA184" s="38">
        <v>9</v>
      </c>
      <c r="BB184" s="22">
        <v>99</v>
      </c>
      <c r="BC184" s="22">
        <v>99</v>
      </c>
      <c r="BD184" s="22">
        <v>99</v>
      </c>
      <c r="BE184" s="37">
        <v>99</v>
      </c>
      <c r="BF184" s="22">
        <v>0</v>
      </c>
      <c r="BG184" s="22">
        <v>0</v>
      </c>
      <c r="BH184" s="22">
        <v>0</v>
      </c>
      <c r="BI184" s="22">
        <v>5</v>
      </c>
      <c r="BJ184" s="22">
        <v>8</v>
      </c>
    </row>
    <row r="185" spans="1:62" ht="13">
      <c r="A185" s="22" t="s">
        <v>2687</v>
      </c>
      <c r="B185" s="22"/>
      <c r="C185" s="22"/>
      <c r="D185" s="22"/>
      <c r="E185" s="22">
        <v>3</v>
      </c>
      <c r="F185" s="22">
        <v>2</v>
      </c>
      <c r="G185" s="28">
        <v>22</v>
      </c>
      <c r="H185" s="28">
        <v>9</v>
      </c>
      <c r="I185" s="30">
        <v>1955</v>
      </c>
      <c r="J185" s="34">
        <f t="shared" si="0"/>
        <v>20354</v>
      </c>
      <c r="K185" s="11" t="s">
        <v>2688</v>
      </c>
      <c r="L185" s="25" t="s">
        <v>1141</v>
      </c>
      <c r="M185" s="30">
        <v>1</v>
      </c>
      <c r="N185" s="17" t="s">
        <v>233</v>
      </c>
      <c r="O185" s="17"/>
      <c r="P185" s="25" t="s">
        <v>1142</v>
      </c>
      <c r="Q185" s="25" t="s">
        <v>1151</v>
      </c>
      <c r="R185" s="105"/>
      <c r="S185" s="105"/>
      <c r="T185" s="22">
        <v>2</v>
      </c>
      <c r="U185" s="22">
        <v>2</v>
      </c>
      <c r="V185" s="22">
        <v>5</v>
      </c>
      <c r="W185" s="22">
        <v>2</v>
      </c>
      <c r="X185" s="22">
        <v>2</v>
      </c>
      <c r="Y185" s="18"/>
      <c r="Z185" s="22">
        <v>5</v>
      </c>
      <c r="AA185" s="22">
        <v>1</v>
      </c>
      <c r="AB185" s="2" t="s">
        <v>2696</v>
      </c>
      <c r="AC185" s="22">
        <v>14</v>
      </c>
      <c r="AD185" s="22">
        <v>2</v>
      </c>
      <c r="AE185" s="18" t="s">
        <v>221</v>
      </c>
      <c r="AF185" s="22">
        <v>99</v>
      </c>
      <c r="AG185" s="18"/>
      <c r="AH185" s="22">
        <v>99</v>
      </c>
      <c r="AI185" s="57"/>
      <c r="AJ185" s="18"/>
      <c r="AK185" s="22">
        <v>99</v>
      </c>
      <c r="AL185" s="22">
        <v>99</v>
      </c>
      <c r="AM185" s="22">
        <v>99</v>
      </c>
      <c r="AN185" s="22">
        <v>99</v>
      </c>
      <c r="AO185" s="22">
        <v>99</v>
      </c>
      <c r="AP185" s="22">
        <v>99</v>
      </c>
      <c r="AQ185" s="18" t="s">
        <v>221</v>
      </c>
      <c r="AR185" s="18" t="s">
        <v>221</v>
      </c>
      <c r="AS185" s="18"/>
      <c r="AT185" s="18"/>
      <c r="AU185" s="22">
        <v>3</v>
      </c>
      <c r="AV185" s="22">
        <v>3</v>
      </c>
      <c r="AW185" s="22">
        <v>4</v>
      </c>
      <c r="AX185" s="37">
        <v>4</v>
      </c>
      <c r="AY185" s="22">
        <v>4</v>
      </c>
      <c r="AZ185" s="22">
        <v>2</v>
      </c>
      <c r="BA185" s="38">
        <v>99</v>
      </c>
      <c r="BB185" s="22">
        <v>99</v>
      </c>
      <c r="BC185" s="22">
        <v>99</v>
      </c>
      <c r="BD185" s="22">
        <v>99</v>
      </c>
      <c r="BE185" s="37">
        <v>99</v>
      </c>
      <c r="BF185" s="22">
        <v>0</v>
      </c>
      <c r="BG185" s="22">
        <v>0</v>
      </c>
      <c r="BH185" s="22">
        <v>0</v>
      </c>
      <c r="BI185" s="22">
        <v>3</v>
      </c>
      <c r="BJ185" s="22">
        <v>7</v>
      </c>
    </row>
    <row r="186" spans="1:62" ht="13">
      <c r="A186" s="22" t="s">
        <v>2704</v>
      </c>
      <c r="B186" s="22"/>
      <c r="C186" s="22"/>
      <c r="D186" s="22"/>
      <c r="E186" s="22">
        <v>1</v>
      </c>
      <c r="F186" s="22">
        <v>1</v>
      </c>
      <c r="G186" s="28">
        <v>27</v>
      </c>
      <c r="H186" s="28">
        <v>9</v>
      </c>
      <c r="I186" s="30">
        <v>1955</v>
      </c>
      <c r="J186" s="34">
        <f t="shared" si="0"/>
        <v>20359</v>
      </c>
      <c r="K186" s="39" t="s">
        <v>1716</v>
      </c>
      <c r="L186" s="25" t="s">
        <v>1144</v>
      </c>
      <c r="M186" s="30">
        <v>1</v>
      </c>
      <c r="N186" s="17" t="s">
        <v>233</v>
      </c>
      <c r="O186" s="17"/>
      <c r="P186" s="25" t="s">
        <v>1145</v>
      </c>
      <c r="Q186" s="25" t="s">
        <v>1158</v>
      </c>
      <c r="R186" s="105"/>
      <c r="S186" s="105"/>
      <c r="T186" s="22">
        <v>1</v>
      </c>
      <c r="U186" s="22">
        <v>1</v>
      </c>
      <c r="V186" s="22">
        <v>5</v>
      </c>
      <c r="W186" s="22">
        <v>2</v>
      </c>
      <c r="X186" s="22">
        <v>2</v>
      </c>
      <c r="Y186" s="18"/>
      <c r="Z186" s="22">
        <v>1</v>
      </c>
      <c r="AA186" s="22">
        <v>3</v>
      </c>
      <c r="AB186" s="2" t="s">
        <v>2713</v>
      </c>
      <c r="AC186" s="22">
        <v>6</v>
      </c>
      <c r="AD186" s="22">
        <v>2</v>
      </c>
      <c r="AE186" s="18" t="s">
        <v>221</v>
      </c>
      <c r="AF186" s="22">
        <v>99</v>
      </c>
      <c r="AG186" s="18"/>
      <c r="AH186" s="22">
        <v>99</v>
      </c>
      <c r="AI186" s="57"/>
      <c r="AJ186" s="18"/>
      <c r="AK186" s="22">
        <v>99</v>
      </c>
      <c r="AL186" s="22">
        <v>99</v>
      </c>
      <c r="AM186" s="22">
        <v>99</v>
      </c>
      <c r="AN186" s="22">
        <v>99</v>
      </c>
      <c r="AO186" s="22">
        <v>99</v>
      </c>
      <c r="AP186" s="22">
        <v>99</v>
      </c>
      <c r="AQ186" s="22" t="s">
        <v>2716</v>
      </c>
      <c r="AR186" s="2" t="s">
        <v>637</v>
      </c>
      <c r="AS186" s="22">
        <v>17</v>
      </c>
      <c r="AT186" s="22">
        <v>6</v>
      </c>
      <c r="AU186" s="22">
        <v>3</v>
      </c>
      <c r="AV186" s="22">
        <v>3</v>
      </c>
      <c r="AW186" s="22">
        <v>4</v>
      </c>
      <c r="AX186" s="37">
        <v>4</v>
      </c>
      <c r="AY186" s="22">
        <v>4</v>
      </c>
      <c r="AZ186" s="22">
        <v>2</v>
      </c>
      <c r="BA186" s="38">
        <v>99</v>
      </c>
      <c r="BB186" s="22">
        <v>99</v>
      </c>
      <c r="BC186" s="22">
        <v>99</v>
      </c>
      <c r="BD186" s="22">
        <v>99</v>
      </c>
      <c r="BE186" s="37">
        <v>99</v>
      </c>
      <c r="BF186" s="22">
        <v>10</v>
      </c>
      <c r="BG186" s="22">
        <v>2</v>
      </c>
      <c r="BH186" s="22">
        <v>12</v>
      </c>
      <c r="BI186" s="22">
        <v>6</v>
      </c>
      <c r="BJ186" s="22">
        <v>9</v>
      </c>
    </row>
    <row r="187" spans="1:62" ht="13">
      <c r="A187" s="22" t="s">
        <v>2722</v>
      </c>
      <c r="B187" s="22"/>
      <c r="C187" s="22"/>
      <c r="D187" s="22"/>
      <c r="E187" s="22">
        <v>2</v>
      </c>
      <c r="F187" s="22">
        <v>1</v>
      </c>
      <c r="G187" s="28">
        <v>30</v>
      </c>
      <c r="H187" s="28">
        <v>9</v>
      </c>
      <c r="I187" s="30">
        <v>1955</v>
      </c>
      <c r="J187" s="34">
        <f t="shared" si="0"/>
        <v>20362</v>
      </c>
      <c r="K187" s="35" t="s">
        <v>221</v>
      </c>
      <c r="L187" s="25" t="s">
        <v>1147</v>
      </c>
      <c r="M187" s="30">
        <v>1</v>
      </c>
      <c r="N187" s="17" t="s">
        <v>233</v>
      </c>
      <c r="O187" s="17"/>
      <c r="P187" s="25" t="s">
        <v>32</v>
      </c>
      <c r="Q187" s="25" t="s">
        <v>346</v>
      </c>
      <c r="R187" s="25">
        <v>31.768319000000002</v>
      </c>
      <c r="S187" s="25">
        <v>35.213709999999999</v>
      </c>
      <c r="T187" s="22">
        <v>2</v>
      </c>
      <c r="U187" s="22">
        <v>1</v>
      </c>
      <c r="V187" s="22">
        <v>2</v>
      </c>
      <c r="W187" s="22">
        <v>2</v>
      </c>
      <c r="X187" s="22">
        <v>2</v>
      </c>
      <c r="Y187" s="18"/>
      <c r="Z187" s="22">
        <v>5</v>
      </c>
      <c r="AA187" s="22">
        <v>3</v>
      </c>
      <c r="AB187" s="18" t="s">
        <v>221</v>
      </c>
      <c r="AC187" s="22">
        <v>6</v>
      </c>
      <c r="AD187" s="22">
        <v>2</v>
      </c>
      <c r="AE187" s="18" t="s">
        <v>221</v>
      </c>
      <c r="AF187" s="22">
        <v>99</v>
      </c>
      <c r="AG187" s="18"/>
      <c r="AH187" s="22">
        <v>99</v>
      </c>
      <c r="AI187" s="57"/>
      <c r="AJ187" s="18"/>
      <c r="AK187" s="22">
        <v>99</v>
      </c>
      <c r="AL187" s="22">
        <v>99</v>
      </c>
      <c r="AM187" s="22">
        <v>99</v>
      </c>
      <c r="AN187" s="22">
        <v>99</v>
      </c>
      <c r="AO187" s="22">
        <v>99</v>
      </c>
      <c r="AP187" s="22">
        <v>99</v>
      </c>
      <c r="AQ187" s="18" t="s">
        <v>221</v>
      </c>
      <c r="AR187" s="18" t="s">
        <v>221</v>
      </c>
      <c r="AS187" s="18"/>
      <c r="AT187" s="18"/>
      <c r="AU187" s="22">
        <v>3</v>
      </c>
      <c r="AV187" s="22">
        <v>3</v>
      </c>
      <c r="AW187" s="22">
        <v>4</v>
      </c>
      <c r="AX187" s="37">
        <v>4</v>
      </c>
      <c r="AY187" s="22">
        <v>4</v>
      </c>
      <c r="AZ187" s="22">
        <v>2</v>
      </c>
      <c r="BA187" s="38">
        <v>99</v>
      </c>
      <c r="BB187" s="22">
        <v>99</v>
      </c>
      <c r="BC187" s="22">
        <v>99</v>
      </c>
      <c r="BD187" s="22">
        <v>99</v>
      </c>
      <c r="BE187" s="37">
        <v>99</v>
      </c>
      <c r="BF187" s="22">
        <v>0</v>
      </c>
      <c r="BG187" s="22">
        <v>0</v>
      </c>
      <c r="BH187" s="22">
        <v>0</v>
      </c>
      <c r="BI187" s="22">
        <v>999</v>
      </c>
      <c r="BJ187" s="22">
        <v>9</v>
      </c>
    </row>
    <row r="188" spans="1:62" ht="13">
      <c r="A188" s="22" t="s">
        <v>2739</v>
      </c>
      <c r="B188" s="22"/>
      <c r="C188" s="22"/>
      <c r="D188" s="22"/>
      <c r="E188" s="22">
        <v>1</v>
      </c>
      <c r="F188" s="22">
        <v>1</v>
      </c>
      <c r="G188" s="28">
        <v>4</v>
      </c>
      <c r="H188" s="28">
        <v>10</v>
      </c>
      <c r="I188" s="30">
        <v>1955</v>
      </c>
      <c r="J188" s="34">
        <f t="shared" si="0"/>
        <v>20366</v>
      </c>
      <c r="K188" s="35" t="s">
        <v>221</v>
      </c>
      <c r="L188" s="25" t="s">
        <v>1148</v>
      </c>
      <c r="M188" s="30">
        <v>7</v>
      </c>
      <c r="N188" s="17" t="s">
        <v>447</v>
      </c>
      <c r="O188" s="17"/>
      <c r="P188" s="18"/>
      <c r="Q188" s="41" t="s">
        <v>582</v>
      </c>
      <c r="R188" s="124"/>
      <c r="S188" s="124"/>
      <c r="T188" s="22">
        <v>1</v>
      </c>
      <c r="U188" s="22">
        <v>2</v>
      </c>
      <c r="V188" s="22">
        <v>1</v>
      </c>
      <c r="W188" s="22">
        <v>2</v>
      </c>
      <c r="X188" s="22">
        <v>2</v>
      </c>
      <c r="Y188" s="18"/>
      <c r="Z188" s="22">
        <v>5</v>
      </c>
      <c r="AA188" s="22">
        <v>99</v>
      </c>
      <c r="AB188" s="18" t="s">
        <v>221</v>
      </c>
      <c r="AC188" s="22">
        <v>6</v>
      </c>
      <c r="AD188" s="22">
        <v>2</v>
      </c>
      <c r="AE188" s="18" t="s">
        <v>221</v>
      </c>
      <c r="AF188" s="22">
        <v>99</v>
      </c>
      <c r="AG188" s="18"/>
      <c r="AH188" s="22">
        <v>99</v>
      </c>
      <c r="AI188" s="57"/>
      <c r="AJ188" s="18"/>
      <c r="AK188" s="22">
        <v>99</v>
      </c>
      <c r="AL188" s="22">
        <v>99</v>
      </c>
      <c r="AM188" s="22">
        <v>99</v>
      </c>
      <c r="AN188" s="22">
        <v>99</v>
      </c>
      <c r="AO188" s="22">
        <v>99</v>
      </c>
      <c r="AP188" s="22">
        <v>99</v>
      </c>
      <c r="AQ188" s="18" t="s">
        <v>221</v>
      </c>
      <c r="AR188" s="18" t="s">
        <v>221</v>
      </c>
      <c r="AS188" s="22">
        <v>7</v>
      </c>
      <c r="AT188" s="22">
        <v>6</v>
      </c>
      <c r="AU188" s="22">
        <v>3</v>
      </c>
      <c r="AV188" s="22">
        <v>3</v>
      </c>
      <c r="AW188" s="22">
        <v>4</v>
      </c>
      <c r="AX188" s="37">
        <v>4</v>
      </c>
      <c r="AY188" s="22">
        <v>4</v>
      </c>
      <c r="AZ188" s="22">
        <v>2</v>
      </c>
      <c r="BA188" s="38">
        <v>99</v>
      </c>
      <c r="BB188" s="22">
        <v>99</v>
      </c>
      <c r="BC188" s="22">
        <v>99</v>
      </c>
      <c r="BD188" s="22">
        <v>99</v>
      </c>
      <c r="BE188" s="37">
        <v>99</v>
      </c>
      <c r="BF188" s="22">
        <v>2</v>
      </c>
      <c r="BG188" s="22">
        <v>1</v>
      </c>
      <c r="BH188" s="22">
        <v>3</v>
      </c>
      <c r="BI188" s="22">
        <v>999</v>
      </c>
      <c r="BJ188" s="22">
        <v>3</v>
      </c>
    </row>
    <row r="189" spans="1:62" ht="13">
      <c r="A189" s="22" t="s">
        <v>2753</v>
      </c>
      <c r="B189" s="22"/>
      <c r="C189" s="22"/>
      <c r="D189" s="22"/>
      <c r="E189" s="22">
        <v>1</v>
      </c>
      <c r="F189" s="22">
        <v>1</v>
      </c>
      <c r="G189" s="28">
        <v>7</v>
      </c>
      <c r="H189" s="28">
        <v>10</v>
      </c>
      <c r="I189" s="30">
        <v>1955</v>
      </c>
      <c r="J189" s="34">
        <f t="shared" si="0"/>
        <v>20369</v>
      </c>
      <c r="K189" s="35" t="s">
        <v>221</v>
      </c>
      <c r="L189" s="25" t="s">
        <v>1153</v>
      </c>
      <c r="M189" s="30">
        <v>99</v>
      </c>
      <c r="N189" s="52"/>
      <c r="O189" s="52"/>
      <c r="P189" s="25" t="s">
        <v>1154</v>
      </c>
      <c r="Q189" s="25" t="s">
        <v>1166</v>
      </c>
      <c r="R189" s="25">
        <v>37.512227000000003</v>
      </c>
      <c r="S189" s="25">
        <v>27.276866999999999</v>
      </c>
      <c r="T189" s="22">
        <v>1</v>
      </c>
      <c r="U189" s="22">
        <v>1</v>
      </c>
      <c r="V189" s="22">
        <v>1</v>
      </c>
      <c r="W189" s="18"/>
      <c r="X189" s="22">
        <v>2</v>
      </c>
      <c r="Y189" s="18"/>
      <c r="Z189" s="22">
        <v>5</v>
      </c>
      <c r="AA189" s="22">
        <v>2</v>
      </c>
      <c r="AB189" s="18" t="s">
        <v>221</v>
      </c>
      <c r="AC189" s="22">
        <v>99</v>
      </c>
      <c r="AD189" s="22">
        <v>2</v>
      </c>
      <c r="AE189" s="18" t="s">
        <v>221</v>
      </c>
      <c r="AF189" s="22">
        <v>99</v>
      </c>
      <c r="AG189" s="18"/>
      <c r="AH189" s="22">
        <v>99</v>
      </c>
      <c r="AI189" s="57"/>
      <c r="AJ189" s="18"/>
      <c r="AK189" s="22">
        <v>99</v>
      </c>
      <c r="AL189" s="22">
        <v>99</v>
      </c>
      <c r="AM189" s="22">
        <v>99</v>
      </c>
      <c r="AN189" s="22">
        <v>99</v>
      </c>
      <c r="AO189" s="22">
        <v>99</v>
      </c>
      <c r="AP189" s="22">
        <v>99</v>
      </c>
      <c r="AQ189" s="18" t="s">
        <v>221</v>
      </c>
      <c r="AR189" s="18" t="s">
        <v>221</v>
      </c>
      <c r="AS189" s="18"/>
      <c r="AT189" s="18"/>
      <c r="AU189" s="22">
        <v>3</v>
      </c>
      <c r="AV189" s="22">
        <v>3</v>
      </c>
      <c r="AW189" s="22">
        <v>4</v>
      </c>
      <c r="AX189" s="37">
        <v>4</v>
      </c>
      <c r="AY189" s="22">
        <v>4</v>
      </c>
      <c r="AZ189" s="22">
        <v>2</v>
      </c>
      <c r="BA189" s="38">
        <v>99</v>
      </c>
      <c r="BB189" s="22">
        <v>99</v>
      </c>
      <c r="BC189" s="22">
        <v>99</v>
      </c>
      <c r="BD189" s="22">
        <v>99</v>
      </c>
      <c r="BE189" s="37">
        <v>99</v>
      </c>
      <c r="BF189" s="22">
        <v>0</v>
      </c>
      <c r="BG189" s="22">
        <v>0</v>
      </c>
      <c r="BH189" s="22">
        <v>0</v>
      </c>
      <c r="BI189" s="22">
        <v>999</v>
      </c>
      <c r="BJ189" s="22">
        <v>10</v>
      </c>
    </row>
    <row r="190" spans="1:62" ht="13">
      <c r="A190" s="22" t="s">
        <v>2779</v>
      </c>
      <c r="B190" s="22"/>
      <c r="C190" s="22"/>
      <c r="D190" s="22"/>
      <c r="E190" s="22">
        <v>1</v>
      </c>
      <c r="F190" s="22">
        <v>1</v>
      </c>
      <c r="G190" s="28">
        <v>10</v>
      </c>
      <c r="H190" s="28">
        <v>10</v>
      </c>
      <c r="I190" s="30">
        <v>1955</v>
      </c>
      <c r="J190" s="34">
        <f t="shared" si="0"/>
        <v>20372</v>
      </c>
      <c r="K190" s="39" t="s">
        <v>1503</v>
      </c>
      <c r="L190" s="25" t="s">
        <v>1155</v>
      </c>
      <c r="M190" s="30">
        <v>1</v>
      </c>
      <c r="N190" s="17" t="s">
        <v>233</v>
      </c>
      <c r="O190" s="17"/>
      <c r="P190" s="25" t="s">
        <v>1156</v>
      </c>
      <c r="Q190" s="25" t="s">
        <v>1167</v>
      </c>
      <c r="R190" s="105"/>
      <c r="S190" s="105"/>
      <c r="T190" s="22">
        <v>1</v>
      </c>
      <c r="U190" s="22">
        <v>2</v>
      </c>
      <c r="V190" s="22">
        <v>2</v>
      </c>
      <c r="W190" s="22">
        <v>3</v>
      </c>
      <c r="X190" s="22">
        <v>2</v>
      </c>
      <c r="Y190" s="18"/>
      <c r="Z190" s="22">
        <v>1</v>
      </c>
      <c r="AA190" s="22">
        <v>3</v>
      </c>
      <c r="AB190" s="18" t="s">
        <v>221</v>
      </c>
      <c r="AC190" s="22">
        <v>6</v>
      </c>
      <c r="AD190" s="22">
        <v>2</v>
      </c>
      <c r="AE190" s="18" t="s">
        <v>221</v>
      </c>
      <c r="AF190" s="22">
        <v>99</v>
      </c>
      <c r="AG190" s="18"/>
      <c r="AH190" s="22">
        <v>99</v>
      </c>
      <c r="AI190" s="57"/>
      <c r="AJ190" s="18"/>
      <c r="AK190" s="22">
        <v>99</v>
      </c>
      <c r="AL190" s="22">
        <v>99</v>
      </c>
      <c r="AM190" s="22">
        <v>99</v>
      </c>
      <c r="AN190" s="22">
        <v>99</v>
      </c>
      <c r="AO190" s="22">
        <v>99</v>
      </c>
      <c r="AP190" s="22">
        <v>99</v>
      </c>
      <c r="AQ190" s="18" t="s">
        <v>221</v>
      </c>
      <c r="AR190" s="18" t="s">
        <v>221</v>
      </c>
      <c r="AS190" s="18"/>
      <c r="AT190" s="18"/>
      <c r="AU190" s="22">
        <v>3</v>
      </c>
      <c r="AV190" s="22">
        <v>3</v>
      </c>
      <c r="AW190" s="22">
        <v>4</v>
      </c>
      <c r="AX190" s="37">
        <v>4</v>
      </c>
      <c r="AY190" s="22">
        <v>4</v>
      </c>
      <c r="AZ190" s="22">
        <v>2</v>
      </c>
      <c r="BA190" s="38">
        <v>99</v>
      </c>
      <c r="BB190" s="22">
        <v>99</v>
      </c>
      <c r="BC190" s="22">
        <v>99</v>
      </c>
      <c r="BD190" s="22">
        <v>99</v>
      </c>
      <c r="BE190" s="37">
        <v>99</v>
      </c>
      <c r="BF190" s="22">
        <v>0</v>
      </c>
      <c r="BG190" s="22">
        <v>0</v>
      </c>
      <c r="BH190" s="22">
        <v>0</v>
      </c>
      <c r="BI190" s="22">
        <v>999</v>
      </c>
      <c r="BJ190" s="22">
        <v>9</v>
      </c>
    </row>
    <row r="191" spans="1:62" ht="13">
      <c r="A191" s="22" t="s">
        <v>2801</v>
      </c>
      <c r="B191" s="22"/>
      <c r="C191" s="22"/>
      <c r="D191" s="22"/>
      <c r="E191" s="22">
        <v>2</v>
      </c>
      <c r="F191" s="22">
        <v>1</v>
      </c>
      <c r="G191" s="28">
        <v>14</v>
      </c>
      <c r="H191" s="28">
        <v>10</v>
      </c>
      <c r="I191" s="30">
        <v>1955</v>
      </c>
      <c r="J191" s="34">
        <f t="shared" si="0"/>
        <v>20376</v>
      </c>
      <c r="K191" s="39" t="s">
        <v>614</v>
      </c>
      <c r="L191" s="25" t="s">
        <v>1159</v>
      </c>
      <c r="M191" s="30">
        <v>1</v>
      </c>
      <c r="N191" s="17" t="s">
        <v>233</v>
      </c>
      <c r="O191" s="17"/>
      <c r="P191" s="25" t="s">
        <v>1160</v>
      </c>
      <c r="Q191" s="25" t="s">
        <v>1172</v>
      </c>
      <c r="R191" s="25">
        <v>31.805599000000001</v>
      </c>
      <c r="S191" s="25">
        <v>34.931797000000003</v>
      </c>
      <c r="T191" s="22">
        <v>2</v>
      </c>
      <c r="U191" s="22">
        <v>2</v>
      </c>
      <c r="V191" s="22">
        <v>2</v>
      </c>
      <c r="W191" s="22">
        <v>2</v>
      </c>
      <c r="X191" s="22">
        <v>2</v>
      </c>
      <c r="Y191" s="18"/>
      <c r="Z191" s="22">
        <v>5</v>
      </c>
      <c r="AA191" s="22">
        <v>1</v>
      </c>
      <c r="AB191" s="18" t="s">
        <v>221</v>
      </c>
      <c r="AC191" s="22">
        <v>99</v>
      </c>
      <c r="AD191" s="22">
        <v>2</v>
      </c>
      <c r="AE191" s="18" t="s">
        <v>221</v>
      </c>
      <c r="AF191" s="22">
        <v>99</v>
      </c>
      <c r="AG191" s="18"/>
      <c r="AH191" s="22">
        <v>99</v>
      </c>
      <c r="AI191" s="57"/>
      <c r="AJ191" s="18"/>
      <c r="AK191" s="22">
        <v>99</v>
      </c>
      <c r="AL191" s="22">
        <v>99</v>
      </c>
      <c r="AM191" s="22">
        <v>99</v>
      </c>
      <c r="AN191" s="22">
        <v>99</v>
      </c>
      <c r="AO191" s="22">
        <v>99</v>
      </c>
      <c r="AP191" s="22">
        <v>99</v>
      </c>
      <c r="AQ191" s="18" t="s">
        <v>221</v>
      </c>
      <c r="AR191" s="18" t="s">
        <v>221</v>
      </c>
      <c r="AS191" s="18"/>
      <c r="AT191" s="18"/>
      <c r="AU191" s="22">
        <v>3</v>
      </c>
      <c r="AV191" s="22">
        <v>3</v>
      </c>
      <c r="AW191" s="22">
        <v>4</v>
      </c>
      <c r="AX191" s="37">
        <v>4</v>
      </c>
      <c r="AY191" s="22">
        <v>4</v>
      </c>
      <c r="AZ191" s="22">
        <v>1</v>
      </c>
      <c r="BA191" s="38">
        <v>9</v>
      </c>
      <c r="BB191" s="22">
        <v>99</v>
      </c>
      <c r="BC191" s="22">
        <v>99</v>
      </c>
      <c r="BD191" s="22">
        <v>99</v>
      </c>
      <c r="BE191" s="37">
        <v>99</v>
      </c>
      <c r="BF191" s="22">
        <v>0</v>
      </c>
      <c r="BG191" s="22">
        <v>0</v>
      </c>
      <c r="BH191" s="22">
        <v>0</v>
      </c>
      <c r="BI191" s="22">
        <v>999</v>
      </c>
      <c r="BJ191" s="22">
        <v>7</v>
      </c>
    </row>
    <row r="192" spans="1:62" ht="13">
      <c r="A192" s="22" t="s">
        <v>2822</v>
      </c>
      <c r="B192" s="18"/>
      <c r="C192" s="18"/>
      <c r="D192" s="18"/>
      <c r="E192" s="18"/>
      <c r="F192" s="18"/>
      <c r="G192" s="28">
        <v>15</v>
      </c>
      <c r="H192" s="28">
        <v>10</v>
      </c>
      <c r="I192" s="30">
        <v>1955</v>
      </c>
      <c r="J192" s="34">
        <f t="shared" si="0"/>
        <v>20377</v>
      </c>
      <c r="K192" s="39" t="s">
        <v>1716</v>
      </c>
      <c r="L192" s="25" t="s">
        <v>1161</v>
      </c>
      <c r="M192" s="30">
        <v>1</v>
      </c>
      <c r="N192" s="17" t="s">
        <v>233</v>
      </c>
      <c r="O192" s="17"/>
      <c r="P192" s="25" t="s">
        <v>32</v>
      </c>
      <c r="Q192" s="25" t="s">
        <v>346</v>
      </c>
      <c r="R192" s="25">
        <v>31.768319000000002</v>
      </c>
      <c r="S192" s="25">
        <v>35.213709999999999</v>
      </c>
      <c r="T192" s="22">
        <v>2</v>
      </c>
      <c r="U192" s="22">
        <v>1</v>
      </c>
      <c r="V192" s="22">
        <v>2</v>
      </c>
      <c r="W192" s="22">
        <v>2</v>
      </c>
      <c r="X192" s="22">
        <v>2</v>
      </c>
      <c r="Y192" s="18"/>
      <c r="Z192" s="22">
        <v>5</v>
      </c>
      <c r="AA192" s="22">
        <v>1</v>
      </c>
      <c r="AB192" s="18" t="s">
        <v>221</v>
      </c>
      <c r="AC192" s="18"/>
      <c r="AD192" s="18"/>
      <c r="AE192" s="18" t="s">
        <v>221</v>
      </c>
      <c r="AF192" s="18"/>
      <c r="AG192" s="18"/>
      <c r="AH192" s="18"/>
      <c r="AI192" s="57"/>
      <c r="AJ192" s="18"/>
      <c r="AK192" s="18"/>
      <c r="AL192" s="18"/>
      <c r="AM192" s="18"/>
      <c r="AN192" s="18"/>
      <c r="AO192" s="18"/>
      <c r="AP192" s="18"/>
      <c r="AQ192" s="18" t="s">
        <v>221</v>
      </c>
      <c r="AR192" s="18" t="s">
        <v>221</v>
      </c>
      <c r="AS192" s="18"/>
      <c r="AT192" s="18"/>
      <c r="AU192" s="18"/>
      <c r="AV192" s="18"/>
      <c r="AW192" s="18"/>
      <c r="AX192" s="89"/>
      <c r="AY192" s="18"/>
      <c r="AZ192" s="22">
        <v>1</v>
      </c>
      <c r="BA192" s="38">
        <v>9</v>
      </c>
      <c r="BB192" s="18"/>
      <c r="BC192" s="18"/>
      <c r="BD192" s="18"/>
      <c r="BE192" s="89"/>
      <c r="BF192" s="22">
        <v>0</v>
      </c>
      <c r="BG192" s="22">
        <v>0</v>
      </c>
      <c r="BH192" s="22">
        <v>0</v>
      </c>
      <c r="BI192" s="22">
        <v>999</v>
      </c>
      <c r="BJ192" s="22">
        <v>12</v>
      </c>
    </row>
    <row r="193" spans="1:62" ht="13">
      <c r="A193" s="22" t="s">
        <v>2843</v>
      </c>
      <c r="B193" s="22"/>
      <c r="C193" s="22"/>
      <c r="D193" s="22"/>
      <c r="E193" s="22">
        <v>1</v>
      </c>
      <c r="F193" s="22">
        <v>1</v>
      </c>
      <c r="G193" s="28">
        <v>16</v>
      </c>
      <c r="H193" s="28">
        <v>10</v>
      </c>
      <c r="I193" s="30">
        <v>1955</v>
      </c>
      <c r="J193" s="34">
        <f t="shared" si="0"/>
        <v>20378</v>
      </c>
      <c r="K193" s="39" t="s">
        <v>614</v>
      </c>
      <c r="L193" s="25" t="s">
        <v>1163</v>
      </c>
      <c r="M193" s="30">
        <v>1</v>
      </c>
      <c r="N193" s="17" t="s">
        <v>233</v>
      </c>
      <c r="O193" s="17"/>
      <c r="P193" s="25" t="s">
        <v>1160</v>
      </c>
      <c r="Q193" s="25" t="s">
        <v>1172</v>
      </c>
      <c r="R193" s="25">
        <v>31.805599000000001</v>
      </c>
      <c r="S193" s="25">
        <v>34.931797000000003</v>
      </c>
      <c r="T193" s="22">
        <v>2</v>
      </c>
      <c r="U193" s="22">
        <v>2</v>
      </c>
      <c r="V193" s="22">
        <v>2</v>
      </c>
      <c r="W193" s="22">
        <v>2</v>
      </c>
      <c r="X193" s="22">
        <v>2</v>
      </c>
      <c r="Y193" s="18"/>
      <c r="Z193" s="22">
        <v>99</v>
      </c>
      <c r="AA193" s="22">
        <v>99</v>
      </c>
      <c r="AB193" s="18" t="s">
        <v>221</v>
      </c>
      <c r="AC193" s="22">
        <v>6</v>
      </c>
      <c r="AD193" s="22">
        <v>2</v>
      </c>
      <c r="AE193" s="18" t="s">
        <v>221</v>
      </c>
      <c r="AF193" s="22">
        <v>99</v>
      </c>
      <c r="AG193" s="18"/>
      <c r="AH193" s="22">
        <v>99</v>
      </c>
      <c r="AI193" s="57"/>
      <c r="AJ193" s="18"/>
      <c r="AK193" s="22">
        <v>99</v>
      </c>
      <c r="AL193" s="22">
        <v>99</v>
      </c>
      <c r="AM193" s="22">
        <v>99</v>
      </c>
      <c r="AN193" s="22">
        <v>99</v>
      </c>
      <c r="AO193" s="22">
        <v>99</v>
      </c>
      <c r="AP193" s="22">
        <v>99</v>
      </c>
      <c r="AQ193" s="18" t="s">
        <v>221</v>
      </c>
      <c r="AR193" s="18" t="s">
        <v>221</v>
      </c>
      <c r="AS193" s="18"/>
      <c r="AT193" s="18"/>
      <c r="AU193" s="22">
        <v>3</v>
      </c>
      <c r="AV193" s="22">
        <v>3</v>
      </c>
      <c r="AW193" s="22">
        <v>4</v>
      </c>
      <c r="AX193" s="37">
        <v>4</v>
      </c>
      <c r="AY193" s="22">
        <v>4</v>
      </c>
      <c r="AZ193" s="22">
        <v>2</v>
      </c>
      <c r="BA193" s="38">
        <v>99</v>
      </c>
      <c r="BB193" s="22">
        <v>99</v>
      </c>
      <c r="BC193" s="22">
        <v>99</v>
      </c>
      <c r="BD193" s="22">
        <v>99</v>
      </c>
      <c r="BE193" s="37">
        <v>99</v>
      </c>
      <c r="BF193" s="22">
        <v>0</v>
      </c>
      <c r="BG193" s="22">
        <v>0</v>
      </c>
      <c r="BH193" s="22">
        <v>0</v>
      </c>
      <c r="BI193" s="22">
        <v>999</v>
      </c>
      <c r="BJ193" s="22">
        <v>9</v>
      </c>
    </row>
    <row r="194" spans="1:62" ht="13">
      <c r="A194" s="22" t="s">
        <v>2866</v>
      </c>
      <c r="B194" s="22"/>
      <c r="C194" s="22"/>
      <c r="D194" s="22"/>
      <c r="E194" s="22">
        <v>1</v>
      </c>
      <c r="F194" s="22">
        <v>99</v>
      </c>
      <c r="G194" s="28">
        <v>18</v>
      </c>
      <c r="H194" s="28">
        <v>10</v>
      </c>
      <c r="I194" s="30">
        <v>1955</v>
      </c>
      <c r="J194" s="34">
        <f t="shared" si="0"/>
        <v>20380</v>
      </c>
      <c r="K194" s="39" t="s">
        <v>328</v>
      </c>
      <c r="L194" s="25" t="s">
        <v>1168</v>
      </c>
      <c r="M194" s="30">
        <v>1</v>
      </c>
      <c r="N194" s="17" t="s">
        <v>233</v>
      </c>
      <c r="O194" s="17"/>
      <c r="P194" s="25" t="s">
        <v>1169</v>
      </c>
      <c r="Q194" s="25" t="s">
        <v>1179</v>
      </c>
      <c r="R194" s="25">
        <v>30.873611</v>
      </c>
      <c r="S194" s="25">
        <v>34.793098000000001</v>
      </c>
      <c r="T194" s="22">
        <v>2</v>
      </c>
      <c r="U194" s="22">
        <v>2</v>
      </c>
      <c r="V194" s="22">
        <v>5</v>
      </c>
      <c r="W194" s="22">
        <v>4</v>
      </c>
      <c r="X194" s="22">
        <v>2</v>
      </c>
      <c r="Y194" s="18"/>
      <c r="Z194" s="22">
        <v>99</v>
      </c>
      <c r="AA194" s="22">
        <v>99</v>
      </c>
      <c r="AB194" s="18" t="s">
        <v>221</v>
      </c>
      <c r="AC194" s="22">
        <v>6</v>
      </c>
      <c r="AD194" s="22">
        <v>2</v>
      </c>
      <c r="AE194" s="18" t="s">
        <v>221</v>
      </c>
      <c r="AF194" s="22">
        <v>99</v>
      </c>
      <c r="AG194" s="18"/>
      <c r="AH194" s="22">
        <v>99</v>
      </c>
      <c r="AI194" s="57"/>
      <c r="AJ194" s="18"/>
      <c r="AK194" s="22">
        <v>99</v>
      </c>
      <c r="AL194" s="22">
        <v>99</v>
      </c>
      <c r="AM194" s="22">
        <v>99</v>
      </c>
      <c r="AN194" s="22">
        <v>99</v>
      </c>
      <c r="AO194" s="22">
        <v>99</v>
      </c>
      <c r="AP194" s="22">
        <v>99</v>
      </c>
      <c r="AQ194" s="18" t="s">
        <v>221</v>
      </c>
      <c r="AR194" s="18" t="s">
        <v>221</v>
      </c>
      <c r="AS194" s="22">
        <v>1</v>
      </c>
      <c r="AT194" s="22">
        <v>3</v>
      </c>
      <c r="AU194" s="22">
        <v>3</v>
      </c>
      <c r="AV194" s="22">
        <v>3</v>
      </c>
      <c r="AW194" s="22">
        <v>4</v>
      </c>
      <c r="AX194" s="37">
        <v>4</v>
      </c>
      <c r="AY194" s="22">
        <v>4</v>
      </c>
      <c r="AZ194" s="22">
        <v>2</v>
      </c>
      <c r="BA194" s="38">
        <v>99</v>
      </c>
      <c r="BB194" s="22">
        <v>99</v>
      </c>
      <c r="BC194" s="22">
        <v>99</v>
      </c>
      <c r="BD194" s="22">
        <v>99</v>
      </c>
      <c r="BE194" s="37">
        <v>99</v>
      </c>
      <c r="BF194" s="22">
        <v>1</v>
      </c>
      <c r="BG194" s="22">
        <v>0</v>
      </c>
      <c r="BH194" s="22">
        <v>1</v>
      </c>
      <c r="BI194" s="22">
        <v>999</v>
      </c>
      <c r="BJ194" s="22">
        <v>8</v>
      </c>
    </row>
    <row r="195" spans="1:62" ht="13">
      <c r="A195" s="22" t="s">
        <v>2880</v>
      </c>
      <c r="B195" s="22"/>
      <c r="C195" s="22"/>
      <c r="D195" s="22"/>
      <c r="E195" s="22">
        <v>1</v>
      </c>
      <c r="F195" s="22">
        <v>1</v>
      </c>
      <c r="G195" s="28">
        <v>24</v>
      </c>
      <c r="H195" s="28">
        <v>10</v>
      </c>
      <c r="I195" s="30">
        <v>1955</v>
      </c>
      <c r="J195" s="34">
        <f t="shared" si="0"/>
        <v>20386</v>
      </c>
      <c r="K195" s="39" t="s">
        <v>1056</v>
      </c>
      <c r="L195" s="25" t="s">
        <v>1170</v>
      </c>
      <c r="M195" s="30">
        <v>1</v>
      </c>
      <c r="N195" s="17" t="s">
        <v>233</v>
      </c>
      <c r="O195" s="17"/>
      <c r="P195" s="25" t="s">
        <v>32</v>
      </c>
      <c r="Q195" s="25" t="s">
        <v>346</v>
      </c>
      <c r="R195" s="25">
        <v>31.768319000000002</v>
      </c>
      <c r="S195" s="25">
        <v>35.213709999999999</v>
      </c>
      <c r="T195" s="22">
        <v>2</v>
      </c>
      <c r="U195" s="22">
        <v>2</v>
      </c>
      <c r="V195" s="22">
        <v>5</v>
      </c>
      <c r="W195" s="22">
        <v>2</v>
      </c>
      <c r="X195" s="22">
        <v>2</v>
      </c>
      <c r="Y195" s="18"/>
      <c r="Z195" s="22">
        <v>5</v>
      </c>
      <c r="AA195" s="22">
        <v>1</v>
      </c>
      <c r="AB195" s="18" t="s">
        <v>221</v>
      </c>
      <c r="AC195" s="22">
        <v>6</v>
      </c>
      <c r="AD195" s="22">
        <v>2</v>
      </c>
      <c r="AE195" s="18" t="s">
        <v>221</v>
      </c>
      <c r="AF195" s="22">
        <v>99</v>
      </c>
      <c r="AG195" s="18"/>
      <c r="AH195" s="22">
        <v>99</v>
      </c>
      <c r="AI195" s="57"/>
      <c r="AJ195" s="18"/>
      <c r="AK195" s="22">
        <v>99</v>
      </c>
      <c r="AL195" s="22">
        <v>99</v>
      </c>
      <c r="AM195" s="22">
        <v>99</v>
      </c>
      <c r="AN195" s="22">
        <v>99</v>
      </c>
      <c r="AO195" s="22">
        <v>99</v>
      </c>
      <c r="AP195" s="22">
        <v>99</v>
      </c>
      <c r="AQ195" s="18" t="s">
        <v>221</v>
      </c>
      <c r="AR195" s="18" t="s">
        <v>221</v>
      </c>
      <c r="AS195" s="18"/>
      <c r="AT195" s="18"/>
      <c r="AU195" s="22">
        <v>3</v>
      </c>
      <c r="AV195" s="22">
        <v>3</v>
      </c>
      <c r="AW195" s="22">
        <v>4</v>
      </c>
      <c r="AX195" s="37">
        <v>4</v>
      </c>
      <c r="AY195" s="22">
        <v>4</v>
      </c>
      <c r="AZ195" s="22">
        <v>2</v>
      </c>
      <c r="BA195" s="38">
        <v>99</v>
      </c>
      <c r="BB195" s="22">
        <v>99</v>
      </c>
      <c r="BC195" s="22">
        <v>99</v>
      </c>
      <c r="BD195" s="22">
        <v>99</v>
      </c>
      <c r="BE195" s="37">
        <v>99</v>
      </c>
      <c r="BF195" s="22">
        <v>0</v>
      </c>
      <c r="BG195" s="22">
        <v>0</v>
      </c>
      <c r="BH195" s="22">
        <v>0</v>
      </c>
      <c r="BI195" s="22">
        <v>999</v>
      </c>
      <c r="BJ195" s="22">
        <v>7</v>
      </c>
    </row>
    <row r="196" spans="1:62" ht="13">
      <c r="A196" s="22" t="s">
        <v>2893</v>
      </c>
      <c r="B196" s="22"/>
      <c r="C196" s="22"/>
      <c r="D196" s="22"/>
      <c r="E196" s="22">
        <v>1</v>
      </c>
      <c r="F196" s="22">
        <v>1</v>
      </c>
      <c r="G196" s="28">
        <v>6</v>
      </c>
      <c r="H196" s="28">
        <v>11</v>
      </c>
      <c r="I196" s="30">
        <v>1955</v>
      </c>
      <c r="J196" s="34">
        <f t="shared" si="0"/>
        <v>20399</v>
      </c>
      <c r="K196" s="35" t="s">
        <v>221</v>
      </c>
      <c r="L196" s="25" t="s">
        <v>1175</v>
      </c>
      <c r="M196" s="30">
        <v>3</v>
      </c>
      <c r="N196" s="17" t="s">
        <v>552</v>
      </c>
      <c r="O196" s="17"/>
      <c r="P196" s="25" t="s">
        <v>1177</v>
      </c>
      <c r="Q196" s="25" t="s">
        <v>1189</v>
      </c>
      <c r="R196" s="25">
        <v>-22.883119600000001</v>
      </c>
      <c r="S196" s="25">
        <v>-43.619495299999997</v>
      </c>
      <c r="T196" s="22">
        <v>2</v>
      </c>
      <c r="U196" s="22">
        <v>1</v>
      </c>
      <c r="V196" s="18"/>
      <c r="W196" s="18"/>
      <c r="X196" s="18"/>
      <c r="Y196" s="18"/>
      <c r="Z196" s="22">
        <v>5</v>
      </c>
      <c r="AA196" s="22">
        <v>1</v>
      </c>
      <c r="AB196" s="18" t="s">
        <v>221</v>
      </c>
      <c r="AC196" s="22">
        <v>9</v>
      </c>
      <c r="AD196" s="22">
        <v>2</v>
      </c>
      <c r="AE196" s="18" t="s">
        <v>221</v>
      </c>
      <c r="AF196" s="22">
        <v>99</v>
      </c>
      <c r="AG196" s="18"/>
      <c r="AH196" s="22">
        <v>99</v>
      </c>
      <c r="AI196" s="57"/>
      <c r="AJ196" s="18"/>
      <c r="AK196" s="22">
        <v>99</v>
      </c>
      <c r="AL196" s="22">
        <v>99</v>
      </c>
      <c r="AM196" s="22">
        <v>99</v>
      </c>
      <c r="AN196" s="22">
        <v>99</v>
      </c>
      <c r="AO196" s="22">
        <v>99</v>
      </c>
      <c r="AP196" s="22">
        <v>99</v>
      </c>
      <c r="AQ196" s="18" t="s">
        <v>221</v>
      </c>
      <c r="AR196" s="18" t="s">
        <v>221</v>
      </c>
      <c r="AS196" s="18"/>
      <c r="AT196" s="18"/>
      <c r="AU196" s="22">
        <v>3</v>
      </c>
      <c r="AV196" s="22">
        <v>3</v>
      </c>
      <c r="AW196" s="22">
        <v>4</v>
      </c>
      <c r="AX196" s="37">
        <v>4</v>
      </c>
      <c r="AY196" s="22">
        <v>4</v>
      </c>
      <c r="AZ196" s="22">
        <v>2</v>
      </c>
      <c r="BA196" s="38">
        <v>99</v>
      </c>
      <c r="BB196" s="22">
        <v>99</v>
      </c>
      <c r="BC196" s="22">
        <v>99</v>
      </c>
      <c r="BD196" s="22">
        <v>99</v>
      </c>
      <c r="BE196" s="37">
        <v>99</v>
      </c>
      <c r="BF196" s="22">
        <v>0</v>
      </c>
      <c r="BG196" s="22">
        <v>0</v>
      </c>
      <c r="BH196" s="22">
        <v>0</v>
      </c>
      <c r="BI196" s="22">
        <v>3</v>
      </c>
      <c r="BJ196" s="22">
        <v>7</v>
      </c>
    </row>
    <row r="197" spans="1:62" ht="13">
      <c r="A197" s="22" t="s">
        <v>2896</v>
      </c>
      <c r="B197" s="22"/>
      <c r="C197" s="22"/>
      <c r="D197" s="22"/>
      <c r="E197" s="22">
        <v>1</v>
      </c>
      <c r="F197" s="22">
        <v>1</v>
      </c>
      <c r="G197" s="28">
        <v>6</v>
      </c>
      <c r="H197" s="28">
        <v>11</v>
      </c>
      <c r="I197" s="30">
        <v>1955</v>
      </c>
      <c r="J197" s="34">
        <f t="shared" si="0"/>
        <v>20399</v>
      </c>
      <c r="K197" s="39" t="s">
        <v>328</v>
      </c>
      <c r="L197" s="25" t="s">
        <v>1178</v>
      </c>
      <c r="M197" s="30">
        <v>7</v>
      </c>
      <c r="N197" s="17" t="s">
        <v>447</v>
      </c>
      <c r="O197" s="17"/>
      <c r="P197" s="18"/>
      <c r="Q197" s="41" t="s">
        <v>582</v>
      </c>
      <c r="R197" s="124"/>
      <c r="S197" s="124"/>
      <c r="T197" s="22">
        <v>1</v>
      </c>
      <c r="U197" s="22">
        <v>2</v>
      </c>
      <c r="V197" s="22">
        <v>1</v>
      </c>
      <c r="W197" s="22">
        <v>2</v>
      </c>
      <c r="X197" s="22">
        <v>2</v>
      </c>
      <c r="Y197" s="18"/>
      <c r="Z197" s="22">
        <v>5</v>
      </c>
      <c r="AA197" s="22">
        <v>1</v>
      </c>
      <c r="AB197" s="18" t="s">
        <v>221</v>
      </c>
      <c r="AC197" s="22">
        <v>9</v>
      </c>
      <c r="AD197" s="22">
        <v>2</v>
      </c>
      <c r="AE197" s="18" t="s">
        <v>221</v>
      </c>
      <c r="AF197" s="22">
        <v>99</v>
      </c>
      <c r="AG197" s="18"/>
      <c r="AH197" s="22">
        <v>99</v>
      </c>
      <c r="AI197" s="57"/>
      <c r="AJ197" s="18"/>
      <c r="AK197" s="22">
        <v>99</v>
      </c>
      <c r="AL197" s="22">
        <v>99</v>
      </c>
      <c r="AM197" s="22">
        <v>3</v>
      </c>
      <c r="AN197" s="22">
        <v>99</v>
      </c>
      <c r="AO197" s="22">
        <v>99</v>
      </c>
      <c r="AP197" s="22">
        <v>99</v>
      </c>
      <c r="AQ197" s="18" t="s">
        <v>221</v>
      </c>
      <c r="AR197" s="18" t="s">
        <v>221</v>
      </c>
      <c r="AS197" s="18"/>
      <c r="AT197" s="18"/>
      <c r="AU197" s="22">
        <v>3</v>
      </c>
      <c r="AV197" s="22">
        <v>3</v>
      </c>
      <c r="AW197" s="22">
        <v>4</v>
      </c>
      <c r="AX197" s="37">
        <v>4</v>
      </c>
      <c r="AY197" s="22">
        <v>4</v>
      </c>
      <c r="AZ197" s="22">
        <v>2</v>
      </c>
      <c r="BA197" s="38">
        <v>99</v>
      </c>
      <c r="BB197" s="22">
        <v>99</v>
      </c>
      <c r="BC197" s="22">
        <v>99</v>
      </c>
      <c r="BD197" s="22">
        <v>99</v>
      </c>
      <c r="BE197" s="37">
        <v>99</v>
      </c>
      <c r="BF197" s="22">
        <v>0</v>
      </c>
      <c r="BG197" s="22">
        <v>0</v>
      </c>
      <c r="BH197" s="22">
        <v>0</v>
      </c>
      <c r="BI197" s="22">
        <v>999</v>
      </c>
      <c r="BJ197" s="22">
        <v>10</v>
      </c>
    </row>
    <row r="198" spans="1:62" ht="13">
      <c r="A198" s="22" t="s">
        <v>2902</v>
      </c>
      <c r="B198" s="22"/>
      <c r="C198" s="22"/>
      <c r="D198" s="22"/>
      <c r="E198" s="22">
        <v>3</v>
      </c>
      <c r="F198" s="22">
        <v>1</v>
      </c>
      <c r="G198" s="28">
        <v>8</v>
      </c>
      <c r="H198" s="28">
        <v>11</v>
      </c>
      <c r="I198" s="30">
        <v>1955</v>
      </c>
      <c r="J198" s="34">
        <f t="shared" si="0"/>
        <v>20401</v>
      </c>
      <c r="K198" s="35" t="s">
        <v>221</v>
      </c>
      <c r="L198" s="25" t="s">
        <v>1181</v>
      </c>
      <c r="M198" s="30">
        <v>99</v>
      </c>
      <c r="N198" s="52"/>
      <c r="O198" s="52"/>
      <c r="P198" s="25" t="s">
        <v>1182</v>
      </c>
      <c r="Q198" s="25" t="s">
        <v>1194</v>
      </c>
      <c r="R198" s="105"/>
      <c r="S198" s="105"/>
      <c r="T198" s="22">
        <v>1</v>
      </c>
      <c r="U198" s="22">
        <v>2</v>
      </c>
      <c r="V198" s="22">
        <v>99</v>
      </c>
      <c r="W198" s="22">
        <v>2</v>
      </c>
      <c r="X198" s="22">
        <v>2</v>
      </c>
      <c r="Y198" s="18"/>
      <c r="Z198" s="22">
        <v>5</v>
      </c>
      <c r="AA198" s="22">
        <v>2</v>
      </c>
      <c r="AB198" s="18" t="s">
        <v>221</v>
      </c>
      <c r="AC198" s="22">
        <v>9</v>
      </c>
      <c r="AD198" s="22">
        <v>2</v>
      </c>
      <c r="AE198" s="18" t="s">
        <v>221</v>
      </c>
      <c r="AF198" s="22">
        <v>99</v>
      </c>
      <c r="AG198" s="18"/>
      <c r="AH198" s="22">
        <v>99</v>
      </c>
      <c r="AI198" s="57"/>
      <c r="AJ198" s="18"/>
      <c r="AK198" s="22">
        <v>99</v>
      </c>
      <c r="AL198" s="22">
        <v>99</v>
      </c>
      <c r="AM198" s="22">
        <v>99</v>
      </c>
      <c r="AN198" s="22">
        <v>99</v>
      </c>
      <c r="AO198" s="22">
        <v>99</v>
      </c>
      <c r="AP198" s="22">
        <v>99</v>
      </c>
      <c r="AQ198" s="18" t="s">
        <v>221</v>
      </c>
      <c r="AR198" s="18" t="s">
        <v>221</v>
      </c>
      <c r="AS198" s="18"/>
      <c r="AT198" s="18"/>
      <c r="AU198" s="22">
        <v>3</v>
      </c>
      <c r="AV198" s="22">
        <v>3</v>
      </c>
      <c r="AW198" s="22">
        <v>4</v>
      </c>
      <c r="AX198" s="37">
        <v>4</v>
      </c>
      <c r="AY198" s="22">
        <v>4</v>
      </c>
      <c r="AZ198" s="22">
        <v>2</v>
      </c>
      <c r="BA198" s="38">
        <v>99</v>
      </c>
      <c r="BB198" s="22">
        <v>99</v>
      </c>
      <c r="BC198" s="22">
        <v>99</v>
      </c>
      <c r="BD198" s="22">
        <v>99</v>
      </c>
      <c r="BE198" s="37">
        <v>99</v>
      </c>
      <c r="BF198" s="22">
        <v>999</v>
      </c>
      <c r="BG198" s="22">
        <v>999</v>
      </c>
      <c r="BH198" s="22">
        <v>999</v>
      </c>
      <c r="BI198" s="22">
        <v>2</v>
      </c>
      <c r="BJ198" s="22">
        <v>7</v>
      </c>
    </row>
    <row r="199" spans="1:62" ht="13">
      <c r="A199" s="18" t="s">
        <v>221</v>
      </c>
      <c r="B199" s="22"/>
      <c r="C199" s="22"/>
      <c r="D199" s="22"/>
      <c r="E199" s="22">
        <v>3</v>
      </c>
      <c r="F199" s="22">
        <v>2</v>
      </c>
      <c r="G199" s="28">
        <v>12</v>
      </c>
      <c r="H199" s="28">
        <v>11</v>
      </c>
      <c r="I199" s="30">
        <v>1955</v>
      </c>
      <c r="J199" s="34">
        <f t="shared" si="0"/>
        <v>20405</v>
      </c>
      <c r="K199" s="39" t="s">
        <v>2903</v>
      </c>
      <c r="L199" s="18"/>
      <c r="M199" s="51"/>
      <c r="N199" s="52"/>
      <c r="O199" s="52"/>
      <c r="P199" s="25" t="s">
        <v>1184</v>
      </c>
      <c r="Q199" s="25" t="s">
        <v>2904</v>
      </c>
      <c r="R199" s="25">
        <v>54.644497100000002</v>
      </c>
      <c r="S199" s="25">
        <v>-7.3424860999999897</v>
      </c>
      <c r="T199" s="22">
        <v>1</v>
      </c>
      <c r="U199" s="18"/>
      <c r="V199" s="18"/>
      <c r="W199" s="22">
        <v>3</v>
      </c>
      <c r="X199" s="22">
        <v>2</v>
      </c>
      <c r="Y199" s="18"/>
      <c r="Z199" s="22">
        <v>5</v>
      </c>
      <c r="AA199" s="22">
        <v>3</v>
      </c>
      <c r="AB199" s="18" t="s">
        <v>221</v>
      </c>
      <c r="AC199" s="22">
        <v>99</v>
      </c>
      <c r="AD199" s="22">
        <v>2</v>
      </c>
      <c r="AE199" s="18" t="s">
        <v>221</v>
      </c>
      <c r="AF199" s="22">
        <v>99</v>
      </c>
      <c r="AG199" s="18"/>
      <c r="AH199" s="22">
        <v>99</v>
      </c>
      <c r="AI199" s="57"/>
      <c r="AJ199" s="18"/>
      <c r="AK199" s="22">
        <v>99</v>
      </c>
      <c r="AL199" s="22">
        <v>99</v>
      </c>
      <c r="AM199" s="22">
        <v>99</v>
      </c>
      <c r="AN199" s="22">
        <v>99</v>
      </c>
      <c r="AO199" s="22">
        <v>99</v>
      </c>
      <c r="AP199" s="22">
        <v>99</v>
      </c>
      <c r="AQ199" s="22" t="s">
        <v>2905</v>
      </c>
      <c r="AR199" s="2" t="s">
        <v>730</v>
      </c>
      <c r="AS199" s="22">
        <v>99</v>
      </c>
      <c r="AT199" s="22">
        <v>6</v>
      </c>
      <c r="AU199" s="22">
        <v>3</v>
      </c>
      <c r="AV199" s="22">
        <v>3</v>
      </c>
      <c r="AW199" s="22">
        <v>4</v>
      </c>
      <c r="AX199" s="37">
        <v>4</v>
      </c>
      <c r="AY199" s="22">
        <v>4</v>
      </c>
      <c r="AZ199" s="22">
        <v>2</v>
      </c>
      <c r="BA199" s="38">
        <v>99</v>
      </c>
      <c r="BB199" s="22">
        <v>99</v>
      </c>
      <c r="BC199" s="22">
        <v>99</v>
      </c>
      <c r="BD199" s="22">
        <v>99</v>
      </c>
      <c r="BE199" s="37">
        <v>99</v>
      </c>
      <c r="BF199" s="22">
        <v>0</v>
      </c>
      <c r="BG199" s="22">
        <v>1</v>
      </c>
      <c r="BH199" s="22">
        <v>1</v>
      </c>
      <c r="BI199" s="22">
        <v>3</v>
      </c>
      <c r="BJ199" s="22">
        <v>9</v>
      </c>
    </row>
    <row r="200" spans="1:62" ht="13">
      <c r="A200" s="22" t="s">
        <v>2906</v>
      </c>
      <c r="B200" s="22"/>
      <c r="C200" s="22"/>
      <c r="D200" s="22"/>
      <c r="E200" s="22">
        <v>1</v>
      </c>
      <c r="F200" s="22">
        <v>1</v>
      </c>
      <c r="G200" s="28">
        <v>18</v>
      </c>
      <c r="H200" s="28">
        <v>11</v>
      </c>
      <c r="I200" s="30">
        <v>1955</v>
      </c>
      <c r="J200" s="34">
        <f t="shared" si="0"/>
        <v>20411</v>
      </c>
      <c r="K200" s="39" t="s">
        <v>2907</v>
      </c>
      <c r="L200" s="25" t="s">
        <v>1185</v>
      </c>
      <c r="M200" s="30">
        <v>1</v>
      </c>
      <c r="N200" s="17" t="s">
        <v>233</v>
      </c>
      <c r="O200" s="17"/>
      <c r="P200" s="25" t="s">
        <v>1186</v>
      </c>
      <c r="Q200" s="25" t="s">
        <v>1201</v>
      </c>
      <c r="R200" s="25">
        <v>31.775162000000002</v>
      </c>
      <c r="S200" s="25">
        <v>35.231895999999999</v>
      </c>
      <c r="T200" s="22">
        <v>2</v>
      </c>
      <c r="U200" s="22">
        <v>1</v>
      </c>
      <c r="V200" s="22">
        <v>5</v>
      </c>
      <c r="W200" s="22">
        <v>2</v>
      </c>
      <c r="X200" s="22">
        <v>2</v>
      </c>
      <c r="Y200" s="18"/>
      <c r="Z200" s="22">
        <v>5</v>
      </c>
      <c r="AA200" s="22">
        <v>1</v>
      </c>
      <c r="AB200" s="2" t="s">
        <v>2908</v>
      </c>
      <c r="AC200" s="22">
        <v>6</v>
      </c>
      <c r="AD200" s="22">
        <v>2</v>
      </c>
      <c r="AE200" s="18" t="s">
        <v>221</v>
      </c>
      <c r="AF200" s="22">
        <v>99</v>
      </c>
      <c r="AG200" s="18"/>
      <c r="AH200" s="22">
        <v>99</v>
      </c>
      <c r="AI200" s="57"/>
      <c r="AJ200" s="18"/>
      <c r="AK200" s="22">
        <v>99</v>
      </c>
      <c r="AL200" s="22">
        <v>99</v>
      </c>
      <c r="AM200" s="22">
        <v>99</v>
      </c>
      <c r="AN200" s="22">
        <v>99</v>
      </c>
      <c r="AO200" s="22">
        <v>99</v>
      </c>
      <c r="AP200" s="22">
        <v>99</v>
      </c>
      <c r="AQ200" s="18" t="s">
        <v>221</v>
      </c>
      <c r="AR200" s="18" t="s">
        <v>221</v>
      </c>
      <c r="AS200" s="18"/>
      <c r="AT200" s="18"/>
      <c r="AU200" s="22">
        <v>3</v>
      </c>
      <c r="AV200" s="22">
        <v>3</v>
      </c>
      <c r="AW200" s="22">
        <v>4</v>
      </c>
      <c r="AX200" s="37">
        <v>4</v>
      </c>
      <c r="AY200" s="22">
        <v>4</v>
      </c>
      <c r="AZ200" s="22">
        <v>2</v>
      </c>
      <c r="BA200" s="38">
        <v>99</v>
      </c>
      <c r="BB200" s="22">
        <v>99</v>
      </c>
      <c r="BC200" s="22">
        <v>99</v>
      </c>
      <c r="BD200" s="22">
        <v>99</v>
      </c>
      <c r="BE200" s="37">
        <v>99</v>
      </c>
      <c r="BF200" s="22">
        <v>0</v>
      </c>
      <c r="BG200" s="22">
        <v>0</v>
      </c>
      <c r="BH200" s="22">
        <v>0</v>
      </c>
      <c r="BI200" s="22">
        <v>999</v>
      </c>
      <c r="BJ200" s="22">
        <v>7</v>
      </c>
    </row>
    <row r="201" spans="1:62" ht="13">
      <c r="A201" s="22" t="s">
        <v>2909</v>
      </c>
      <c r="B201" s="22"/>
      <c r="C201" s="22"/>
      <c r="D201" s="22"/>
      <c r="E201" s="22">
        <v>1</v>
      </c>
      <c r="F201" s="22">
        <v>1</v>
      </c>
      <c r="G201" s="28">
        <v>18</v>
      </c>
      <c r="H201" s="28">
        <v>11</v>
      </c>
      <c r="I201" s="30">
        <v>1955</v>
      </c>
      <c r="J201" s="34">
        <f t="shared" si="0"/>
        <v>20411</v>
      </c>
      <c r="K201" s="39" t="s">
        <v>1056</v>
      </c>
      <c r="L201" s="25" t="s">
        <v>1187</v>
      </c>
      <c r="M201" s="30">
        <v>8</v>
      </c>
      <c r="N201" s="17" t="s">
        <v>711</v>
      </c>
      <c r="O201" s="17"/>
      <c r="P201" s="18"/>
      <c r="Q201" s="41" t="s">
        <v>582</v>
      </c>
      <c r="R201" s="124"/>
      <c r="S201" s="124"/>
      <c r="T201" s="22">
        <v>2</v>
      </c>
      <c r="U201" s="22">
        <v>2</v>
      </c>
      <c r="V201" s="22">
        <v>2</v>
      </c>
      <c r="W201" s="22">
        <v>2</v>
      </c>
      <c r="X201" s="22">
        <v>2</v>
      </c>
      <c r="Y201" s="18"/>
      <c r="Z201" s="22">
        <v>2</v>
      </c>
      <c r="AA201" s="22">
        <v>1</v>
      </c>
      <c r="AB201" s="18" t="s">
        <v>221</v>
      </c>
      <c r="AC201" s="22">
        <v>99</v>
      </c>
      <c r="AD201" s="22">
        <v>2</v>
      </c>
      <c r="AE201" s="18" t="s">
        <v>221</v>
      </c>
      <c r="AF201" s="22">
        <v>99</v>
      </c>
      <c r="AG201" s="18"/>
      <c r="AH201" s="22">
        <v>99</v>
      </c>
      <c r="AI201" s="57"/>
      <c r="AJ201" s="18"/>
      <c r="AK201" s="22">
        <v>99</v>
      </c>
      <c r="AL201" s="22">
        <v>99</v>
      </c>
      <c r="AM201" s="22">
        <v>99</v>
      </c>
      <c r="AN201" s="22">
        <v>99</v>
      </c>
      <c r="AO201" s="22">
        <v>99</v>
      </c>
      <c r="AP201" s="22">
        <v>99</v>
      </c>
      <c r="AQ201" s="18" t="s">
        <v>221</v>
      </c>
      <c r="AR201" s="18" t="s">
        <v>221</v>
      </c>
      <c r="AS201" s="18"/>
      <c r="AT201" s="18"/>
      <c r="AU201" s="22">
        <v>3</v>
      </c>
      <c r="AV201" s="22">
        <v>3</v>
      </c>
      <c r="AW201" s="22">
        <v>4</v>
      </c>
      <c r="AX201" s="37">
        <v>4</v>
      </c>
      <c r="AY201" s="22">
        <v>4</v>
      </c>
      <c r="AZ201" s="22">
        <v>2</v>
      </c>
      <c r="BA201" s="38">
        <v>99</v>
      </c>
      <c r="BB201" s="22">
        <v>99</v>
      </c>
      <c r="BC201" s="22">
        <v>99</v>
      </c>
      <c r="BD201" s="22">
        <v>99</v>
      </c>
      <c r="BE201" s="37">
        <v>99</v>
      </c>
      <c r="BF201" s="22">
        <v>0</v>
      </c>
      <c r="BG201" s="22">
        <v>0</v>
      </c>
      <c r="BH201" s="22">
        <v>0</v>
      </c>
      <c r="BI201" s="22">
        <v>999</v>
      </c>
      <c r="BJ201" s="22">
        <v>9</v>
      </c>
    </row>
    <row r="202" spans="1:62" ht="13">
      <c r="A202" s="22" t="s">
        <v>2910</v>
      </c>
      <c r="B202" s="22"/>
      <c r="C202" s="22"/>
      <c r="D202" s="22"/>
      <c r="E202" s="22">
        <v>2</v>
      </c>
      <c r="F202" s="22">
        <v>1</v>
      </c>
      <c r="G202" s="28">
        <v>18</v>
      </c>
      <c r="H202" s="28">
        <v>11</v>
      </c>
      <c r="I202" s="30">
        <v>1955</v>
      </c>
      <c r="J202" s="34">
        <f t="shared" si="0"/>
        <v>20411</v>
      </c>
      <c r="K202" s="11" t="s">
        <v>2911</v>
      </c>
      <c r="L202" s="25" t="s">
        <v>1190</v>
      </c>
      <c r="M202" s="30">
        <v>99</v>
      </c>
      <c r="N202" s="52"/>
      <c r="O202" s="52"/>
      <c r="P202" s="25" t="s">
        <v>1191</v>
      </c>
      <c r="Q202" s="25" t="s">
        <v>1206</v>
      </c>
      <c r="R202" s="105"/>
      <c r="S202" s="105"/>
      <c r="T202" s="22">
        <v>1</v>
      </c>
      <c r="U202" s="22">
        <v>1</v>
      </c>
      <c r="V202" s="18"/>
      <c r="W202" s="22">
        <v>3</v>
      </c>
      <c r="X202" s="22">
        <v>2</v>
      </c>
      <c r="Y202" s="18"/>
      <c r="Z202" s="22">
        <v>5</v>
      </c>
      <c r="AA202" s="22">
        <v>1</v>
      </c>
      <c r="AB202" s="18" t="s">
        <v>221</v>
      </c>
      <c r="AC202" s="22">
        <v>9</v>
      </c>
      <c r="AD202" s="22">
        <v>2</v>
      </c>
      <c r="AE202" s="18" t="s">
        <v>221</v>
      </c>
      <c r="AF202" s="22">
        <v>99</v>
      </c>
      <c r="AG202" s="18"/>
      <c r="AH202" s="22">
        <v>99</v>
      </c>
      <c r="AI202" s="57"/>
      <c r="AJ202" s="18"/>
      <c r="AK202" s="22">
        <v>99</v>
      </c>
      <c r="AL202" s="22">
        <v>99</v>
      </c>
      <c r="AM202" s="22">
        <v>99</v>
      </c>
      <c r="AN202" s="22">
        <v>99</v>
      </c>
      <c r="AO202" s="22">
        <v>99</v>
      </c>
      <c r="AP202" s="22">
        <v>99</v>
      </c>
      <c r="AQ202" s="18" t="s">
        <v>221</v>
      </c>
      <c r="AR202" s="18" t="s">
        <v>221</v>
      </c>
      <c r="AS202" s="18"/>
      <c r="AT202" s="18"/>
      <c r="AU202" s="22">
        <v>3</v>
      </c>
      <c r="AV202" s="22">
        <v>3</v>
      </c>
      <c r="AW202" s="22">
        <v>4</v>
      </c>
      <c r="AX202" s="37">
        <v>4</v>
      </c>
      <c r="AY202" s="22">
        <v>4</v>
      </c>
      <c r="AZ202" s="22">
        <v>2</v>
      </c>
      <c r="BA202" s="38">
        <v>99</v>
      </c>
      <c r="BB202" s="22">
        <v>99</v>
      </c>
      <c r="BC202" s="22">
        <v>99</v>
      </c>
      <c r="BD202" s="22">
        <v>99</v>
      </c>
      <c r="BE202" s="37">
        <v>99</v>
      </c>
      <c r="BF202" s="22">
        <v>0</v>
      </c>
      <c r="BG202" s="22">
        <v>0</v>
      </c>
      <c r="BH202" s="22">
        <v>0</v>
      </c>
      <c r="BI202" s="22">
        <v>4</v>
      </c>
      <c r="BJ202" s="22">
        <v>7</v>
      </c>
    </row>
    <row r="203" spans="1:62" ht="13">
      <c r="A203" s="22" t="s">
        <v>2912</v>
      </c>
      <c r="B203" s="22"/>
      <c r="C203" s="22"/>
      <c r="D203" s="22"/>
      <c r="E203" s="22">
        <v>1</v>
      </c>
      <c r="F203" s="22">
        <v>1</v>
      </c>
      <c r="G203" s="28">
        <v>19</v>
      </c>
      <c r="H203" s="28">
        <v>11</v>
      </c>
      <c r="I203" s="30">
        <v>1955</v>
      </c>
      <c r="J203" s="34">
        <f t="shared" si="0"/>
        <v>20412</v>
      </c>
      <c r="K203" s="11" t="s">
        <v>2334</v>
      </c>
      <c r="L203" s="25" t="s">
        <v>1195</v>
      </c>
      <c r="M203" s="30">
        <v>1</v>
      </c>
      <c r="N203" s="17" t="s">
        <v>233</v>
      </c>
      <c r="O203" s="17"/>
      <c r="P203" s="25" t="s">
        <v>1196</v>
      </c>
      <c r="Q203" s="25" t="s">
        <v>1214</v>
      </c>
      <c r="R203" s="25">
        <v>32.699069999999999</v>
      </c>
      <c r="S203" s="25">
        <v>35.577551</v>
      </c>
      <c r="T203" s="22">
        <v>2</v>
      </c>
      <c r="U203" s="22">
        <v>2</v>
      </c>
      <c r="V203" s="22">
        <v>5</v>
      </c>
      <c r="W203" s="22">
        <v>3</v>
      </c>
      <c r="X203" s="22">
        <v>2</v>
      </c>
      <c r="Y203" s="18"/>
      <c r="Z203" s="22">
        <v>5</v>
      </c>
      <c r="AA203" s="22">
        <v>1</v>
      </c>
      <c r="AB203" s="2" t="s">
        <v>1294</v>
      </c>
      <c r="AC203" s="22">
        <v>6</v>
      </c>
      <c r="AD203" s="22">
        <v>2</v>
      </c>
      <c r="AE203" s="18" t="s">
        <v>221</v>
      </c>
      <c r="AF203" s="22">
        <v>99</v>
      </c>
      <c r="AG203" s="18"/>
      <c r="AH203" s="22">
        <v>99</v>
      </c>
      <c r="AI203" s="57"/>
      <c r="AJ203" s="18"/>
      <c r="AK203" s="22">
        <v>99</v>
      </c>
      <c r="AL203" s="22">
        <v>99</v>
      </c>
      <c r="AM203" s="22">
        <v>99</v>
      </c>
      <c r="AN203" s="22">
        <v>99</v>
      </c>
      <c r="AO203" s="22">
        <v>99</v>
      </c>
      <c r="AP203" s="22">
        <v>99</v>
      </c>
      <c r="AQ203" s="22" t="s">
        <v>2913</v>
      </c>
      <c r="AR203" s="2" t="s">
        <v>661</v>
      </c>
      <c r="AS203" s="22">
        <v>99</v>
      </c>
      <c r="AT203" s="22">
        <v>6</v>
      </c>
      <c r="AU203" s="22">
        <v>3</v>
      </c>
      <c r="AV203" s="22">
        <v>3</v>
      </c>
      <c r="AW203" s="22">
        <v>4</v>
      </c>
      <c r="AX203" s="37">
        <v>4</v>
      </c>
      <c r="AY203" s="22">
        <v>4</v>
      </c>
      <c r="AZ203" s="22">
        <v>2</v>
      </c>
      <c r="BA203" s="38">
        <v>99</v>
      </c>
      <c r="BB203" s="22">
        <v>99</v>
      </c>
      <c r="BC203" s="22">
        <v>99</v>
      </c>
      <c r="BD203" s="22">
        <v>99</v>
      </c>
      <c r="BE203" s="37">
        <v>99</v>
      </c>
      <c r="BF203" s="22">
        <v>0</v>
      </c>
      <c r="BG203" s="22">
        <v>1</v>
      </c>
      <c r="BH203" s="22">
        <v>1</v>
      </c>
      <c r="BI203" s="22">
        <v>8</v>
      </c>
      <c r="BJ203" s="22">
        <v>8</v>
      </c>
    </row>
    <row r="204" spans="1:62" ht="13">
      <c r="A204" s="22" t="s">
        <v>2914</v>
      </c>
      <c r="B204" s="22"/>
      <c r="C204" s="22"/>
      <c r="D204" s="22"/>
      <c r="E204" s="22">
        <v>2</v>
      </c>
      <c r="F204" s="22">
        <v>1</v>
      </c>
      <c r="G204" s="28">
        <v>19</v>
      </c>
      <c r="H204" s="28">
        <v>11</v>
      </c>
      <c r="I204" s="30">
        <v>1955</v>
      </c>
      <c r="J204" s="34">
        <f t="shared" si="0"/>
        <v>20412</v>
      </c>
      <c r="K204" s="39" t="s">
        <v>2907</v>
      </c>
      <c r="L204" s="25" t="s">
        <v>1197</v>
      </c>
      <c r="M204" s="30">
        <v>5</v>
      </c>
      <c r="N204" s="17" t="s">
        <v>32</v>
      </c>
      <c r="O204" s="17"/>
      <c r="P204" s="25" t="s">
        <v>1198</v>
      </c>
      <c r="Q204" s="25" t="s">
        <v>1218</v>
      </c>
      <c r="R204" s="25">
        <v>31.532568999999999</v>
      </c>
      <c r="S204" s="25">
        <v>35.099826</v>
      </c>
      <c r="T204" s="22">
        <v>1</v>
      </c>
      <c r="U204" s="22">
        <v>2</v>
      </c>
      <c r="V204" s="22">
        <v>5</v>
      </c>
      <c r="W204" s="22">
        <v>3</v>
      </c>
      <c r="X204" s="22">
        <v>2</v>
      </c>
      <c r="Y204" s="18"/>
      <c r="Z204" s="22">
        <v>99</v>
      </c>
      <c r="AA204" s="22">
        <v>99</v>
      </c>
      <c r="AB204" s="18" t="s">
        <v>221</v>
      </c>
      <c r="AC204" s="22">
        <v>99</v>
      </c>
      <c r="AD204" s="22">
        <v>99</v>
      </c>
      <c r="AE204" s="18" t="s">
        <v>221</v>
      </c>
      <c r="AF204" s="22">
        <v>99</v>
      </c>
      <c r="AG204" s="18"/>
      <c r="AH204" s="22">
        <v>99</v>
      </c>
      <c r="AI204" s="57"/>
      <c r="AJ204" s="18"/>
      <c r="AK204" s="22">
        <v>99</v>
      </c>
      <c r="AL204" s="22">
        <v>99</v>
      </c>
      <c r="AM204" s="22">
        <v>99</v>
      </c>
      <c r="AN204" s="22">
        <v>99</v>
      </c>
      <c r="AO204" s="22">
        <v>99</v>
      </c>
      <c r="AP204" s="22">
        <v>99</v>
      </c>
      <c r="AQ204" s="18" t="s">
        <v>221</v>
      </c>
      <c r="AR204" s="18" t="s">
        <v>221</v>
      </c>
      <c r="AS204" s="18"/>
      <c r="AT204" s="18"/>
      <c r="AU204" s="22">
        <v>3</v>
      </c>
      <c r="AV204" s="22">
        <v>3</v>
      </c>
      <c r="AW204" s="22">
        <v>4</v>
      </c>
      <c r="AX204" s="37">
        <v>4</v>
      </c>
      <c r="AY204" s="22">
        <v>4</v>
      </c>
      <c r="AZ204" s="22">
        <v>2</v>
      </c>
      <c r="BA204" s="38">
        <v>99</v>
      </c>
      <c r="BB204" s="22">
        <v>99</v>
      </c>
      <c r="BC204" s="22">
        <v>99</v>
      </c>
      <c r="BD204" s="22">
        <v>99</v>
      </c>
      <c r="BE204" s="37">
        <v>99</v>
      </c>
      <c r="BF204" s="22">
        <v>999</v>
      </c>
      <c r="BG204" s="22">
        <v>999</v>
      </c>
      <c r="BH204" s="22">
        <v>999</v>
      </c>
      <c r="BI204" s="22">
        <v>999</v>
      </c>
      <c r="BJ204" s="22">
        <v>9</v>
      </c>
    </row>
    <row r="205" spans="1:62" ht="13">
      <c r="A205" s="22" t="s">
        <v>2915</v>
      </c>
      <c r="B205" s="22"/>
      <c r="C205" s="22"/>
      <c r="D205" s="22"/>
      <c r="E205" s="22">
        <v>3</v>
      </c>
      <c r="F205" s="22">
        <v>1</v>
      </c>
      <c r="G205" s="28">
        <v>27</v>
      </c>
      <c r="H205" s="28">
        <v>11</v>
      </c>
      <c r="I205" s="30">
        <v>1955</v>
      </c>
      <c r="J205" s="34">
        <f t="shared" si="0"/>
        <v>20420</v>
      </c>
      <c r="K205" s="35" t="s">
        <v>221</v>
      </c>
      <c r="L205" s="25" t="s">
        <v>1199</v>
      </c>
      <c r="M205" s="30">
        <v>1</v>
      </c>
      <c r="N205" s="17" t="s">
        <v>233</v>
      </c>
      <c r="O205" s="17"/>
      <c r="P205" s="25" t="s">
        <v>1200</v>
      </c>
      <c r="Q205" s="25" t="s">
        <v>1221</v>
      </c>
      <c r="R205" s="105"/>
      <c r="S205" s="105"/>
      <c r="T205" s="22">
        <v>2</v>
      </c>
      <c r="U205" s="22">
        <v>2</v>
      </c>
      <c r="V205" s="22">
        <v>5</v>
      </c>
      <c r="W205" s="22">
        <v>3</v>
      </c>
      <c r="X205" s="22">
        <v>2</v>
      </c>
      <c r="Y205" s="18"/>
      <c r="Z205" s="22">
        <v>5</v>
      </c>
      <c r="AA205" s="22">
        <v>2</v>
      </c>
      <c r="AB205" s="18" t="s">
        <v>221</v>
      </c>
      <c r="AC205" s="22">
        <v>6</v>
      </c>
      <c r="AD205" s="22">
        <v>2</v>
      </c>
      <c r="AE205" s="18" t="s">
        <v>221</v>
      </c>
      <c r="AF205" s="22">
        <v>99</v>
      </c>
      <c r="AG205" s="18"/>
      <c r="AH205" s="22">
        <v>99</v>
      </c>
      <c r="AI205" s="57"/>
      <c r="AJ205" s="18"/>
      <c r="AK205" s="22">
        <v>99</v>
      </c>
      <c r="AL205" s="22">
        <v>99</v>
      </c>
      <c r="AM205" s="22">
        <v>99</v>
      </c>
      <c r="AN205" s="22">
        <v>99</v>
      </c>
      <c r="AO205" s="22">
        <v>99</v>
      </c>
      <c r="AP205" s="22">
        <v>99</v>
      </c>
      <c r="AQ205" s="22" t="s">
        <v>2917</v>
      </c>
      <c r="AR205" s="2" t="s">
        <v>730</v>
      </c>
      <c r="AS205" s="22">
        <v>99</v>
      </c>
      <c r="AT205" s="22">
        <v>6</v>
      </c>
      <c r="AU205" s="22">
        <v>3</v>
      </c>
      <c r="AV205" s="22">
        <v>3</v>
      </c>
      <c r="AW205" s="22">
        <v>4</v>
      </c>
      <c r="AX205" s="37">
        <v>4</v>
      </c>
      <c r="AY205" s="22">
        <v>4</v>
      </c>
      <c r="AZ205" s="22">
        <v>2</v>
      </c>
      <c r="BA205" s="38">
        <v>99</v>
      </c>
      <c r="BB205" s="22">
        <v>99</v>
      </c>
      <c r="BC205" s="22">
        <v>99</v>
      </c>
      <c r="BD205" s="22">
        <v>99</v>
      </c>
      <c r="BE205" s="37">
        <v>99</v>
      </c>
      <c r="BF205" s="22">
        <v>0</v>
      </c>
      <c r="BG205" s="22">
        <v>1</v>
      </c>
      <c r="BH205" s="22">
        <v>1</v>
      </c>
      <c r="BI205" s="22">
        <v>999</v>
      </c>
      <c r="BJ205" s="22">
        <v>8</v>
      </c>
    </row>
    <row r="206" spans="1:62" ht="13">
      <c r="A206" s="22" t="s">
        <v>2918</v>
      </c>
      <c r="B206" s="22"/>
      <c r="C206" s="22"/>
      <c r="D206" s="22"/>
      <c r="E206" s="22">
        <v>2</v>
      </c>
      <c r="F206" s="22">
        <v>1</v>
      </c>
      <c r="G206" s="28">
        <v>27</v>
      </c>
      <c r="H206" s="28">
        <v>11</v>
      </c>
      <c r="I206" s="30">
        <v>1955</v>
      </c>
      <c r="J206" s="34">
        <f t="shared" si="0"/>
        <v>20420</v>
      </c>
      <c r="K206" s="39" t="s">
        <v>2919</v>
      </c>
      <c r="L206" s="25" t="s">
        <v>1202</v>
      </c>
      <c r="M206" s="30">
        <v>5</v>
      </c>
      <c r="N206" s="17" t="s">
        <v>32</v>
      </c>
      <c r="O206" s="17"/>
      <c r="P206" s="25" t="s">
        <v>1203</v>
      </c>
      <c r="Q206" s="25" t="s">
        <v>1227</v>
      </c>
      <c r="R206" s="25">
        <v>33.277231999999998</v>
      </c>
      <c r="S206" s="25">
        <v>35.578234999999999</v>
      </c>
      <c r="T206" s="22">
        <v>2</v>
      </c>
      <c r="U206" s="22">
        <v>1</v>
      </c>
      <c r="V206" s="22">
        <v>5</v>
      </c>
      <c r="W206" s="22">
        <v>2</v>
      </c>
      <c r="X206" s="22">
        <v>2</v>
      </c>
      <c r="Y206" s="18"/>
      <c r="Z206" s="22">
        <v>5</v>
      </c>
      <c r="AA206" s="22">
        <v>1</v>
      </c>
      <c r="AB206" s="18" t="s">
        <v>221</v>
      </c>
      <c r="AC206" s="22">
        <v>14</v>
      </c>
      <c r="AD206" s="22">
        <v>99</v>
      </c>
      <c r="AE206" s="18" t="s">
        <v>221</v>
      </c>
      <c r="AF206" s="22">
        <v>99</v>
      </c>
      <c r="AG206" s="18"/>
      <c r="AH206" s="22">
        <v>99</v>
      </c>
      <c r="AI206" s="57"/>
      <c r="AJ206" s="18"/>
      <c r="AK206" s="22">
        <v>99</v>
      </c>
      <c r="AL206" s="22">
        <v>99</v>
      </c>
      <c r="AM206" s="22">
        <v>99</v>
      </c>
      <c r="AN206" s="22">
        <v>99</v>
      </c>
      <c r="AO206" s="22">
        <v>99</v>
      </c>
      <c r="AP206" s="22">
        <v>99</v>
      </c>
      <c r="AQ206" s="22" t="s">
        <v>2920</v>
      </c>
      <c r="AR206" s="2" t="s">
        <v>730</v>
      </c>
      <c r="AS206" s="22">
        <v>1</v>
      </c>
      <c r="AT206" s="22">
        <v>2</v>
      </c>
      <c r="AU206" s="22">
        <v>3</v>
      </c>
      <c r="AV206" s="22">
        <v>3</v>
      </c>
      <c r="AW206" s="22">
        <v>4</v>
      </c>
      <c r="AX206" s="37">
        <v>4</v>
      </c>
      <c r="AY206" s="22">
        <v>4</v>
      </c>
      <c r="AZ206" s="22">
        <v>2</v>
      </c>
      <c r="BA206" s="38">
        <v>99</v>
      </c>
      <c r="BB206" s="22">
        <v>99</v>
      </c>
      <c r="BC206" s="22">
        <v>99</v>
      </c>
      <c r="BD206" s="22">
        <v>99</v>
      </c>
      <c r="BE206" s="37">
        <v>99</v>
      </c>
      <c r="BF206" s="22">
        <v>1</v>
      </c>
      <c r="BG206" s="22">
        <v>0</v>
      </c>
      <c r="BH206" s="22">
        <v>1</v>
      </c>
      <c r="BI206" s="22">
        <v>999</v>
      </c>
      <c r="BJ206" s="22">
        <v>8</v>
      </c>
    </row>
    <row r="207" spans="1:62" ht="13">
      <c r="A207" s="22" t="s">
        <v>2921</v>
      </c>
      <c r="B207" s="22"/>
      <c r="C207" s="22"/>
      <c r="D207" s="22"/>
      <c r="E207" s="22">
        <v>2</v>
      </c>
      <c r="F207" s="22">
        <v>1</v>
      </c>
      <c r="G207" s="57"/>
      <c r="H207" s="57"/>
      <c r="I207" s="30">
        <v>1956</v>
      </c>
      <c r="J207" s="34">
        <f t="shared" si="0"/>
        <v>20423</v>
      </c>
      <c r="K207" s="11" t="s">
        <v>1208</v>
      </c>
      <c r="L207" s="25" t="s">
        <v>1205</v>
      </c>
      <c r="M207" s="30">
        <v>99</v>
      </c>
      <c r="N207" s="52"/>
      <c r="O207" s="52"/>
      <c r="P207" s="25" t="s">
        <v>1207</v>
      </c>
      <c r="Q207" s="25" t="s">
        <v>1230</v>
      </c>
      <c r="R207" s="105"/>
      <c r="S207" s="105"/>
      <c r="T207" s="22">
        <v>1</v>
      </c>
      <c r="U207" s="22">
        <v>1</v>
      </c>
      <c r="V207" s="22">
        <v>1</v>
      </c>
      <c r="W207" s="22">
        <v>2</v>
      </c>
      <c r="X207" s="22">
        <v>2</v>
      </c>
      <c r="Y207" s="18"/>
      <c r="Z207" s="22">
        <v>99</v>
      </c>
      <c r="AA207" s="22">
        <v>99</v>
      </c>
      <c r="AB207" s="18" t="s">
        <v>221</v>
      </c>
      <c r="AC207" s="22">
        <v>6</v>
      </c>
      <c r="AD207" s="22">
        <v>2</v>
      </c>
      <c r="AE207" s="18" t="s">
        <v>221</v>
      </c>
      <c r="AF207" s="22">
        <v>99</v>
      </c>
      <c r="AG207" s="18"/>
      <c r="AH207" s="22">
        <v>99</v>
      </c>
      <c r="AI207" s="57"/>
      <c r="AJ207" s="18"/>
      <c r="AK207" s="22">
        <v>99</v>
      </c>
      <c r="AL207" s="22">
        <v>99</v>
      </c>
      <c r="AM207" s="22">
        <v>99</v>
      </c>
      <c r="AN207" s="22">
        <v>99</v>
      </c>
      <c r="AO207" s="22">
        <v>99</v>
      </c>
      <c r="AP207" s="22">
        <v>99</v>
      </c>
      <c r="AQ207" s="18" t="s">
        <v>221</v>
      </c>
      <c r="AR207" s="18" t="s">
        <v>221</v>
      </c>
      <c r="AS207" s="18"/>
      <c r="AT207" s="18"/>
      <c r="AU207" s="22">
        <v>3</v>
      </c>
      <c r="AV207" s="22">
        <v>3</v>
      </c>
      <c r="AW207" s="22">
        <v>4</v>
      </c>
      <c r="AX207" s="37">
        <v>4</v>
      </c>
      <c r="AY207" s="22">
        <v>4</v>
      </c>
      <c r="AZ207" s="22">
        <v>2</v>
      </c>
      <c r="BA207" s="38">
        <v>99</v>
      </c>
      <c r="BB207" s="22">
        <v>99</v>
      </c>
      <c r="BC207" s="22">
        <v>99</v>
      </c>
      <c r="BD207" s="22">
        <v>99</v>
      </c>
      <c r="BE207" s="37">
        <v>99</v>
      </c>
      <c r="BF207" s="22">
        <v>0</v>
      </c>
      <c r="BG207" s="22">
        <v>0</v>
      </c>
      <c r="BH207" s="22">
        <v>0</v>
      </c>
      <c r="BI207" s="22">
        <v>999</v>
      </c>
      <c r="BJ207" s="22">
        <v>8</v>
      </c>
    </row>
    <row r="208" spans="1:62" ht="13">
      <c r="A208" s="22" t="s">
        <v>2922</v>
      </c>
      <c r="B208" s="22"/>
      <c r="C208" s="22"/>
      <c r="D208" s="22"/>
      <c r="E208" s="22">
        <v>1</v>
      </c>
      <c r="F208" s="22">
        <v>1</v>
      </c>
      <c r="G208" s="28">
        <v>3</v>
      </c>
      <c r="H208" s="28">
        <v>12</v>
      </c>
      <c r="I208" s="30">
        <v>1955</v>
      </c>
      <c r="J208" s="34">
        <f t="shared" si="0"/>
        <v>20426</v>
      </c>
      <c r="K208" s="39" t="s">
        <v>328</v>
      </c>
      <c r="L208" s="25" t="s">
        <v>1209</v>
      </c>
      <c r="M208" s="30">
        <v>1</v>
      </c>
      <c r="N208" s="17" t="s">
        <v>233</v>
      </c>
      <c r="O208" s="17"/>
      <c r="P208" s="25" t="s">
        <v>1210</v>
      </c>
      <c r="Q208" s="25" t="s">
        <v>1239</v>
      </c>
      <c r="R208" s="25">
        <v>31.768319000000002</v>
      </c>
      <c r="S208" s="25">
        <v>35.213709999999999</v>
      </c>
      <c r="T208" s="22">
        <v>2</v>
      </c>
      <c r="U208" s="22">
        <v>1</v>
      </c>
      <c r="V208" s="22">
        <v>3</v>
      </c>
      <c r="W208" s="22">
        <v>3</v>
      </c>
      <c r="X208" s="22">
        <v>2</v>
      </c>
      <c r="Y208" s="18"/>
      <c r="Z208" s="22">
        <v>99</v>
      </c>
      <c r="AA208" s="22">
        <v>1</v>
      </c>
      <c r="AB208" s="18" t="s">
        <v>221</v>
      </c>
      <c r="AC208" s="22">
        <v>6</v>
      </c>
      <c r="AD208" s="22">
        <v>2</v>
      </c>
      <c r="AE208" s="18" t="s">
        <v>221</v>
      </c>
      <c r="AF208" s="22">
        <v>99</v>
      </c>
      <c r="AG208" s="18"/>
      <c r="AH208" s="22">
        <v>99</v>
      </c>
      <c r="AI208" s="57"/>
      <c r="AJ208" s="18"/>
      <c r="AK208" s="22">
        <v>99</v>
      </c>
      <c r="AL208" s="22">
        <v>99</v>
      </c>
      <c r="AM208" s="22">
        <v>99</v>
      </c>
      <c r="AN208" s="22">
        <v>99</v>
      </c>
      <c r="AO208" s="22">
        <v>99</v>
      </c>
      <c r="AP208" s="22">
        <v>99</v>
      </c>
      <c r="AQ208" s="18" t="s">
        <v>221</v>
      </c>
      <c r="AR208" s="18" t="s">
        <v>221</v>
      </c>
      <c r="AS208" s="22">
        <v>99</v>
      </c>
      <c r="AT208" s="22">
        <v>2</v>
      </c>
      <c r="AU208" s="22">
        <v>3</v>
      </c>
      <c r="AV208" s="22">
        <v>3</v>
      </c>
      <c r="AW208" s="22">
        <v>4</v>
      </c>
      <c r="AX208" s="37">
        <v>4</v>
      </c>
      <c r="AY208" s="22">
        <v>4</v>
      </c>
      <c r="AZ208" s="22">
        <v>2</v>
      </c>
      <c r="BA208" s="38">
        <v>99</v>
      </c>
      <c r="BB208" s="22">
        <v>99</v>
      </c>
      <c r="BC208" s="22">
        <v>99</v>
      </c>
      <c r="BD208" s="22">
        <v>99</v>
      </c>
      <c r="BE208" s="37">
        <v>99</v>
      </c>
      <c r="BF208" s="22">
        <v>1</v>
      </c>
      <c r="BG208" s="22">
        <v>0</v>
      </c>
      <c r="BH208" s="22">
        <v>1</v>
      </c>
      <c r="BI208" s="22">
        <v>999</v>
      </c>
      <c r="BJ208" s="22">
        <v>8</v>
      </c>
    </row>
    <row r="209" spans="1:62" ht="13">
      <c r="A209" s="22" t="s">
        <v>2923</v>
      </c>
      <c r="B209" s="22"/>
      <c r="C209" s="22"/>
      <c r="D209" s="22"/>
      <c r="E209" s="22">
        <v>1</v>
      </c>
      <c r="F209" s="22">
        <v>1</v>
      </c>
      <c r="G209" s="28">
        <v>6</v>
      </c>
      <c r="H209" s="28">
        <v>12</v>
      </c>
      <c r="I209" s="30">
        <v>1955</v>
      </c>
      <c r="J209" s="34">
        <f t="shared" si="0"/>
        <v>20429</v>
      </c>
      <c r="K209" s="39" t="s">
        <v>328</v>
      </c>
      <c r="L209" s="25" t="s">
        <v>1211</v>
      </c>
      <c r="M209" s="30">
        <v>99</v>
      </c>
      <c r="N209" s="52"/>
      <c r="O209" s="52"/>
      <c r="P209" s="25" t="s">
        <v>1212</v>
      </c>
      <c r="Q209" s="25" t="s">
        <v>1242</v>
      </c>
      <c r="R209" s="25">
        <v>32.173869000000003</v>
      </c>
      <c r="S209" s="25">
        <v>35.308028999999998</v>
      </c>
      <c r="T209" s="22">
        <v>1</v>
      </c>
      <c r="U209" s="22">
        <v>1</v>
      </c>
      <c r="V209" s="18"/>
      <c r="W209" s="18"/>
      <c r="X209" s="22">
        <v>2</v>
      </c>
      <c r="Y209" s="18"/>
      <c r="Z209" s="22">
        <v>99</v>
      </c>
      <c r="AA209" s="22">
        <v>1</v>
      </c>
      <c r="AB209" s="22" t="s">
        <v>2925</v>
      </c>
      <c r="AC209" s="22">
        <v>99</v>
      </c>
      <c r="AD209" s="22">
        <v>2</v>
      </c>
      <c r="AE209" s="18" t="s">
        <v>221</v>
      </c>
      <c r="AF209" s="22">
        <v>99</v>
      </c>
      <c r="AG209" s="18"/>
      <c r="AH209" s="22">
        <v>99</v>
      </c>
      <c r="AI209" s="57"/>
      <c r="AJ209" s="18"/>
      <c r="AK209" s="22">
        <v>99</v>
      </c>
      <c r="AL209" s="22">
        <v>99</v>
      </c>
      <c r="AM209" s="22">
        <v>99</v>
      </c>
      <c r="AN209" s="22">
        <v>99</v>
      </c>
      <c r="AO209" s="22">
        <v>99</v>
      </c>
      <c r="AP209" s="22">
        <v>99</v>
      </c>
      <c r="AQ209" s="22" t="s">
        <v>2926</v>
      </c>
      <c r="AR209" s="18" t="s">
        <v>221</v>
      </c>
      <c r="AS209" s="22">
        <v>99</v>
      </c>
      <c r="AT209" s="22">
        <v>4</v>
      </c>
      <c r="AU209" s="22">
        <v>3</v>
      </c>
      <c r="AV209" s="22">
        <v>3</v>
      </c>
      <c r="AW209" s="22">
        <v>4</v>
      </c>
      <c r="AX209" s="37">
        <v>4</v>
      </c>
      <c r="AY209" s="22">
        <v>4</v>
      </c>
      <c r="AZ209" s="22">
        <v>2</v>
      </c>
      <c r="BA209" s="38">
        <v>99</v>
      </c>
      <c r="BB209" s="22">
        <v>99</v>
      </c>
      <c r="BC209" s="22">
        <v>99</v>
      </c>
      <c r="BD209" s="22">
        <v>99</v>
      </c>
      <c r="BE209" s="37">
        <v>99</v>
      </c>
      <c r="BF209" s="22">
        <v>5</v>
      </c>
      <c r="BG209" s="22">
        <v>0</v>
      </c>
      <c r="BH209" s="22">
        <v>5</v>
      </c>
      <c r="BI209" s="22">
        <v>40</v>
      </c>
      <c r="BJ209" s="22">
        <v>7</v>
      </c>
    </row>
    <row r="210" spans="1:62" ht="13">
      <c r="A210" s="22" t="s">
        <v>2927</v>
      </c>
      <c r="B210" s="22"/>
      <c r="C210" s="22"/>
      <c r="D210" s="22"/>
      <c r="E210" s="22">
        <v>2</v>
      </c>
      <c r="F210" s="22">
        <v>1</v>
      </c>
      <c r="G210" s="28">
        <v>13</v>
      </c>
      <c r="H210" s="28">
        <v>12</v>
      </c>
      <c r="I210" s="30">
        <v>1955</v>
      </c>
      <c r="J210" s="34">
        <f t="shared" si="0"/>
        <v>20436</v>
      </c>
      <c r="K210" s="39" t="s">
        <v>614</v>
      </c>
      <c r="L210" s="25" t="s">
        <v>1216</v>
      </c>
      <c r="M210" s="30">
        <v>99</v>
      </c>
      <c r="N210" s="52"/>
      <c r="O210" s="52"/>
      <c r="P210" s="25" t="s">
        <v>1217</v>
      </c>
      <c r="Q210" s="25" t="s">
        <v>1251</v>
      </c>
      <c r="R210" s="25">
        <v>32.184632000000001</v>
      </c>
      <c r="S210" s="25">
        <v>35.016089000000001</v>
      </c>
      <c r="T210" s="22">
        <v>1</v>
      </c>
      <c r="U210" s="22">
        <v>1</v>
      </c>
      <c r="V210" s="22">
        <v>1</v>
      </c>
      <c r="W210" s="18"/>
      <c r="X210" s="22">
        <v>2</v>
      </c>
      <c r="Y210" s="18"/>
      <c r="Z210" s="22">
        <v>5</v>
      </c>
      <c r="AA210" s="22">
        <v>1</v>
      </c>
      <c r="AB210" s="18" t="s">
        <v>221</v>
      </c>
      <c r="AC210" s="22">
        <v>99</v>
      </c>
      <c r="AD210" s="22">
        <v>2</v>
      </c>
      <c r="AE210" s="18" t="s">
        <v>221</v>
      </c>
      <c r="AF210" s="22">
        <v>99</v>
      </c>
      <c r="AG210" s="18"/>
      <c r="AH210" s="22">
        <v>99</v>
      </c>
      <c r="AI210" s="57"/>
      <c r="AJ210" s="18"/>
      <c r="AK210" s="22">
        <v>99</v>
      </c>
      <c r="AL210" s="22">
        <v>99</v>
      </c>
      <c r="AM210" s="22">
        <v>99</v>
      </c>
      <c r="AN210" s="22">
        <v>99</v>
      </c>
      <c r="AO210" s="22">
        <v>99</v>
      </c>
      <c r="AP210" s="22">
        <v>99</v>
      </c>
      <c r="AQ210" s="18" t="s">
        <v>221</v>
      </c>
      <c r="AR210" s="18" t="s">
        <v>221</v>
      </c>
      <c r="AS210" s="18"/>
      <c r="AT210" s="18"/>
      <c r="AU210" s="22">
        <v>3</v>
      </c>
      <c r="AV210" s="22">
        <v>3</v>
      </c>
      <c r="AW210" s="22">
        <v>4</v>
      </c>
      <c r="AX210" s="37">
        <v>4</v>
      </c>
      <c r="AY210" s="22">
        <v>4</v>
      </c>
      <c r="AZ210" s="22">
        <v>2</v>
      </c>
      <c r="BA210" s="38">
        <v>99</v>
      </c>
      <c r="BB210" s="22">
        <v>99</v>
      </c>
      <c r="BC210" s="22">
        <v>99</v>
      </c>
      <c r="BD210" s="22">
        <v>99</v>
      </c>
      <c r="BE210" s="37">
        <v>99</v>
      </c>
      <c r="BF210" s="22">
        <v>0</v>
      </c>
      <c r="BG210" s="22">
        <v>0</v>
      </c>
      <c r="BH210" s="22">
        <v>0</v>
      </c>
      <c r="BI210" s="22">
        <v>999</v>
      </c>
      <c r="BJ210" s="22">
        <v>8</v>
      </c>
    </row>
    <row r="211" spans="1:62" ht="13">
      <c r="A211" s="22" t="s">
        <v>2928</v>
      </c>
      <c r="B211" s="22"/>
      <c r="C211" s="22"/>
      <c r="D211" s="22"/>
      <c r="E211" s="22">
        <v>3</v>
      </c>
      <c r="F211" s="22">
        <v>1</v>
      </c>
      <c r="G211" s="28">
        <v>14</v>
      </c>
      <c r="H211" s="28">
        <v>12</v>
      </c>
      <c r="I211" s="30">
        <v>1955</v>
      </c>
      <c r="J211" s="34">
        <f t="shared" si="0"/>
        <v>20437</v>
      </c>
      <c r="K211" s="39" t="s">
        <v>1738</v>
      </c>
      <c r="L211" s="25" t="s">
        <v>1219</v>
      </c>
      <c r="M211" s="30">
        <v>1</v>
      </c>
      <c r="N211" s="17" t="s">
        <v>233</v>
      </c>
      <c r="O211" s="17"/>
      <c r="P211" s="25" t="s">
        <v>1220</v>
      </c>
      <c r="Q211" s="25" t="s">
        <v>1253</v>
      </c>
      <c r="R211" s="105"/>
      <c r="S211" s="105"/>
      <c r="T211" s="22">
        <v>2</v>
      </c>
      <c r="U211" s="22">
        <v>1</v>
      </c>
      <c r="V211" s="22">
        <v>2</v>
      </c>
      <c r="W211" s="22">
        <v>3</v>
      </c>
      <c r="X211" s="22">
        <v>2</v>
      </c>
      <c r="Y211" s="18"/>
      <c r="Z211" s="18"/>
      <c r="AA211" s="18"/>
      <c r="AB211" s="18" t="s">
        <v>221</v>
      </c>
      <c r="AC211" s="18"/>
      <c r="AD211" s="18"/>
      <c r="AE211" s="18" t="s">
        <v>221</v>
      </c>
      <c r="AF211" s="22">
        <v>99</v>
      </c>
      <c r="AG211" s="18"/>
      <c r="AH211" s="22">
        <v>99</v>
      </c>
      <c r="AI211" s="57"/>
      <c r="AJ211" s="18"/>
      <c r="AK211" s="22">
        <v>99</v>
      </c>
      <c r="AL211" s="22">
        <v>99</v>
      </c>
      <c r="AM211" s="22">
        <v>99</v>
      </c>
      <c r="AN211" s="22">
        <v>99</v>
      </c>
      <c r="AO211" s="22">
        <v>99</v>
      </c>
      <c r="AP211" s="22">
        <v>99</v>
      </c>
      <c r="AQ211" s="18" t="s">
        <v>221</v>
      </c>
      <c r="AR211" s="18" t="s">
        <v>221</v>
      </c>
      <c r="AS211" s="18"/>
      <c r="AT211" s="18"/>
      <c r="AU211" s="18"/>
      <c r="AV211" s="18"/>
      <c r="AW211" s="18"/>
      <c r="AX211" s="89"/>
      <c r="AY211" s="18"/>
      <c r="AZ211" s="18"/>
      <c r="BA211" s="88"/>
      <c r="BB211" s="18"/>
      <c r="BC211" s="18"/>
      <c r="BD211" s="18"/>
      <c r="BE211" s="89"/>
      <c r="BF211" s="18"/>
      <c r="BG211" s="18"/>
      <c r="BH211" s="18"/>
      <c r="BI211" s="18"/>
      <c r="BJ211" s="18"/>
    </row>
    <row r="212" spans="1:62" ht="13">
      <c r="A212" s="22" t="s">
        <v>2933</v>
      </c>
      <c r="B212" s="22"/>
      <c r="C212" s="22"/>
      <c r="D212" s="22"/>
      <c r="E212" s="22">
        <v>3</v>
      </c>
      <c r="F212" s="22">
        <v>1</v>
      </c>
      <c r="G212" s="28">
        <v>30</v>
      </c>
      <c r="H212" s="28">
        <v>12</v>
      </c>
      <c r="I212" s="30">
        <v>1955</v>
      </c>
      <c r="J212" s="34">
        <f t="shared" si="0"/>
        <v>20453</v>
      </c>
      <c r="K212" s="11" t="s">
        <v>1696</v>
      </c>
      <c r="L212" s="25" t="s">
        <v>1224</v>
      </c>
      <c r="M212" s="30">
        <v>7</v>
      </c>
      <c r="N212" s="17" t="s">
        <v>447</v>
      </c>
      <c r="O212" s="17"/>
      <c r="P212" s="18"/>
      <c r="Q212" s="41" t="s">
        <v>582</v>
      </c>
      <c r="R212" s="124"/>
      <c r="S212" s="124"/>
      <c r="T212" s="22">
        <v>1</v>
      </c>
      <c r="U212" s="22">
        <v>2</v>
      </c>
      <c r="V212" s="22">
        <v>1</v>
      </c>
      <c r="W212" s="22">
        <v>2</v>
      </c>
      <c r="X212" s="22">
        <v>11</v>
      </c>
      <c r="Y212" s="18"/>
      <c r="Z212" s="18"/>
      <c r="AA212" s="18"/>
      <c r="AB212" s="18" t="s">
        <v>221</v>
      </c>
      <c r="AC212" s="18"/>
      <c r="AD212" s="18"/>
      <c r="AE212" s="18" t="s">
        <v>221</v>
      </c>
      <c r="AF212" s="22">
        <v>99</v>
      </c>
      <c r="AG212" s="18"/>
      <c r="AH212" s="22">
        <v>99</v>
      </c>
      <c r="AI212" s="57"/>
      <c r="AJ212" s="18"/>
      <c r="AK212" s="22">
        <v>99</v>
      </c>
      <c r="AL212" s="22">
        <v>99</v>
      </c>
      <c r="AM212" s="22">
        <v>99</v>
      </c>
      <c r="AN212" s="22">
        <v>99</v>
      </c>
      <c r="AO212" s="22">
        <v>99</v>
      </c>
      <c r="AP212" s="22">
        <v>99</v>
      </c>
      <c r="AQ212" s="18" t="s">
        <v>221</v>
      </c>
      <c r="AR212" s="18" t="s">
        <v>221</v>
      </c>
      <c r="AS212" s="18"/>
      <c r="AT212" s="18"/>
      <c r="AU212" s="18"/>
      <c r="AV212" s="18"/>
      <c r="AW212" s="18"/>
      <c r="AX212" s="89"/>
      <c r="AY212" s="18"/>
      <c r="AZ212" s="18"/>
      <c r="BA212" s="88"/>
      <c r="BB212" s="18"/>
      <c r="BC212" s="18"/>
      <c r="BD212" s="18"/>
      <c r="BE212" s="89"/>
      <c r="BF212" s="18"/>
      <c r="BG212" s="18"/>
      <c r="BH212" s="18"/>
      <c r="BI212" s="18"/>
      <c r="BJ212" s="18"/>
    </row>
    <row r="213" spans="1:62" ht="13">
      <c r="A213" s="22" t="s">
        <v>2934</v>
      </c>
      <c r="B213" s="22"/>
      <c r="C213" s="22"/>
      <c r="D213" s="22"/>
      <c r="E213" s="22">
        <v>1</v>
      </c>
      <c r="F213" s="22">
        <v>1</v>
      </c>
      <c r="G213" s="28">
        <v>14</v>
      </c>
      <c r="H213" s="28">
        <v>1</v>
      </c>
      <c r="I213" s="30">
        <v>1956</v>
      </c>
      <c r="J213" s="34">
        <f t="shared" si="0"/>
        <v>20468</v>
      </c>
      <c r="K213" s="11" t="s">
        <v>1537</v>
      </c>
      <c r="L213" s="25" t="s">
        <v>1226</v>
      </c>
      <c r="M213" s="30">
        <v>6</v>
      </c>
      <c r="N213" s="17" t="s">
        <v>1097</v>
      </c>
      <c r="O213" s="17"/>
      <c r="P213" s="18"/>
      <c r="Q213" s="41" t="s">
        <v>582</v>
      </c>
      <c r="R213" s="124"/>
      <c r="S213" s="124"/>
      <c r="T213" s="22">
        <v>1</v>
      </c>
      <c r="U213" s="22">
        <v>2</v>
      </c>
      <c r="V213" s="22">
        <v>5</v>
      </c>
      <c r="W213" s="22">
        <v>3</v>
      </c>
      <c r="X213" s="22">
        <v>2</v>
      </c>
      <c r="Y213" s="18"/>
      <c r="Z213" s="18"/>
      <c r="AA213" s="18"/>
      <c r="AB213" s="18" t="s">
        <v>221</v>
      </c>
      <c r="AC213" s="18"/>
      <c r="AD213" s="18"/>
      <c r="AE213" s="18" t="s">
        <v>221</v>
      </c>
      <c r="AF213" s="22">
        <v>99</v>
      </c>
      <c r="AG213" s="18"/>
      <c r="AH213" s="22">
        <v>99</v>
      </c>
      <c r="AI213" s="57"/>
      <c r="AJ213" s="18"/>
      <c r="AK213" s="22">
        <v>99</v>
      </c>
      <c r="AL213" s="22">
        <v>99</v>
      </c>
      <c r="AM213" s="22">
        <v>99</v>
      </c>
      <c r="AN213" s="22">
        <v>99</v>
      </c>
      <c r="AO213" s="22">
        <v>99</v>
      </c>
      <c r="AP213" s="22">
        <v>99</v>
      </c>
      <c r="AQ213" s="18" t="s">
        <v>221</v>
      </c>
      <c r="AR213" s="18" t="s">
        <v>221</v>
      </c>
      <c r="AS213" s="18"/>
      <c r="AT213" s="18"/>
      <c r="AU213" s="18"/>
      <c r="AV213" s="18"/>
      <c r="AW213" s="18"/>
      <c r="AX213" s="89"/>
      <c r="AY213" s="18"/>
      <c r="AZ213" s="18"/>
      <c r="BA213" s="88"/>
      <c r="BB213" s="18"/>
      <c r="BC213" s="18"/>
      <c r="BD213" s="18"/>
      <c r="BE213" s="89"/>
      <c r="BF213" s="18"/>
      <c r="BG213" s="18"/>
      <c r="BH213" s="18"/>
      <c r="BI213" s="18"/>
      <c r="BJ213" s="18"/>
    </row>
    <row r="214" spans="1:62" ht="13">
      <c r="A214" s="22" t="s">
        <v>2940</v>
      </c>
      <c r="B214" s="22"/>
      <c r="C214" s="22"/>
      <c r="D214" s="22"/>
      <c r="E214" s="22">
        <v>1</v>
      </c>
      <c r="F214" s="22">
        <v>1</v>
      </c>
      <c r="G214" s="28">
        <v>27</v>
      </c>
      <c r="H214" s="28">
        <v>1</v>
      </c>
      <c r="I214" s="30">
        <v>1956</v>
      </c>
      <c r="J214" s="34">
        <f t="shared" si="0"/>
        <v>20481</v>
      </c>
      <c r="K214" s="39" t="s">
        <v>614</v>
      </c>
      <c r="L214" s="25" t="s">
        <v>1228</v>
      </c>
      <c r="M214" s="30">
        <v>6</v>
      </c>
      <c r="N214" s="17" t="s">
        <v>1097</v>
      </c>
      <c r="O214" s="17"/>
      <c r="P214" s="18"/>
      <c r="Q214" s="41" t="s">
        <v>582</v>
      </c>
      <c r="R214" s="124"/>
      <c r="S214" s="124"/>
      <c r="T214" s="22">
        <v>1</v>
      </c>
      <c r="U214" s="22">
        <v>2</v>
      </c>
      <c r="V214" s="18"/>
      <c r="W214" s="22">
        <v>2</v>
      </c>
      <c r="X214" s="22">
        <v>2</v>
      </c>
      <c r="Y214" s="18"/>
      <c r="Z214" s="22">
        <v>1</v>
      </c>
      <c r="AA214" s="22">
        <v>99</v>
      </c>
      <c r="AB214" s="18" t="s">
        <v>221</v>
      </c>
      <c r="AC214" s="22">
        <v>6</v>
      </c>
      <c r="AD214" s="22">
        <v>2</v>
      </c>
      <c r="AE214" s="18" t="s">
        <v>221</v>
      </c>
      <c r="AF214" s="22">
        <v>99</v>
      </c>
      <c r="AG214" s="18"/>
      <c r="AH214" s="22">
        <v>99</v>
      </c>
      <c r="AI214" s="57"/>
      <c r="AJ214" s="18"/>
      <c r="AK214" s="22">
        <v>99</v>
      </c>
      <c r="AL214" s="22">
        <v>99</v>
      </c>
      <c r="AM214" s="22">
        <v>3</v>
      </c>
      <c r="AN214" s="22">
        <v>99</v>
      </c>
      <c r="AO214" s="22">
        <v>99</v>
      </c>
      <c r="AP214" s="22">
        <v>99</v>
      </c>
      <c r="AQ214" s="22" t="s">
        <v>2941</v>
      </c>
      <c r="AR214" s="2" t="s">
        <v>1554</v>
      </c>
      <c r="AS214" s="22">
        <v>4</v>
      </c>
      <c r="AT214" s="22">
        <v>6</v>
      </c>
      <c r="AU214" s="22">
        <v>3</v>
      </c>
      <c r="AV214" s="22">
        <v>3</v>
      </c>
      <c r="AW214" s="22">
        <v>4</v>
      </c>
      <c r="AX214" s="37">
        <v>4</v>
      </c>
      <c r="AY214" s="22">
        <v>4</v>
      </c>
      <c r="AZ214" s="22">
        <v>2</v>
      </c>
      <c r="BA214" s="38">
        <v>99</v>
      </c>
      <c r="BB214" s="22">
        <v>99</v>
      </c>
      <c r="BC214" s="22">
        <v>99</v>
      </c>
      <c r="BD214" s="22">
        <v>99</v>
      </c>
      <c r="BE214" s="37">
        <v>99</v>
      </c>
      <c r="BF214" s="22">
        <v>1</v>
      </c>
      <c r="BG214" s="22">
        <v>2</v>
      </c>
      <c r="BH214" s="22">
        <v>3</v>
      </c>
      <c r="BI214" s="22">
        <v>6</v>
      </c>
      <c r="BJ214" s="22">
        <v>8</v>
      </c>
    </row>
    <row r="215" spans="1:62" ht="13">
      <c r="A215" s="22" t="s">
        <v>2944</v>
      </c>
      <c r="B215" s="22"/>
      <c r="C215" s="22"/>
      <c r="D215" s="22"/>
      <c r="E215" s="22">
        <v>3</v>
      </c>
      <c r="F215" s="22">
        <v>1</v>
      </c>
      <c r="G215" s="28">
        <v>22</v>
      </c>
      <c r="H215" s="28">
        <v>2</v>
      </c>
      <c r="I215" s="30">
        <v>1956</v>
      </c>
      <c r="J215" s="34">
        <f t="shared" si="0"/>
        <v>20507</v>
      </c>
      <c r="K215" s="11" t="s">
        <v>2948</v>
      </c>
      <c r="L215" s="25" t="s">
        <v>1229</v>
      </c>
      <c r="M215" s="30">
        <v>1</v>
      </c>
      <c r="N215" s="17" t="s">
        <v>233</v>
      </c>
      <c r="O215" s="17"/>
      <c r="P215" s="25" t="s">
        <v>1231</v>
      </c>
      <c r="Q215" s="25" t="s">
        <v>1260</v>
      </c>
      <c r="R215" s="25">
        <v>32.422891</v>
      </c>
      <c r="S215" s="25">
        <v>35.035764</v>
      </c>
      <c r="T215" s="22">
        <v>2</v>
      </c>
      <c r="U215" s="22">
        <v>1</v>
      </c>
      <c r="V215" s="22">
        <v>5</v>
      </c>
      <c r="W215" s="22">
        <v>3</v>
      </c>
      <c r="X215" s="22">
        <v>2</v>
      </c>
      <c r="Y215" s="18"/>
      <c r="Z215" s="22">
        <v>99</v>
      </c>
      <c r="AA215" s="22">
        <v>99</v>
      </c>
      <c r="AB215" s="18" t="s">
        <v>221</v>
      </c>
      <c r="AC215" s="22">
        <v>6</v>
      </c>
      <c r="AD215" s="22">
        <v>2</v>
      </c>
      <c r="AE215" s="18" t="s">
        <v>221</v>
      </c>
      <c r="AF215" s="22">
        <v>99</v>
      </c>
      <c r="AG215" s="18"/>
      <c r="AH215" s="22">
        <v>99</v>
      </c>
      <c r="AI215" s="57"/>
      <c r="AJ215" s="18"/>
      <c r="AK215" s="22">
        <v>99</v>
      </c>
      <c r="AL215" s="22">
        <v>99</v>
      </c>
      <c r="AM215" s="22">
        <v>99</v>
      </c>
      <c r="AN215" s="22">
        <v>99</v>
      </c>
      <c r="AO215" s="22">
        <v>99</v>
      </c>
      <c r="AP215" s="22">
        <v>99</v>
      </c>
      <c r="AQ215" s="18" t="s">
        <v>221</v>
      </c>
      <c r="AR215" s="18" t="s">
        <v>221</v>
      </c>
      <c r="AS215" s="18"/>
      <c r="AT215" s="18"/>
      <c r="AU215" s="22">
        <v>3</v>
      </c>
      <c r="AV215" s="22">
        <v>3</v>
      </c>
      <c r="AW215" s="22">
        <v>4</v>
      </c>
      <c r="AX215" s="37">
        <v>4</v>
      </c>
      <c r="AY215" s="22">
        <v>4</v>
      </c>
      <c r="AZ215" s="22">
        <v>2</v>
      </c>
      <c r="BA215" s="38">
        <v>99</v>
      </c>
      <c r="BB215" s="22">
        <v>99</v>
      </c>
      <c r="BC215" s="22">
        <v>99</v>
      </c>
      <c r="BD215" s="22">
        <v>99</v>
      </c>
      <c r="BE215" s="37">
        <v>99</v>
      </c>
      <c r="BF215" s="22">
        <v>999</v>
      </c>
      <c r="BG215" s="22">
        <v>999</v>
      </c>
      <c r="BH215" s="22">
        <v>999</v>
      </c>
      <c r="BI215" s="22">
        <v>999</v>
      </c>
      <c r="BJ215" s="22">
        <v>8</v>
      </c>
    </row>
    <row r="216" spans="1:62" ht="13">
      <c r="A216" s="22" t="s">
        <v>2949</v>
      </c>
      <c r="B216" s="18"/>
      <c r="C216" s="18"/>
      <c r="D216" s="18"/>
      <c r="E216" s="18"/>
      <c r="F216" s="18"/>
      <c r="G216" s="28">
        <v>23</v>
      </c>
      <c r="H216" s="28">
        <v>2</v>
      </c>
      <c r="I216" s="30">
        <v>1956</v>
      </c>
      <c r="J216" s="34">
        <f t="shared" si="0"/>
        <v>20508</v>
      </c>
      <c r="K216" s="11" t="s">
        <v>1619</v>
      </c>
      <c r="L216" s="25" t="s">
        <v>1232</v>
      </c>
      <c r="M216" s="30">
        <v>1</v>
      </c>
      <c r="N216" s="17" t="s">
        <v>233</v>
      </c>
      <c r="O216" s="17"/>
      <c r="P216" s="25" t="s">
        <v>1233</v>
      </c>
      <c r="Q216" s="25" t="s">
        <v>1264</v>
      </c>
      <c r="R216" s="25">
        <v>31.748857999999998</v>
      </c>
      <c r="S216" s="25">
        <v>35.007260000000002</v>
      </c>
      <c r="T216" s="22">
        <v>2</v>
      </c>
      <c r="U216" s="22">
        <v>1</v>
      </c>
      <c r="V216" s="22">
        <v>5</v>
      </c>
      <c r="W216" s="22">
        <v>3</v>
      </c>
      <c r="X216" s="22">
        <v>2</v>
      </c>
      <c r="Y216" s="18"/>
      <c r="Z216" s="22">
        <v>99</v>
      </c>
      <c r="AA216" s="22">
        <v>99</v>
      </c>
      <c r="AB216" s="22" t="s">
        <v>2950</v>
      </c>
      <c r="AC216" s="22">
        <v>6</v>
      </c>
      <c r="AD216" s="22">
        <v>2</v>
      </c>
      <c r="AE216" s="18" t="s">
        <v>221</v>
      </c>
      <c r="AF216" s="22">
        <v>99</v>
      </c>
      <c r="AG216" s="18"/>
      <c r="AH216" s="22">
        <v>99</v>
      </c>
      <c r="AI216" s="57"/>
      <c r="AJ216" s="18"/>
      <c r="AK216" s="22">
        <v>99</v>
      </c>
      <c r="AL216" s="22">
        <v>99</v>
      </c>
      <c r="AM216" s="22">
        <v>99</v>
      </c>
      <c r="AN216" s="22">
        <v>99</v>
      </c>
      <c r="AO216" s="22">
        <v>99</v>
      </c>
      <c r="AP216" s="22">
        <v>99</v>
      </c>
      <c r="AQ216" s="18" t="s">
        <v>221</v>
      </c>
      <c r="AR216" s="18" t="s">
        <v>221</v>
      </c>
      <c r="AS216" s="18"/>
      <c r="AT216" s="18"/>
      <c r="AU216" s="22">
        <v>3</v>
      </c>
      <c r="AV216" s="22">
        <v>3</v>
      </c>
      <c r="AW216" s="22">
        <v>4</v>
      </c>
      <c r="AX216" s="37">
        <v>4</v>
      </c>
      <c r="AY216" s="22">
        <v>4</v>
      </c>
      <c r="AZ216" s="22">
        <v>2</v>
      </c>
      <c r="BA216" s="38">
        <v>99</v>
      </c>
      <c r="BB216" s="22">
        <v>99</v>
      </c>
      <c r="BC216" s="22">
        <v>99</v>
      </c>
      <c r="BD216" s="22">
        <v>99</v>
      </c>
      <c r="BE216" s="37">
        <v>99</v>
      </c>
      <c r="BF216" s="22">
        <v>999</v>
      </c>
      <c r="BG216" s="22">
        <v>999</v>
      </c>
      <c r="BH216" s="22">
        <v>999</v>
      </c>
      <c r="BI216" s="22">
        <v>999</v>
      </c>
      <c r="BJ216" s="22">
        <v>8</v>
      </c>
    </row>
    <row r="217" spans="1:62" ht="13">
      <c r="A217" s="22" t="s">
        <v>2951</v>
      </c>
      <c r="B217" s="22"/>
      <c r="C217" s="22"/>
      <c r="D217" s="22"/>
      <c r="E217" s="22">
        <v>3</v>
      </c>
      <c r="F217" s="22">
        <v>1</v>
      </c>
      <c r="G217" s="28">
        <v>23</v>
      </c>
      <c r="H217" s="28">
        <v>2</v>
      </c>
      <c r="I217" s="30">
        <v>1956</v>
      </c>
      <c r="J217" s="34">
        <f t="shared" si="0"/>
        <v>20508</v>
      </c>
      <c r="K217" s="11" t="s">
        <v>1395</v>
      </c>
      <c r="L217" s="25" t="s">
        <v>1234</v>
      </c>
      <c r="M217" s="30">
        <v>99</v>
      </c>
      <c r="N217" s="52"/>
      <c r="O217" s="52"/>
      <c r="P217" s="25" t="s">
        <v>1235</v>
      </c>
      <c r="Q217" s="25" t="s">
        <v>1265</v>
      </c>
      <c r="R217" s="25">
        <v>31.768319000000002</v>
      </c>
      <c r="S217" s="25">
        <v>35.213709999999999</v>
      </c>
      <c r="T217" s="22">
        <v>1</v>
      </c>
      <c r="U217" s="22">
        <v>1</v>
      </c>
      <c r="V217" s="22">
        <v>1</v>
      </c>
      <c r="W217" s="18"/>
      <c r="X217" s="22">
        <v>2</v>
      </c>
      <c r="Y217" s="18"/>
      <c r="Z217" s="22">
        <v>99</v>
      </c>
      <c r="AA217" s="22">
        <v>99</v>
      </c>
      <c r="AB217" s="2" t="s">
        <v>1723</v>
      </c>
      <c r="AC217" s="22">
        <v>3</v>
      </c>
      <c r="AD217" s="22">
        <v>2</v>
      </c>
      <c r="AE217" s="18" t="s">
        <v>221</v>
      </c>
      <c r="AF217" s="22">
        <v>99</v>
      </c>
      <c r="AG217" s="18"/>
      <c r="AH217" s="22">
        <v>99</v>
      </c>
      <c r="AI217" s="57"/>
      <c r="AJ217" s="18"/>
      <c r="AK217" s="22">
        <v>99</v>
      </c>
      <c r="AL217" s="22">
        <v>99</v>
      </c>
      <c r="AM217" s="22">
        <v>99</v>
      </c>
      <c r="AN217" s="22">
        <v>99</v>
      </c>
      <c r="AO217" s="22">
        <v>99</v>
      </c>
      <c r="AP217" s="22">
        <v>99</v>
      </c>
      <c r="AQ217" s="18" t="s">
        <v>221</v>
      </c>
      <c r="AR217" s="18" t="s">
        <v>221</v>
      </c>
      <c r="AS217" s="18"/>
      <c r="AT217" s="18"/>
      <c r="AU217" s="22">
        <v>3</v>
      </c>
      <c r="AV217" s="22">
        <v>3</v>
      </c>
      <c r="AW217" s="22">
        <v>4</v>
      </c>
      <c r="AX217" s="37">
        <v>4</v>
      </c>
      <c r="AY217" s="22">
        <v>4</v>
      </c>
      <c r="AZ217" s="22">
        <v>2</v>
      </c>
      <c r="BA217" s="38">
        <v>99</v>
      </c>
      <c r="BB217" s="22">
        <v>99</v>
      </c>
      <c r="BC217" s="22">
        <v>99</v>
      </c>
      <c r="BD217" s="22">
        <v>99</v>
      </c>
      <c r="BE217" s="37">
        <v>99</v>
      </c>
      <c r="BF217" s="22">
        <v>999</v>
      </c>
      <c r="BG217" s="22">
        <v>999</v>
      </c>
      <c r="BH217" s="22">
        <v>999</v>
      </c>
      <c r="BI217" s="22">
        <v>999</v>
      </c>
      <c r="BJ217" s="22">
        <v>9</v>
      </c>
    </row>
    <row r="218" spans="1:62" ht="13">
      <c r="A218" s="22" t="s">
        <v>2952</v>
      </c>
      <c r="B218" s="18"/>
      <c r="C218" s="18"/>
      <c r="D218" s="18"/>
      <c r="E218" s="18"/>
      <c r="F218" s="18"/>
      <c r="G218" s="28">
        <v>24</v>
      </c>
      <c r="H218" s="28">
        <v>2</v>
      </c>
      <c r="I218" s="30">
        <v>1956</v>
      </c>
      <c r="J218" s="34">
        <f t="shared" si="0"/>
        <v>20509</v>
      </c>
      <c r="K218" s="11" t="s">
        <v>1255</v>
      </c>
      <c r="L218" s="25" t="s">
        <v>1237</v>
      </c>
      <c r="M218" s="30">
        <v>1</v>
      </c>
      <c r="N218" s="17" t="s">
        <v>233</v>
      </c>
      <c r="O218" s="17"/>
      <c r="P218" s="25" t="s">
        <v>1238</v>
      </c>
      <c r="Q218" s="25" t="s">
        <v>1267</v>
      </c>
      <c r="R218" s="105"/>
      <c r="S218" s="105"/>
      <c r="T218" s="22">
        <v>2</v>
      </c>
      <c r="U218" s="22">
        <v>1</v>
      </c>
      <c r="V218" s="22">
        <v>2</v>
      </c>
      <c r="W218" s="22">
        <v>3</v>
      </c>
      <c r="X218" s="22">
        <v>2</v>
      </c>
      <c r="Y218" s="18"/>
      <c r="Z218" s="22">
        <v>99</v>
      </c>
      <c r="AA218" s="22">
        <v>99</v>
      </c>
      <c r="AB218" s="2" t="s">
        <v>2953</v>
      </c>
      <c r="AC218" s="22">
        <v>6</v>
      </c>
      <c r="AD218" s="18"/>
      <c r="AE218" s="18" t="s">
        <v>221</v>
      </c>
      <c r="AF218" s="18"/>
      <c r="AG218" s="18"/>
      <c r="AH218" s="18"/>
      <c r="AI218" s="57"/>
      <c r="AJ218" s="18"/>
      <c r="AK218" s="18"/>
      <c r="AL218" s="18"/>
      <c r="AM218" s="18"/>
      <c r="AN218" s="18"/>
      <c r="AO218" s="18"/>
      <c r="AP218" s="18"/>
      <c r="AQ218" s="18" t="s">
        <v>221</v>
      </c>
      <c r="AR218" s="18" t="s">
        <v>221</v>
      </c>
      <c r="AS218" s="18"/>
      <c r="AT218" s="18"/>
      <c r="AU218" s="18"/>
      <c r="AV218" s="18"/>
      <c r="AW218" s="18"/>
      <c r="AX218" s="89"/>
      <c r="AY218" s="18"/>
      <c r="AZ218" s="18"/>
      <c r="BA218" s="88"/>
      <c r="BB218" s="18"/>
      <c r="BC218" s="18"/>
      <c r="BD218" s="18"/>
      <c r="BE218" s="89"/>
      <c r="BF218" s="18"/>
      <c r="BG218" s="18"/>
      <c r="BH218" s="18"/>
      <c r="BI218" s="18"/>
      <c r="BJ218" s="18"/>
    </row>
    <row r="219" spans="1:62" ht="13">
      <c r="A219" s="22" t="s">
        <v>2959</v>
      </c>
      <c r="B219" s="22"/>
      <c r="C219" s="22"/>
      <c r="D219" s="22"/>
      <c r="E219" s="22">
        <v>2</v>
      </c>
      <c r="F219" s="22">
        <v>1</v>
      </c>
      <c r="G219" s="28">
        <v>5</v>
      </c>
      <c r="H219" s="28">
        <v>3</v>
      </c>
      <c r="I219" s="30">
        <v>1956</v>
      </c>
      <c r="J219" s="34">
        <f t="shared" si="0"/>
        <v>20519</v>
      </c>
      <c r="K219" s="39" t="s">
        <v>614</v>
      </c>
      <c r="L219" s="25" t="s">
        <v>1240</v>
      </c>
      <c r="M219" s="30">
        <v>1</v>
      </c>
      <c r="N219" s="17" t="s">
        <v>233</v>
      </c>
      <c r="O219" s="17"/>
      <c r="P219" s="25" t="s">
        <v>1241</v>
      </c>
      <c r="Q219" s="25" t="s">
        <v>1274</v>
      </c>
      <c r="R219" s="105"/>
      <c r="S219" s="105"/>
      <c r="T219" s="22">
        <v>2</v>
      </c>
      <c r="U219" s="22">
        <v>2</v>
      </c>
      <c r="V219" s="22">
        <v>5</v>
      </c>
      <c r="W219" s="22">
        <v>3</v>
      </c>
      <c r="X219" s="22">
        <v>2</v>
      </c>
      <c r="Y219" s="18"/>
      <c r="Z219" s="22">
        <v>99</v>
      </c>
      <c r="AA219" s="22">
        <v>99</v>
      </c>
      <c r="AB219" s="18" t="s">
        <v>221</v>
      </c>
      <c r="AC219" s="18"/>
      <c r="AD219" s="18"/>
      <c r="AE219" s="18" t="s">
        <v>221</v>
      </c>
      <c r="AF219" s="18"/>
      <c r="AG219" s="18"/>
      <c r="AH219" s="18"/>
      <c r="AI219" s="57"/>
      <c r="AJ219" s="18"/>
      <c r="AK219" s="18"/>
      <c r="AL219" s="18"/>
      <c r="AM219" s="18"/>
      <c r="AN219" s="18"/>
      <c r="AO219" s="18"/>
      <c r="AP219" s="18"/>
      <c r="AQ219" s="18" t="s">
        <v>221</v>
      </c>
      <c r="AR219" s="18" t="s">
        <v>221</v>
      </c>
      <c r="AS219" s="18"/>
      <c r="AT219" s="18"/>
      <c r="AU219" s="18"/>
      <c r="AV219" s="18"/>
      <c r="AW219" s="18"/>
      <c r="AX219" s="89"/>
      <c r="AY219" s="18"/>
      <c r="AZ219" s="18"/>
      <c r="BA219" s="88"/>
      <c r="BB219" s="18"/>
      <c r="BC219" s="18"/>
      <c r="BD219" s="18"/>
      <c r="BE219" s="89"/>
      <c r="BF219" s="18"/>
      <c r="BG219" s="18"/>
      <c r="BH219" s="18"/>
      <c r="BI219" s="18"/>
      <c r="BJ219" s="18"/>
    </row>
    <row r="220" spans="1:62" ht="13">
      <c r="A220" s="22" t="s">
        <v>2965</v>
      </c>
      <c r="B220" s="22"/>
      <c r="C220" s="22"/>
      <c r="D220" s="22"/>
      <c r="E220" s="22">
        <v>2</v>
      </c>
      <c r="F220" s="22">
        <v>1</v>
      </c>
      <c r="G220" s="28">
        <v>11</v>
      </c>
      <c r="H220" s="28">
        <v>3</v>
      </c>
      <c r="I220" s="30">
        <v>1956</v>
      </c>
      <c r="J220" s="34">
        <f t="shared" si="0"/>
        <v>20525</v>
      </c>
      <c r="K220" s="11" t="s">
        <v>1733</v>
      </c>
      <c r="L220" s="25" t="s">
        <v>1243</v>
      </c>
      <c r="M220" s="30">
        <v>5</v>
      </c>
      <c r="N220" s="17" t="s">
        <v>32</v>
      </c>
      <c r="O220" s="17"/>
      <c r="P220" s="25" t="s">
        <v>1244</v>
      </c>
      <c r="Q220" s="25" t="s">
        <v>1282</v>
      </c>
      <c r="R220" s="25">
        <v>32.8109137</v>
      </c>
      <c r="S220" s="25">
        <v>34.9934984</v>
      </c>
      <c r="T220" s="22">
        <v>2</v>
      </c>
      <c r="U220" s="22">
        <v>2</v>
      </c>
      <c r="V220" s="22">
        <v>1</v>
      </c>
      <c r="W220" s="22">
        <v>2</v>
      </c>
      <c r="X220" s="22">
        <v>2</v>
      </c>
      <c r="Y220" s="18"/>
      <c r="Z220" s="22">
        <v>99</v>
      </c>
      <c r="AA220" s="22">
        <v>1</v>
      </c>
      <c r="AB220" s="18" t="s">
        <v>221</v>
      </c>
      <c r="AC220" s="22">
        <v>6</v>
      </c>
      <c r="AD220" s="22">
        <v>2</v>
      </c>
      <c r="AE220" s="18" t="s">
        <v>221</v>
      </c>
      <c r="AF220" s="22">
        <v>99</v>
      </c>
      <c r="AG220" s="18"/>
      <c r="AH220" s="22">
        <v>99</v>
      </c>
      <c r="AI220" s="57"/>
      <c r="AJ220" s="18"/>
      <c r="AK220" s="22">
        <v>99</v>
      </c>
      <c r="AL220" s="22">
        <v>99</v>
      </c>
      <c r="AM220" s="22">
        <v>99</v>
      </c>
      <c r="AN220" s="22">
        <v>99</v>
      </c>
      <c r="AO220" s="22">
        <v>99</v>
      </c>
      <c r="AP220" s="22">
        <v>99</v>
      </c>
      <c r="AQ220" s="22" t="s">
        <v>2971</v>
      </c>
      <c r="AR220" s="18" t="s">
        <v>221</v>
      </c>
      <c r="AS220" s="22">
        <v>99</v>
      </c>
      <c r="AT220" s="22">
        <v>3</v>
      </c>
      <c r="AU220" s="22">
        <v>3</v>
      </c>
      <c r="AV220" s="22">
        <v>3</v>
      </c>
      <c r="AW220" s="22">
        <v>4</v>
      </c>
      <c r="AX220" s="37">
        <v>4</v>
      </c>
      <c r="AY220" s="22">
        <v>4</v>
      </c>
      <c r="AZ220" s="22">
        <v>2</v>
      </c>
      <c r="BA220" s="38">
        <v>99</v>
      </c>
      <c r="BB220" s="22">
        <v>99</v>
      </c>
      <c r="BC220" s="22">
        <v>99</v>
      </c>
      <c r="BD220" s="22">
        <v>99</v>
      </c>
      <c r="BE220" s="37">
        <v>99</v>
      </c>
      <c r="BF220" s="22">
        <v>1</v>
      </c>
      <c r="BG220" s="22">
        <v>0</v>
      </c>
      <c r="BH220" s="22">
        <v>1</v>
      </c>
      <c r="BI220" s="22">
        <v>999</v>
      </c>
      <c r="BJ220" s="22">
        <v>3</v>
      </c>
    </row>
    <row r="221" spans="1:62" ht="13">
      <c r="A221" s="22" t="s">
        <v>2972</v>
      </c>
      <c r="B221" s="22"/>
      <c r="C221" s="22"/>
      <c r="D221" s="22"/>
      <c r="E221" s="22">
        <v>2</v>
      </c>
      <c r="F221" s="22">
        <v>1</v>
      </c>
      <c r="G221" s="28">
        <v>12</v>
      </c>
      <c r="H221" s="28">
        <v>3</v>
      </c>
      <c r="I221" s="30">
        <v>1956</v>
      </c>
      <c r="J221" s="34">
        <f t="shared" si="0"/>
        <v>20526</v>
      </c>
      <c r="K221" s="11" t="s">
        <v>1747</v>
      </c>
      <c r="L221" s="25" t="s">
        <v>1246</v>
      </c>
      <c r="M221" s="30">
        <v>99</v>
      </c>
      <c r="N221" s="52"/>
      <c r="O221" s="52"/>
      <c r="P221" s="25" t="s">
        <v>1247</v>
      </c>
      <c r="Q221" s="25" t="s">
        <v>1283</v>
      </c>
      <c r="R221" s="25">
        <v>31.861597</v>
      </c>
      <c r="S221" s="25">
        <v>35.207914000000002</v>
      </c>
      <c r="T221" s="22">
        <v>1</v>
      </c>
      <c r="U221" s="22">
        <v>1</v>
      </c>
      <c r="V221" s="22">
        <v>1</v>
      </c>
      <c r="W221" s="18"/>
      <c r="X221" s="22">
        <v>2</v>
      </c>
      <c r="Y221" s="18"/>
      <c r="Z221" s="22">
        <v>5</v>
      </c>
      <c r="AA221" s="22">
        <v>1</v>
      </c>
      <c r="AB221" s="18" t="s">
        <v>221</v>
      </c>
      <c r="AC221" s="22">
        <v>6</v>
      </c>
      <c r="AD221" s="22">
        <v>2</v>
      </c>
      <c r="AE221" s="22" t="s">
        <v>2973</v>
      </c>
      <c r="AF221" s="22">
        <v>1</v>
      </c>
      <c r="AG221" s="22">
        <v>999</v>
      </c>
      <c r="AH221" s="22">
        <v>99</v>
      </c>
      <c r="AI221" s="57"/>
      <c r="AJ221" s="18"/>
      <c r="AK221" s="22">
        <v>99</v>
      </c>
      <c r="AL221" s="22">
        <v>99</v>
      </c>
      <c r="AM221" s="22">
        <v>99</v>
      </c>
      <c r="AN221" s="22">
        <v>1</v>
      </c>
      <c r="AO221" s="22">
        <v>6</v>
      </c>
      <c r="AP221" s="22">
        <v>2</v>
      </c>
      <c r="AQ221" s="22" t="s">
        <v>2974</v>
      </c>
      <c r="AR221" s="2" t="s">
        <v>1687</v>
      </c>
      <c r="AS221" s="22">
        <v>5</v>
      </c>
      <c r="AT221" s="22">
        <v>6</v>
      </c>
      <c r="AU221" s="22">
        <v>3</v>
      </c>
      <c r="AV221" s="22">
        <v>3</v>
      </c>
      <c r="AW221" s="22">
        <v>4</v>
      </c>
      <c r="AX221" s="37">
        <v>4</v>
      </c>
      <c r="AY221" s="22">
        <v>4</v>
      </c>
      <c r="AZ221" s="22">
        <v>2</v>
      </c>
      <c r="BA221" s="38">
        <v>99</v>
      </c>
      <c r="BB221" s="22">
        <v>99</v>
      </c>
      <c r="BC221" s="22">
        <v>99</v>
      </c>
      <c r="BD221" s="22">
        <v>99</v>
      </c>
      <c r="BE221" s="37">
        <v>99</v>
      </c>
      <c r="BF221" s="22">
        <v>0</v>
      </c>
      <c r="BG221" s="22">
        <v>1</v>
      </c>
      <c r="BH221" s="22">
        <v>1</v>
      </c>
      <c r="BI221" s="22">
        <v>3</v>
      </c>
      <c r="BJ221" s="22">
        <v>8</v>
      </c>
    </row>
    <row r="222" spans="1:62" ht="13">
      <c r="A222" s="22" t="s">
        <v>2975</v>
      </c>
      <c r="B222" s="22"/>
      <c r="C222" s="22"/>
      <c r="D222" s="22"/>
      <c r="E222" s="22">
        <v>3</v>
      </c>
      <c r="F222" s="22">
        <v>1</v>
      </c>
      <c r="G222" s="28">
        <v>30</v>
      </c>
      <c r="H222" s="28">
        <v>3</v>
      </c>
      <c r="I222" s="30">
        <v>1956</v>
      </c>
      <c r="J222" s="34">
        <f t="shared" si="0"/>
        <v>20544</v>
      </c>
      <c r="K222" s="11" t="s">
        <v>2976</v>
      </c>
      <c r="L222" s="25" t="s">
        <v>1248</v>
      </c>
      <c r="M222" s="30">
        <v>3</v>
      </c>
      <c r="N222" s="17" t="s">
        <v>552</v>
      </c>
      <c r="O222" s="17"/>
      <c r="P222" s="25" t="s">
        <v>1249</v>
      </c>
      <c r="Q222" s="25" t="s">
        <v>1287</v>
      </c>
      <c r="R222" s="25">
        <v>34.227961200000003</v>
      </c>
      <c r="S222" s="25">
        <v>-77.837965999999994</v>
      </c>
      <c r="T222" s="22">
        <v>2</v>
      </c>
      <c r="U222" s="22">
        <v>1</v>
      </c>
      <c r="V222" s="22">
        <v>1</v>
      </c>
      <c r="W222" s="22">
        <v>3</v>
      </c>
      <c r="X222" s="22">
        <v>2</v>
      </c>
      <c r="Y222" s="18"/>
      <c r="Z222" s="22">
        <v>99</v>
      </c>
      <c r="AA222" s="22">
        <v>99</v>
      </c>
      <c r="AB222" s="2" t="s">
        <v>1545</v>
      </c>
      <c r="AC222" s="22">
        <v>6</v>
      </c>
      <c r="AD222" s="22">
        <v>2</v>
      </c>
      <c r="AE222" s="18" t="s">
        <v>221</v>
      </c>
      <c r="AF222" s="22">
        <v>99</v>
      </c>
      <c r="AG222" s="18"/>
      <c r="AH222" s="22">
        <v>99</v>
      </c>
      <c r="AI222" s="57"/>
      <c r="AJ222" s="18"/>
      <c r="AK222" s="22">
        <v>99</v>
      </c>
      <c r="AL222" s="22">
        <v>99</v>
      </c>
      <c r="AM222" s="22">
        <v>99</v>
      </c>
      <c r="AN222" s="22">
        <v>99</v>
      </c>
      <c r="AO222" s="22">
        <v>99</v>
      </c>
      <c r="AP222" s="22">
        <v>99</v>
      </c>
      <c r="AQ222" s="18" t="s">
        <v>221</v>
      </c>
      <c r="AR222" s="18" t="s">
        <v>221</v>
      </c>
      <c r="AS222" s="18"/>
      <c r="AT222" s="18"/>
      <c r="AU222" s="22">
        <v>3</v>
      </c>
      <c r="AV222" s="22">
        <v>3</v>
      </c>
      <c r="AW222" s="22">
        <v>4</v>
      </c>
      <c r="AX222" s="37">
        <v>4</v>
      </c>
      <c r="AY222" s="22">
        <v>4</v>
      </c>
      <c r="AZ222" s="22">
        <v>2</v>
      </c>
      <c r="BA222" s="38">
        <v>99</v>
      </c>
      <c r="BB222" s="22">
        <v>99</v>
      </c>
      <c r="BC222" s="22">
        <v>99</v>
      </c>
      <c r="BD222" s="22">
        <v>99</v>
      </c>
      <c r="BE222" s="37">
        <v>99</v>
      </c>
      <c r="BF222" s="22">
        <v>2</v>
      </c>
      <c r="BG222" s="22">
        <v>1</v>
      </c>
      <c r="BH222" s="22">
        <v>3</v>
      </c>
      <c r="BI222" s="22">
        <v>999</v>
      </c>
      <c r="BJ222" s="22">
        <v>3</v>
      </c>
    </row>
    <row r="223" spans="1:62" ht="13">
      <c r="A223" s="22" t="s">
        <v>2977</v>
      </c>
      <c r="B223" s="22"/>
      <c r="C223" s="22"/>
      <c r="D223" s="22"/>
      <c r="E223" s="22">
        <v>5</v>
      </c>
      <c r="F223" s="22">
        <v>2</v>
      </c>
      <c r="G223" s="28">
        <v>7</v>
      </c>
      <c r="H223" s="28">
        <v>4</v>
      </c>
      <c r="I223" s="30">
        <v>1956</v>
      </c>
      <c r="J223" s="34">
        <f t="shared" si="0"/>
        <v>20552</v>
      </c>
      <c r="K223" s="39" t="s">
        <v>614</v>
      </c>
      <c r="L223" s="25" t="s">
        <v>1252</v>
      </c>
      <c r="M223" s="30">
        <v>7</v>
      </c>
      <c r="N223" s="17" t="s">
        <v>447</v>
      </c>
      <c r="O223" s="17"/>
      <c r="P223" s="18"/>
      <c r="Q223" s="41" t="s">
        <v>582</v>
      </c>
      <c r="R223" s="124"/>
      <c r="S223" s="124"/>
      <c r="T223" s="22">
        <v>1</v>
      </c>
      <c r="U223" s="22">
        <v>2</v>
      </c>
      <c r="V223" s="22">
        <v>5</v>
      </c>
      <c r="W223" s="22">
        <v>2</v>
      </c>
      <c r="X223" s="22">
        <v>2</v>
      </c>
      <c r="Y223" s="18"/>
      <c r="Z223" s="22">
        <v>1</v>
      </c>
      <c r="AA223" s="22">
        <v>99</v>
      </c>
      <c r="AB223" s="18" t="s">
        <v>221</v>
      </c>
      <c r="AC223" s="22">
        <v>6</v>
      </c>
      <c r="AD223" s="22">
        <v>2</v>
      </c>
      <c r="AE223" s="18" t="s">
        <v>221</v>
      </c>
      <c r="AF223" s="22">
        <v>99</v>
      </c>
      <c r="AG223" s="18"/>
      <c r="AH223" s="22">
        <v>99</v>
      </c>
      <c r="AI223" s="57"/>
      <c r="AJ223" s="18"/>
      <c r="AK223" s="22">
        <v>99</v>
      </c>
      <c r="AL223" s="22">
        <v>99</v>
      </c>
      <c r="AM223" s="22">
        <v>99</v>
      </c>
      <c r="AN223" s="22">
        <v>99</v>
      </c>
      <c r="AO223" s="22">
        <v>99</v>
      </c>
      <c r="AP223" s="22">
        <v>99</v>
      </c>
      <c r="AQ223" s="22" t="s">
        <v>2978</v>
      </c>
      <c r="AR223" s="18" t="s">
        <v>221</v>
      </c>
      <c r="AS223" s="22">
        <v>99</v>
      </c>
      <c r="AT223" s="22">
        <v>3</v>
      </c>
      <c r="AU223" s="22">
        <v>3</v>
      </c>
      <c r="AV223" s="22">
        <v>3</v>
      </c>
      <c r="AW223" s="22">
        <v>4</v>
      </c>
      <c r="AX223" s="37">
        <v>4</v>
      </c>
      <c r="AY223" s="22">
        <v>4</v>
      </c>
      <c r="AZ223" s="22">
        <v>2</v>
      </c>
      <c r="BA223" s="38">
        <v>99</v>
      </c>
      <c r="BB223" s="22">
        <v>99</v>
      </c>
      <c r="BC223" s="22">
        <v>99</v>
      </c>
      <c r="BD223" s="22">
        <v>99</v>
      </c>
      <c r="BE223" s="37">
        <v>99</v>
      </c>
      <c r="BF223" s="22">
        <v>1</v>
      </c>
      <c r="BG223" s="22">
        <v>0</v>
      </c>
      <c r="BH223" s="22">
        <v>1</v>
      </c>
      <c r="BI223" s="22">
        <v>3</v>
      </c>
      <c r="BJ223" s="22">
        <v>9</v>
      </c>
    </row>
    <row r="224" spans="1:62" ht="13">
      <c r="A224" s="22" t="s">
        <v>2979</v>
      </c>
      <c r="B224" s="22"/>
      <c r="C224" s="22"/>
      <c r="D224" s="22"/>
      <c r="E224" s="22">
        <v>1</v>
      </c>
      <c r="F224" s="22">
        <v>1</v>
      </c>
      <c r="G224" s="28">
        <v>8</v>
      </c>
      <c r="H224" s="28">
        <v>4</v>
      </c>
      <c r="I224" s="30">
        <v>1956</v>
      </c>
      <c r="J224" s="34">
        <f t="shared" si="0"/>
        <v>20553</v>
      </c>
      <c r="K224" s="11" t="s">
        <v>2980</v>
      </c>
      <c r="L224" s="25" t="s">
        <v>1259</v>
      </c>
      <c r="M224" s="30">
        <v>7</v>
      </c>
      <c r="N224" s="17" t="s">
        <v>447</v>
      </c>
      <c r="O224" s="17"/>
      <c r="P224" s="18"/>
      <c r="Q224" s="41" t="s">
        <v>582</v>
      </c>
      <c r="R224" s="124"/>
      <c r="S224" s="124"/>
      <c r="T224" s="22">
        <v>1</v>
      </c>
      <c r="U224" s="22">
        <v>2</v>
      </c>
      <c r="V224" s="22">
        <v>1</v>
      </c>
      <c r="W224" s="22">
        <v>2</v>
      </c>
      <c r="X224" s="22">
        <v>2</v>
      </c>
      <c r="Y224" s="18"/>
      <c r="Z224" s="22">
        <v>99</v>
      </c>
      <c r="AA224" s="22">
        <v>99</v>
      </c>
      <c r="AB224" s="18" t="s">
        <v>221</v>
      </c>
      <c r="AC224" s="22">
        <v>6</v>
      </c>
      <c r="AD224" s="22">
        <v>2</v>
      </c>
      <c r="AE224" s="18" t="s">
        <v>221</v>
      </c>
      <c r="AF224" s="22">
        <v>99</v>
      </c>
      <c r="AG224" s="18"/>
      <c r="AH224" s="22">
        <v>99</v>
      </c>
      <c r="AI224" s="57"/>
      <c r="AJ224" s="18"/>
      <c r="AK224" s="22">
        <v>99</v>
      </c>
      <c r="AL224" s="22">
        <v>99</v>
      </c>
      <c r="AM224" s="22">
        <v>3</v>
      </c>
      <c r="AN224" s="22">
        <v>99</v>
      </c>
      <c r="AO224" s="22">
        <v>99</v>
      </c>
      <c r="AP224" s="22">
        <v>99</v>
      </c>
      <c r="AQ224" s="22" t="s">
        <v>2983</v>
      </c>
      <c r="AR224" s="2" t="s">
        <v>771</v>
      </c>
      <c r="AS224" s="22">
        <v>3</v>
      </c>
      <c r="AT224" s="22">
        <v>6</v>
      </c>
      <c r="AU224" s="22">
        <v>3</v>
      </c>
      <c r="AV224" s="22">
        <v>3</v>
      </c>
      <c r="AW224" s="22">
        <v>4</v>
      </c>
      <c r="AX224" s="37">
        <v>4</v>
      </c>
      <c r="AY224" s="22">
        <v>4</v>
      </c>
      <c r="AZ224" s="22">
        <v>2</v>
      </c>
      <c r="BA224" s="38">
        <v>99</v>
      </c>
      <c r="BB224" s="22">
        <v>99</v>
      </c>
      <c r="BC224" s="22">
        <v>99</v>
      </c>
      <c r="BD224" s="22">
        <v>99</v>
      </c>
      <c r="BE224" s="37">
        <v>99</v>
      </c>
      <c r="BF224" s="22">
        <v>1</v>
      </c>
      <c r="BG224" s="22">
        <v>4</v>
      </c>
      <c r="BH224" s="22">
        <v>5</v>
      </c>
      <c r="BI224" s="22">
        <v>999</v>
      </c>
      <c r="BJ224" s="22">
        <v>8</v>
      </c>
    </row>
    <row r="225" spans="1:62" ht="13">
      <c r="A225" s="22" t="s">
        <v>2986</v>
      </c>
      <c r="B225" s="22"/>
      <c r="C225" s="22"/>
      <c r="D225" s="22"/>
      <c r="E225" s="22">
        <v>5</v>
      </c>
      <c r="F225" s="22">
        <v>1</v>
      </c>
      <c r="G225" s="28">
        <v>9</v>
      </c>
      <c r="H225" s="28">
        <v>4</v>
      </c>
      <c r="I225" s="30">
        <v>1956</v>
      </c>
      <c r="J225" s="34">
        <f t="shared" si="0"/>
        <v>20554</v>
      </c>
      <c r="K225" s="39" t="s">
        <v>614</v>
      </c>
      <c r="L225" s="25" t="s">
        <v>1263</v>
      </c>
      <c r="M225" s="30">
        <v>7</v>
      </c>
      <c r="N225" s="17" t="s">
        <v>447</v>
      </c>
      <c r="O225" s="17"/>
      <c r="P225" s="18"/>
      <c r="Q225" s="41" t="s">
        <v>582</v>
      </c>
      <c r="R225" s="124"/>
      <c r="S225" s="124"/>
      <c r="T225" s="22">
        <v>1</v>
      </c>
      <c r="U225" s="22">
        <v>2</v>
      </c>
      <c r="V225" s="22">
        <v>1</v>
      </c>
      <c r="W225" s="22">
        <v>2</v>
      </c>
      <c r="X225" s="22">
        <v>2</v>
      </c>
      <c r="Y225" s="18"/>
      <c r="Z225" s="22">
        <v>99</v>
      </c>
      <c r="AA225" s="22">
        <v>99</v>
      </c>
      <c r="AB225" s="18" t="s">
        <v>221</v>
      </c>
      <c r="AC225" s="22">
        <v>11</v>
      </c>
      <c r="AD225" s="22">
        <v>2</v>
      </c>
      <c r="AE225" s="18" t="s">
        <v>221</v>
      </c>
      <c r="AF225" s="22">
        <v>99</v>
      </c>
      <c r="AG225" s="18"/>
      <c r="AH225" s="22">
        <v>99</v>
      </c>
      <c r="AI225" s="57"/>
      <c r="AJ225" s="18"/>
      <c r="AK225" s="22">
        <v>99</v>
      </c>
      <c r="AL225" s="22">
        <v>99</v>
      </c>
      <c r="AM225" s="22">
        <v>3</v>
      </c>
      <c r="AN225" s="22">
        <v>99</v>
      </c>
      <c r="AO225" s="22">
        <v>99</v>
      </c>
      <c r="AP225" s="22">
        <v>99</v>
      </c>
      <c r="AQ225" s="18" t="s">
        <v>221</v>
      </c>
      <c r="AR225" s="18" t="s">
        <v>221</v>
      </c>
      <c r="AS225" s="18"/>
      <c r="AT225" s="22">
        <v>99</v>
      </c>
      <c r="AU225" s="22">
        <v>3</v>
      </c>
      <c r="AV225" s="22">
        <v>3</v>
      </c>
      <c r="AW225" s="22">
        <v>4</v>
      </c>
      <c r="AX225" s="37">
        <v>4</v>
      </c>
      <c r="AY225" s="22">
        <v>4</v>
      </c>
      <c r="AZ225" s="22">
        <v>1</v>
      </c>
      <c r="BA225" s="38">
        <v>3</v>
      </c>
      <c r="BB225" s="22">
        <v>1</v>
      </c>
      <c r="BC225" s="22">
        <v>99</v>
      </c>
      <c r="BD225" s="22">
        <v>6</v>
      </c>
      <c r="BE225" s="37">
        <v>1</v>
      </c>
      <c r="BF225" s="22">
        <v>2</v>
      </c>
      <c r="BG225" s="22">
        <v>0</v>
      </c>
      <c r="BH225" s="22">
        <v>2</v>
      </c>
      <c r="BI225" s="22">
        <v>999</v>
      </c>
      <c r="BJ225" s="22">
        <v>99</v>
      </c>
    </row>
    <row r="226" spans="1:62" ht="13">
      <c r="A226" s="22" t="s">
        <v>2987</v>
      </c>
      <c r="B226" s="22"/>
      <c r="C226" s="22"/>
      <c r="D226" s="22"/>
      <c r="E226" s="22">
        <v>4</v>
      </c>
      <c r="F226" s="22">
        <v>2</v>
      </c>
      <c r="G226" s="28">
        <v>11</v>
      </c>
      <c r="H226" s="28">
        <v>4</v>
      </c>
      <c r="I226" s="30">
        <v>1956</v>
      </c>
      <c r="J226" s="34">
        <f t="shared" si="0"/>
        <v>20556</v>
      </c>
      <c r="K226" s="11" t="s">
        <v>1761</v>
      </c>
      <c r="L226" s="25" t="s">
        <v>1266</v>
      </c>
      <c r="M226" s="30">
        <v>13</v>
      </c>
      <c r="N226" s="52"/>
      <c r="O226" s="52"/>
      <c r="P226" s="18"/>
      <c r="Q226" s="41" t="s">
        <v>582</v>
      </c>
      <c r="R226" s="124"/>
      <c r="S226" s="124"/>
      <c r="T226" s="22">
        <v>1</v>
      </c>
      <c r="U226" s="22">
        <v>2</v>
      </c>
      <c r="V226" s="22">
        <v>5</v>
      </c>
      <c r="W226" s="22">
        <v>2</v>
      </c>
      <c r="X226" s="22">
        <v>2</v>
      </c>
      <c r="Y226" s="18"/>
      <c r="Z226" s="22">
        <v>99</v>
      </c>
      <c r="AA226" s="22">
        <v>99</v>
      </c>
      <c r="AB226" s="18" t="s">
        <v>221</v>
      </c>
      <c r="AC226" s="22">
        <v>6</v>
      </c>
      <c r="AD226" s="22">
        <v>2</v>
      </c>
      <c r="AE226" s="18" t="s">
        <v>221</v>
      </c>
      <c r="AF226" s="22">
        <v>99</v>
      </c>
      <c r="AG226" s="18"/>
      <c r="AH226" s="22">
        <v>99</v>
      </c>
      <c r="AI226" s="57"/>
      <c r="AJ226" s="18"/>
      <c r="AK226" s="22">
        <v>99</v>
      </c>
      <c r="AL226" s="22">
        <v>99</v>
      </c>
      <c r="AM226" s="22">
        <v>3</v>
      </c>
      <c r="AN226" s="22">
        <v>1</v>
      </c>
      <c r="AO226" s="22">
        <v>6</v>
      </c>
      <c r="AP226" s="22">
        <v>99</v>
      </c>
      <c r="AQ226" s="22" t="s">
        <v>2988</v>
      </c>
      <c r="AR226" s="2" t="s">
        <v>750</v>
      </c>
      <c r="AS226" s="22">
        <v>7</v>
      </c>
      <c r="AT226" s="22">
        <v>6</v>
      </c>
      <c r="AU226" s="22">
        <v>3</v>
      </c>
      <c r="AV226" s="22">
        <v>3</v>
      </c>
      <c r="AW226" s="22">
        <v>4</v>
      </c>
      <c r="AX226" s="37">
        <v>4</v>
      </c>
      <c r="AY226" s="22">
        <v>4</v>
      </c>
      <c r="AZ226" s="22">
        <v>2</v>
      </c>
      <c r="BA226" s="38">
        <v>99</v>
      </c>
      <c r="BB226" s="22">
        <v>99</v>
      </c>
      <c r="BC226" s="22">
        <v>99</v>
      </c>
      <c r="BD226" s="22">
        <v>99</v>
      </c>
      <c r="BE226" s="37">
        <v>99</v>
      </c>
      <c r="BF226" s="22">
        <v>0</v>
      </c>
      <c r="BG226" s="22">
        <v>1</v>
      </c>
      <c r="BH226" s="22">
        <v>1</v>
      </c>
      <c r="BI226" s="22">
        <v>13</v>
      </c>
      <c r="BJ226" s="22">
        <v>99</v>
      </c>
    </row>
    <row r="227" spans="1:62" ht="13">
      <c r="A227" s="22" t="s">
        <v>2989</v>
      </c>
      <c r="B227" s="22"/>
      <c r="C227" s="22"/>
      <c r="D227" s="22"/>
      <c r="E227" s="22">
        <v>1</v>
      </c>
      <c r="F227" s="22">
        <v>1</v>
      </c>
      <c r="G227" s="28">
        <v>16</v>
      </c>
      <c r="H227" s="28">
        <v>4</v>
      </c>
      <c r="I227" s="30">
        <v>1956</v>
      </c>
      <c r="J227" s="34">
        <f t="shared" si="0"/>
        <v>20561</v>
      </c>
      <c r="K227" s="11" t="s">
        <v>685</v>
      </c>
      <c r="L227" s="25" t="s">
        <v>1269</v>
      </c>
      <c r="M227" s="30">
        <v>99</v>
      </c>
      <c r="N227" s="52"/>
      <c r="O227" s="52"/>
      <c r="P227" s="25" t="s">
        <v>1270</v>
      </c>
      <c r="Q227" s="25" t="s">
        <v>1314</v>
      </c>
      <c r="R227" s="105"/>
      <c r="S227" s="105"/>
      <c r="T227" s="22">
        <v>1</v>
      </c>
      <c r="U227" s="22">
        <v>2</v>
      </c>
      <c r="V227" s="18"/>
      <c r="W227" s="18"/>
      <c r="X227" s="22">
        <v>2</v>
      </c>
      <c r="Y227" s="18"/>
      <c r="Z227" s="22">
        <v>5</v>
      </c>
      <c r="AA227" s="22">
        <v>1</v>
      </c>
      <c r="AB227" s="18" t="s">
        <v>221</v>
      </c>
      <c r="AC227" s="22">
        <v>6</v>
      </c>
      <c r="AD227" s="22">
        <v>2</v>
      </c>
      <c r="AE227" s="18" t="s">
        <v>221</v>
      </c>
      <c r="AF227" s="22">
        <v>99</v>
      </c>
      <c r="AG227" s="18"/>
      <c r="AH227" s="22">
        <v>99</v>
      </c>
      <c r="AI227" s="57"/>
      <c r="AJ227" s="18"/>
      <c r="AK227" s="22">
        <v>99</v>
      </c>
      <c r="AL227" s="22">
        <v>99</v>
      </c>
      <c r="AM227" s="22">
        <v>3</v>
      </c>
      <c r="AN227" s="22">
        <v>99</v>
      </c>
      <c r="AO227" s="22">
        <v>99</v>
      </c>
      <c r="AP227" s="22">
        <v>99</v>
      </c>
      <c r="AQ227" s="22" t="s">
        <v>2990</v>
      </c>
      <c r="AR227" s="2" t="s">
        <v>790</v>
      </c>
      <c r="AS227" s="22">
        <v>99</v>
      </c>
      <c r="AT227" s="22">
        <v>6</v>
      </c>
      <c r="AU227" s="22">
        <v>3</v>
      </c>
      <c r="AV227" s="22">
        <v>3</v>
      </c>
      <c r="AW227" s="22">
        <v>4</v>
      </c>
      <c r="AX227" s="37">
        <v>4</v>
      </c>
      <c r="AY227" s="22">
        <v>4</v>
      </c>
      <c r="AZ227" s="22">
        <v>2</v>
      </c>
      <c r="BA227" s="38">
        <v>99</v>
      </c>
      <c r="BB227" s="22">
        <v>99</v>
      </c>
      <c r="BC227" s="22">
        <v>99</v>
      </c>
      <c r="BD227" s="22">
        <v>99</v>
      </c>
      <c r="BE227" s="37">
        <v>99</v>
      </c>
      <c r="BF227" s="22">
        <v>8</v>
      </c>
      <c r="BG227" s="22">
        <v>4</v>
      </c>
      <c r="BH227" s="22">
        <v>12</v>
      </c>
      <c r="BI227" s="22">
        <v>3</v>
      </c>
      <c r="BJ227" s="22">
        <v>8</v>
      </c>
    </row>
    <row r="228" spans="1:62" ht="13">
      <c r="A228" s="22" t="s">
        <v>2991</v>
      </c>
      <c r="B228" s="22"/>
      <c r="C228" s="22"/>
      <c r="D228" s="22"/>
      <c r="E228" s="22">
        <v>1</v>
      </c>
      <c r="F228" s="22">
        <v>1</v>
      </c>
      <c r="G228" s="28">
        <v>18</v>
      </c>
      <c r="H228" s="28">
        <v>4</v>
      </c>
      <c r="I228" s="30">
        <v>1956</v>
      </c>
      <c r="J228" s="34">
        <f t="shared" si="0"/>
        <v>20563</v>
      </c>
      <c r="K228" s="11" t="s">
        <v>1545</v>
      </c>
      <c r="L228" s="25" t="s">
        <v>1272</v>
      </c>
      <c r="M228" s="30">
        <v>7</v>
      </c>
      <c r="N228" s="17" t="s">
        <v>447</v>
      </c>
      <c r="O228" s="17"/>
      <c r="P228" s="18"/>
      <c r="Q228" s="41" t="s">
        <v>582</v>
      </c>
      <c r="R228" s="124"/>
      <c r="S228" s="124"/>
      <c r="T228" s="22">
        <v>1</v>
      </c>
      <c r="U228" s="22">
        <v>2</v>
      </c>
      <c r="V228" s="22">
        <v>2</v>
      </c>
      <c r="W228" s="22">
        <v>2</v>
      </c>
      <c r="X228" s="22">
        <v>2</v>
      </c>
      <c r="Y228" s="18"/>
      <c r="Z228" s="22">
        <v>5</v>
      </c>
      <c r="AA228" s="22">
        <v>2</v>
      </c>
      <c r="AB228" s="18" t="s">
        <v>221</v>
      </c>
      <c r="AC228" s="22">
        <v>9</v>
      </c>
      <c r="AD228" s="22">
        <v>2</v>
      </c>
      <c r="AE228" s="18" t="s">
        <v>221</v>
      </c>
      <c r="AF228" s="22">
        <v>99</v>
      </c>
      <c r="AG228" s="18"/>
      <c r="AH228" s="22">
        <v>99</v>
      </c>
      <c r="AI228" s="57"/>
      <c r="AJ228" s="18"/>
      <c r="AK228" s="22">
        <v>99</v>
      </c>
      <c r="AL228" s="22">
        <v>99</v>
      </c>
      <c r="AM228" s="22">
        <v>99</v>
      </c>
      <c r="AN228" s="22">
        <v>99</v>
      </c>
      <c r="AO228" s="22">
        <v>99</v>
      </c>
      <c r="AP228" s="22">
        <v>99</v>
      </c>
      <c r="AQ228" s="18" t="s">
        <v>221</v>
      </c>
      <c r="AR228" s="18" t="s">
        <v>221</v>
      </c>
      <c r="AS228" s="18"/>
      <c r="AT228" s="18"/>
      <c r="AU228" s="22">
        <v>3</v>
      </c>
      <c r="AV228" s="22">
        <v>3</v>
      </c>
      <c r="AW228" s="22">
        <v>4</v>
      </c>
      <c r="AX228" s="37">
        <v>4</v>
      </c>
      <c r="AY228" s="22">
        <v>4</v>
      </c>
      <c r="AZ228" s="22">
        <v>2</v>
      </c>
      <c r="BA228" s="38">
        <v>99</v>
      </c>
      <c r="BB228" s="22">
        <v>99</v>
      </c>
      <c r="BC228" s="22">
        <v>99</v>
      </c>
      <c r="BD228" s="22">
        <v>99</v>
      </c>
      <c r="BE228" s="37">
        <v>99</v>
      </c>
      <c r="BF228" s="22">
        <v>0</v>
      </c>
      <c r="BG228" s="22">
        <v>0</v>
      </c>
      <c r="BH228" s="22">
        <v>0</v>
      </c>
      <c r="BI228" s="22">
        <v>1</v>
      </c>
      <c r="BJ228" s="22">
        <v>10</v>
      </c>
    </row>
    <row r="229" spans="1:62" ht="13">
      <c r="A229" s="22" t="s">
        <v>2992</v>
      </c>
      <c r="B229" s="22"/>
      <c r="C229" s="22"/>
      <c r="D229" s="22"/>
      <c r="E229" s="22">
        <v>2</v>
      </c>
      <c r="F229" s="22">
        <v>1</v>
      </c>
      <c r="G229" s="28">
        <v>20</v>
      </c>
      <c r="H229" s="28">
        <v>4</v>
      </c>
      <c r="I229" s="30">
        <v>1956</v>
      </c>
      <c r="J229" s="34">
        <f t="shared" si="0"/>
        <v>20565</v>
      </c>
      <c r="K229" s="35" t="s">
        <v>221</v>
      </c>
      <c r="L229" s="25" t="s">
        <v>1273</v>
      </c>
      <c r="M229" s="30">
        <v>1</v>
      </c>
      <c r="N229" s="17" t="s">
        <v>233</v>
      </c>
      <c r="O229" s="17"/>
      <c r="P229" s="25" t="s">
        <v>1275</v>
      </c>
      <c r="Q229" s="25" t="s">
        <v>1323</v>
      </c>
      <c r="R229" s="25">
        <v>28.893869200000001</v>
      </c>
      <c r="S229" s="25">
        <v>-81.275190799999905</v>
      </c>
      <c r="T229" s="22">
        <v>2</v>
      </c>
      <c r="U229" s="22">
        <v>2</v>
      </c>
      <c r="V229" s="22">
        <v>5</v>
      </c>
      <c r="W229" s="22">
        <v>4</v>
      </c>
      <c r="X229" s="22">
        <v>2</v>
      </c>
      <c r="Y229" s="18"/>
      <c r="Z229" s="22">
        <v>5</v>
      </c>
      <c r="AA229" s="22">
        <v>1</v>
      </c>
      <c r="AB229" s="18" t="s">
        <v>221</v>
      </c>
      <c r="AC229" s="22">
        <v>9</v>
      </c>
      <c r="AD229" s="22">
        <v>2</v>
      </c>
      <c r="AE229" s="18" t="s">
        <v>221</v>
      </c>
      <c r="AF229" s="22">
        <v>99</v>
      </c>
      <c r="AG229" s="18"/>
      <c r="AH229" s="22">
        <v>99</v>
      </c>
      <c r="AI229" s="57"/>
      <c r="AJ229" s="18"/>
      <c r="AK229" s="22">
        <v>99</v>
      </c>
      <c r="AL229" s="22">
        <v>99</v>
      </c>
      <c r="AM229" s="22">
        <v>99</v>
      </c>
      <c r="AN229" s="22">
        <v>2</v>
      </c>
      <c r="AO229" s="22">
        <v>1</v>
      </c>
      <c r="AP229" s="22">
        <v>99</v>
      </c>
      <c r="AQ229" s="18" t="s">
        <v>221</v>
      </c>
      <c r="AR229" s="18" t="s">
        <v>221</v>
      </c>
      <c r="AS229" s="18"/>
      <c r="AT229" s="18"/>
      <c r="AU229" s="22">
        <v>3</v>
      </c>
      <c r="AV229" s="22">
        <v>3</v>
      </c>
      <c r="AW229" s="22">
        <v>4</v>
      </c>
      <c r="AX229" s="37">
        <v>4</v>
      </c>
      <c r="AY229" s="22">
        <v>4</v>
      </c>
      <c r="AZ229" s="22">
        <v>2</v>
      </c>
      <c r="BA229" s="38">
        <v>99</v>
      </c>
      <c r="BB229" s="22">
        <v>99</v>
      </c>
      <c r="BC229" s="22">
        <v>99</v>
      </c>
      <c r="BD229" s="22">
        <v>99</v>
      </c>
      <c r="BE229" s="37">
        <v>99</v>
      </c>
      <c r="BF229" s="22">
        <v>0</v>
      </c>
      <c r="BG229" s="22">
        <v>0</v>
      </c>
      <c r="BH229" s="22">
        <v>0</v>
      </c>
      <c r="BI229" s="22">
        <v>2</v>
      </c>
      <c r="BJ229" s="22">
        <v>10</v>
      </c>
    </row>
    <row r="230" spans="1:62" ht="13">
      <c r="A230" s="22" t="s">
        <v>2993</v>
      </c>
      <c r="B230" s="22"/>
      <c r="C230" s="22"/>
      <c r="D230" s="22"/>
      <c r="E230" s="22">
        <v>1</v>
      </c>
      <c r="F230" s="22">
        <v>1</v>
      </c>
      <c r="G230" s="28">
        <v>22</v>
      </c>
      <c r="H230" s="28">
        <v>4</v>
      </c>
      <c r="I230" s="30">
        <v>1956</v>
      </c>
      <c r="J230" s="34">
        <f t="shared" si="0"/>
        <v>20567</v>
      </c>
      <c r="K230" s="11" t="s">
        <v>1208</v>
      </c>
      <c r="L230" s="25" t="s">
        <v>1277</v>
      </c>
      <c r="M230" s="30">
        <v>1</v>
      </c>
      <c r="N230" s="17" t="s">
        <v>233</v>
      </c>
      <c r="O230" s="17"/>
      <c r="P230" s="25" t="s">
        <v>1278</v>
      </c>
      <c r="Q230" s="25" t="s">
        <v>1327</v>
      </c>
      <c r="R230" s="105"/>
      <c r="S230" s="105"/>
      <c r="T230" s="22">
        <v>2</v>
      </c>
      <c r="U230" s="22">
        <v>2</v>
      </c>
      <c r="V230" s="22">
        <v>5</v>
      </c>
      <c r="W230" s="22">
        <v>3</v>
      </c>
      <c r="X230" s="22">
        <v>2</v>
      </c>
      <c r="Y230" s="18"/>
      <c r="Z230" s="22">
        <v>5</v>
      </c>
      <c r="AA230" s="22">
        <v>1</v>
      </c>
      <c r="AB230" s="18" t="s">
        <v>221</v>
      </c>
      <c r="AC230" s="22">
        <v>9</v>
      </c>
      <c r="AD230" s="22">
        <v>2</v>
      </c>
      <c r="AE230" s="18" t="s">
        <v>221</v>
      </c>
      <c r="AF230" s="22">
        <v>99</v>
      </c>
      <c r="AG230" s="18"/>
      <c r="AH230" s="22">
        <v>99</v>
      </c>
      <c r="AI230" s="57"/>
      <c r="AJ230" s="18"/>
      <c r="AK230" s="22">
        <v>99</v>
      </c>
      <c r="AL230" s="22">
        <v>99</v>
      </c>
      <c r="AM230" s="22">
        <v>99</v>
      </c>
      <c r="AN230" s="22">
        <v>2</v>
      </c>
      <c r="AO230" s="22">
        <v>99</v>
      </c>
      <c r="AP230" s="22">
        <v>99</v>
      </c>
      <c r="AQ230" s="18" t="s">
        <v>221</v>
      </c>
      <c r="AR230" s="18" t="s">
        <v>221</v>
      </c>
      <c r="AS230" s="18"/>
      <c r="AT230" s="18"/>
      <c r="AU230" s="22">
        <v>3</v>
      </c>
      <c r="AV230" s="22">
        <v>3</v>
      </c>
      <c r="AW230" s="22">
        <v>4</v>
      </c>
      <c r="AX230" s="37">
        <v>4</v>
      </c>
      <c r="AY230" s="22">
        <v>4</v>
      </c>
      <c r="AZ230" s="22">
        <v>2</v>
      </c>
      <c r="BA230" s="38">
        <v>99</v>
      </c>
      <c r="BB230" s="22">
        <v>99</v>
      </c>
      <c r="BC230" s="22">
        <v>99</v>
      </c>
      <c r="BD230" s="22">
        <v>99</v>
      </c>
      <c r="BE230" s="37">
        <v>99</v>
      </c>
      <c r="BF230" s="22">
        <v>0</v>
      </c>
      <c r="BG230" s="22">
        <v>0</v>
      </c>
      <c r="BH230" s="22">
        <v>0</v>
      </c>
      <c r="BI230" s="22">
        <v>999</v>
      </c>
      <c r="BJ230" s="22">
        <v>10</v>
      </c>
    </row>
    <row r="231" spans="1:62" ht="13">
      <c r="A231" s="22" t="s">
        <v>2994</v>
      </c>
      <c r="B231" s="22"/>
      <c r="C231" s="22"/>
      <c r="D231" s="22"/>
      <c r="E231" s="22">
        <v>3</v>
      </c>
      <c r="F231" s="22">
        <v>1</v>
      </c>
      <c r="G231" s="28">
        <v>29</v>
      </c>
      <c r="H231" s="28">
        <v>4</v>
      </c>
      <c r="I231" s="30">
        <v>1956</v>
      </c>
      <c r="J231" s="34">
        <f t="shared" si="0"/>
        <v>20574</v>
      </c>
      <c r="K231" s="11" t="s">
        <v>2995</v>
      </c>
      <c r="L231" s="25" t="s">
        <v>1279</v>
      </c>
      <c r="M231" s="30">
        <v>14</v>
      </c>
      <c r="N231" s="52"/>
      <c r="O231" s="52"/>
      <c r="P231" s="18"/>
      <c r="Q231" s="41" t="s">
        <v>582</v>
      </c>
      <c r="R231" s="124"/>
      <c r="S231" s="124"/>
      <c r="T231" s="18"/>
      <c r="U231" s="18"/>
      <c r="V231" s="18"/>
      <c r="W231" s="18"/>
      <c r="X231" s="18"/>
      <c r="Y231" s="18"/>
      <c r="Z231" s="22">
        <v>5</v>
      </c>
      <c r="AA231" s="22">
        <v>99</v>
      </c>
      <c r="AB231" s="18" t="s">
        <v>221</v>
      </c>
      <c r="AC231" s="22">
        <v>6</v>
      </c>
      <c r="AD231" s="22">
        <v>2</v>
      </c>
      <c r="AE231" s="18" t="s">
        <v>221</v>
      </c>
      <c r="AF231" s="22">
        <v>99</v>
      </c>
      <c r="AG231" s="18"/>
      <c r="AH231" s="22">
        <v>99</v>
      </c>
      <c r="AI231" s="57"/>
      <c r="AJ231" s="18"/>
      <c r="AK231" s="22">
        <v>99</v>
      </c>
      <c r="AL231" s="22">
        <v>99</v>
      </c>
      <c r="AM231" s="22">
        <v>99</v>
      </c>
      <c r="AN231" s="22">
        <v>2</v>
      </c>
      <c r="AO231" s="22">
        <v>99</v>
      </c>
      <c r="AP231" s="22">
        <v>99</v>
      </c>
      <c r="AQ231" s="18" t="s">
        <v>221</v>
      </c>
      <c r="AR231" s="18" t="s">
        <v>221</v>
      </c>
      <c r="AS231" s="18"/>
      <c r="AT231" s="18"/>
      <c r="AU231" s="22">
        <v>3</v>
      </c>
      <c r="AV231" s="22">
        <v>3</v>
      </c>
      <c r="AW231" s="22">
        <v>4</v>
      </c>
      <c r="AX231" s="37">
        <v>4</v>
      </c>
      <c r="AY231" s="22">
        <v>4</v>
      </c>
      <c r="AZ231" s="22">
        <v>2</v>
      </c>
      <c r="BA231" s="38">
        <v>99</v>
      </c>
      <c r="BB231" s="22">
        <v>99</v>
      </c>
      <c r="BC231" s="22">
        <v>99</v>
      </c>
      <c r="BD231" s="22">
        <v>99</v>
      </c>
      <c r="BE231" s="37">
        <v>99</v>
      </c>
      <c r="BF231" s="22">
        <v>0</v>
      </c>
      <c r="BG231" s="22">
        <v>0</v>
      </c>
      <c r="BH231" s="22">
        <v>0</v>
      </c>
      <c r="BI231" s="22">
        <v>999</v>
      </c>
      <c r="BJ231" s="22">
        <v>9</v>
      </c>
    </row>
    <row r="232" spans="1:62" ht="13">
      <c r="A232" s="22" t="s">
        <v>2996</v>
      </c>
      <c r="B232" s="22"/>
      <c r="C232" s="22"/>
      <c r="D232" s="22"/>
      <c r="E232" s="22">
        <v>2</v>
      </c>
      <c r="F232" s="22">
        <v>1</v>
      </c>
      <c r="G232" s="28">
        <v>6</v>
      </c>
      <c r="H232" s="28">
        <v>5</v>
      </c>
      <c r="I232" s="30">
        <v>1956</v>
      </c>
      <c r="J232" s="34">
        <f t="shared" si="0"/>
        <v>20581</v>
      </c>
      <c r="K232" s="35" t="s">
        <v>221</v>
      </c>
      <c r="L232" s="25" t="s">
        <v>1284</v>
      </c>
      <c r="M232" s="30">
        <v>3</v>
      </c>
      <c r="N232" s="17" t="s">
        <v>552</v>
      </c>
      <c r="O232" s="17"/>
      <c r="P232" s="25" t="s">
        <v>1285</v>
      </c>
      <c r="Q232" s="25" t="s">
        <v>1335</v>
      </c>
      <c r="R232" s="25">
        <v>40.102572000000002</v>
      </c>
      <c r="S232" s="25">
        <v>27.658373000000001</v>
      </c>
      <c r="T232" s="22">
        <v>2</v>
      </c>
      <c r="U232" s="22">
        <v>1</v>
      </c>
      <c r="V232" s="22">
        <v>1</v>
      </c>
      <c r="W232" s="22">
        <v>2</v>
      </c>
      <c r="X232" s="18"/>
      <c r="Y232" s="18"/>
      <c r="Z232" s="22">
        <v>1</v>
      </c>
      <c r="AA232" s="22">
        <v>99</v>
      </c>
      <c r="AB232" s="18" t="s">
        <v>221</v>
      </c>
      <c r="AC232" s="22">
        <v>6</v>
      </c>
      <c r="AD232" s="22">
        <v>2</v>
      </c>
      <c r="AE232" s="18" t="s">
        <v>221</v>
      </c>
      <c r="AF232" s="22">
        <v>99</v>
      </c>
      <c r="AG232" s="18"/>
      <c r="AH232" s="22">
        <v>99</v>
      </c>
      <c r="AI232" s="57"/>
      <c r="AJ232" s="18"/>
      <c r="AK232" s="22">
        <v>99</v>
      </c>
      <c r="AL232" s="22">
        <v>99</v>
      </c>
      <c r="AM232" s="22">
        <v>3</v>
      </c>
      <c r="AN232" s="22">
        <v>2</v>
      </c>
      <c r="AO232" s="22">
        <v>99</v>
      </c>
      <c r="AP232" s="22">
        <v>99</v>
      </c>
      <c r="AQ232" s="22" t="s">
        <v>2997</v>
      </c>
      <c r="AR232" s="2" t="s">
        <v>2998</v>
      </c>
      <c r="AS232" s="22">
        <v>4</v>
      </c>
      <c r="AT232" s="22">
        <v>6</v>
      </c>
      <c r="AU232" s="22">
        <v>3</v>
      </c>
      <c r="AV232" s="22">
        <v>1</v>
      </c>
      <c r="AW232" s="22">
        <v>4</v>
      </c>
      <c r="AX232" s="37">
        <v>4</v>
      </c>
      <c r="AY232" s="22">
        <v>4</v>
      </c>
      <c r="AZ232" s="22">
        <v>2</v>
      </c>
      <c r="BA232" s="38">
        <v>99</v>
      </c>
      <c r="BB232" s="22">
        <v>99</v>
      </c>
      <c r="BC232" s="22">
        <v>99</v>
      </c>
      <c r="BD232" s="22">
        <v>99</v>
      </c>
      <c r="BE232" s="37">
        <v>99</v>
      </c>
      <c r="BF232" s="22">
        <v>0</v>
      </c>
      <c r="BG232" s="22">
        <v>4</v>
      </c>
      <c r="BH232" s="22">
        <v>4</v>
      </c>
      <c r="BI232" s="22">
        <v>8</v>
      </c>
      <c r="BJ232" s="22">
        <v>8</v>
      </c>
    </row>
    <row r="233" spans="1:62" ht="13">
      <c r="A233" s="22" t="s">
        <v>2999</v>
      </c>
      <c r="B233" s="22"/>
      <c r="C233" s="22"/>
      <c r="D233" s="22"/>
      <c r="E233" s="22">
        <v>1</v>
      </c>
      <c r="F233" s="22">
        <v>1</v>
      </c>
      <c r="G233" s="28">
        <v>9</v>
      </c>
      <c r="H233" s="28">
        <v>5</v>
      </c>
      <c r="I233" s="30">
        <v>1956</v>
      </c>
      <c r="J233" s="34">
        <f t="shared" si="0"/>
        <v>20584</v>
      </c>
      <c r="K233" s="39" t="s">
        <v>1503</v>
      </c>
      <c r="L233" s="25" t="s">
        <v>1288</v>
      </c>
      <c r="M233" s="30">
        <v>3</v>
      </c>
      <c r="N233" s="17" t="s">
        <v>552</v>
      </c>
      <c r="O233" s="17"/>
      <c r="P233" s="25" t="s">
        <v>1289</v>
      </c>
      <c r="Q233" s="25" t="s">
        <v>1338</v>
      </c>
      <c r="R233" s="25">
        <v>33.098984999999999</v>
      </c>
      <c r="S233" s="25">
        <v>35.288522</v>
      </c>
      <c r="T233" s="22">
        <v>2</v>
      </c>
      <c r="U233" s="22">
        <v>1</v>
      </c>
      <c r="V233" s="22">
        <v>1</v>
      </c>
      <c r="W233" s="22">
        <v>3</v>
      </c>
      <c r="X233" s="22">
        <v>2</v>
      </c>
      <c r="Y233" s="18"/>
      <c r="Z233" s="22">
        <v>99</v>
      </c>
      <c r="AA233" s="22">
        <v>1</v>
      </c>
      <c r="AB233" s="18" t="s">
        <v>221</v>
      </c>
      <c r="AC233" s="22">
        <v>6</v>
      </c>
      <c r="AD233" s="22">
        <v>2</v>
      </c>
      <c r="AE233" s="18" t="s">
        <v>221</v>
      </c>
      <c r="AF233" s="22">
        <v>99</v>
      </c>
      <c r="AG233" s="18"/>
      <c r="AH233" s="22">
        <v>99</v>
      </c>
      <c r="AI233" s="28">
        <v>21</v>
      </c>
      <c r="AJ233" s="18"/>
      <c r="AK233" s="22">
        <v>99</v>
      </c>
      <c r="AL233" s="22">
        <v>99</v>
      </c>
      <c r="AM233" s="22">
        <v>99</v>
      </c>
      <c r="AN233" s="22">
        <v>99</v>
      </c>
      <c r="AO233" s="22">
        <v>99</v>
      </c>
      <c r="AP233" s="22">
        <v>99</v>
      </c>
      <c r="AQ233" s="22" t="s">
        <v>3000</v>
      </c>
      <c r="AR233" s="2" t="s">
        <v>790</v>
      </c>
      <c r="AS233" s="22">
        <v>14</v>
      </c>
      <c r="AT233" s="22">
        <v>6</v>
      </c>
      <c r="AU233" s="22">
        <v>3</v>
      </c>
      <c r="AV233" s="22">
        <v>3</v>
      </c>
      <c r="AW233" s="22">
        <v>4</v>
      </c>
      <c r="AX233" s="37">
        <v>4</v>
      </c>
      <c r="AY233" s="22">
        <v>4</v>
      </c>
      <c r="AZ233" s="22">
        <v>2</v>
      </c>
      <c r="BA233" s="38">
        <v>99</v>
      </c>
      <c r="BB233" s="22">
        <v>99</v>
      </c>
      <c r="BC233" s="22">
        <v>99</v>
      </c>
      <c r="BD233" s="22">
        <v>99</v>
      </c>
      <c r="BE233" s="37">
        <v>99</v>
      </c>
      <c r="BF233" s="22">
        <v>0</v>
      </c>
      <c r="BG233" s="22">
        <v>1</v>
      </c>
      <c r="BH233" s="22">
        <v>1</v>
      </c>
      <c r="BI233" s="22">
        <v>99</v>
      </c>
      <c r="BJ233" s="22">
        <v>8</v>
      </c>
    </row>
    <row r="234" spans="1:62" ht="13">
      <c r="A234" s="22" t="s">
        <v>3001</v>
      </c>
      <c r="B234" s="22"/>
      <c r="C234" s="22"/>
      <c r="D234" s="22"/>
      <c r="E234" s="22">
        <v>2</v>
      </c>
      <c r="F234" s="22">
        <v>1</v>
      </c>
      <c r="G234" s="28">
        <v>12</v>
      </c>
      <c r="H234" s="28">
        <v>5</v>
      </c>
      <c r="I234" s="30">
        <v>1956</v>
      </c>
      <c r="J234" s="34">
        <f t="shared" si="0"/>
        <v>20587</v>
      </c>
      <c r="K234" s="39" t="s">
        <v>328</v>
      </c>
      <c r="L234" s="25" t="s">
        <v>1290</v>
      </c>
      <c r="M234" s="30">
        <v>1</v>
      </c>
      <c r="N234" s="17" t="s">
        <v>233</v>
      </c>
      <c r="O234" s="17"/>
      <c r="P234" s="25" t="s">
        <v>1291</v>
      </c>
      <c r="Q234" s="25" t="s">
        <v>1340</v>
      </c>
      <c r="R234" s="25">
        <v>31.768319000000002</v>
      </c>
      <c r="S234" s="25">
        <v>35.213709999999999</v>
      </c>
      <c r="T234" s="22">
        <v>2</v>
      </c>
      <c r="U234" s="22">
        <v>1</v>
      </c>
      <c r="V234" s="22">
        <v>5</v>
      </c>
      <c r="W234" s="22">
        <v>2</v>
      </c>
      <c r="X234" s="22">
        <v>2</v>
      </c>
      <c r="Y234" s="18"/>
      <c r="Z234" s="22">
        <v>99</v>
      </c>
      <c r="AA234" s="22">
        <v>99</v>
      </c>
      <c r="AB234" s="18" t="s">
        <v>221</v>
      </c>
      <c r="AC234" s="22">
        <v>99</v>
      </c>
      <c r="AD234" s="22">
        <v>2</v>
      </c>
      <c r="AE234" s="18" t="s">
        <v>221</v>
      </c>
      <c r="AF234" s="22">
        <v>99</v>
      </c>
      <c r="AG234" s="18"/>
      <c r="AH234" s="22">
        <v>99</v>
      </c>
      <c r="AI234" s="57"/>
      <c r="AJ234" s="18"/>
      <c r="AK234" s="22">
        <v>99</v>
      </c>
      <c r="AL234" s="22">
        <v>99</v>
      </c>
      <c r="AM234" s="22">
        <v>99</v>
      </c>
      <c r="AN234" s="22">
        <v>99</v>
      </c>
      <c r="AO234" s="22">
        <v>99</v>
      </c>
      <c r="AP234" s="22">
        <v>99</v>
      </c>
      <c r="AQ234" s="18" t="s">
        <v>221</v>
      </c>
      <c r="AR234" s="18" t="s">
        <v>221</v>
      </c>
      <c r="AS234" s="18"/>
      <c r="AT234" s="18"/>
      <c r="AU234" s="22">
        <v>3</v>
      </c>
      <c r="AV234" s="22">
        <v>3</v>
      </c>
      <c r="AW234" s="22">
        <v>4</v>
      </c>
      <c r="AX234" s="37">
        <v>4</v>
      </c>
      <c r="AY234" s="22">
        <v>4</v>
      </c>
      <c r="AZ234" s="22">
        <v>2</v>
      </c>
      <c r="BA234" s="38">
        <v>99</v>
      </c>
      <c r="BB234" s="22">
        <v>99</v>
      </c>
      <c r="BC234" s="22">
        <v>99</v>
      </c>
      <c r="BD234" s="22">
        <v>99</v>
      </c>
      <c r="BE234" s="37">
        <v>99</v>
      </c>
      <c r="BF234" s="22">
        <v>999</v>
      </c>
      <c r="BG234" s="22">
        <v>999</v>
      </c>
      <c r="BH234" s="22">
        <v>999</v>
      </c>
      <c r="BI234" s="22">
        <v>999</v>
      </c>
      <c r="BJ234" s="22">
        <v>99</v>
      </c>
    </row>
    <row r="235" spans="1:62" ht="13">
      <c r="A235" s="22" t="s">
        <v>3002</v>
      </c>
      <c r="B235" s="22"/>
      <c r="C235" s="22"/>
      <c r="D235" s="22"/>
      <c r="E235" s="22">
        <v>1</v>
      </c>
      <c r="F235" s="22">
        <v>1</v>
      </c>
      <c r="G235" s="28">
        <v>14</v>
      </c>
      <c r="H235" s="28">
        <v>5</v>
      </c>
      <c r="I235" s="30">
        <v>1956</v>
      </c>
      <c r="J235" s="34">
        <f t="shared" si="0"/>
        <v>20589</v>
      </c>
      <c r="K235" s="35" t="s">
        <v>221</v>
      </c>
      <c r="L235" s="25" t="s">
        <v>1292</v>
      </c>
      <c r="M235" s="30">
        <v>1</v>
      </c>
      <c r="N235" s="17" t="s">
        <v>233</v>
      </c>
      <c r="O235" s="17"/>
      <c r="P235" s="25" t="s">
        <v>1293</v>
      </c>
      <c r="Q235" s="25" t="s">
        <v>1344</v>
      </c>
      <c r="R235" s="105"/>
      <c r="S235" s="105"/>
      <c r="T235" s="22">
        <v>2</v>
      </c>
      <c r="U235" s="22">
        <v>1</v>
      </c>
      <c r="V235" s="22">
        <v>1</v>
      </c>
      <c r="W235" s="22">
        <v>3</v>
      </c>
      <c r="X235" s="22">
        <v>2</v>
      </c>
      <c r="Y235" s="18"/>
      <c r="Z235" s="22">
        <v>99</v>
      </c>
      <c r="AA235" s="22">
        <v>99</v>
      </c>
      <c r="AB235" s="18" t="s">
        <v>221</v>
      </c>
      <c r="AC235" s="22">
        <v>6</v>
      </c>
      <c r="AD235" s="22">
        <v>2</v>
      </c>
      <c r="AE235" s="18" t="s">
        <v>221</v>
      </c>
      <c r="AF235" s="22">
        <v>99</v>
      </c>
      <c r="AG235" s="18"/>
      <c r="AH235" s="22">
        <v>99</v>
      </c>
      <c r="AI235" s="57"/>
      <c r="AJ235" s="18"/>
      <c r="AK235" s="22">
        <v>99</v>
      </c>
      <c r="AL235" s="22">
        <v>99</v>
      </c>
      <c r="AM235" s="22">
        <v>99</v>
      </c>
      <c r="AN235" s="22">
        <v>99</v>
      </c>
      <c r="AO235" s="22">
        <v>99</v>
      </c>
      <c r="AP235" s="22">
        <v>99</v>
      </c>
      <c r="AQ235" s="18" t="s">
        <v>221</v>
      </c>
      <c r="AR235" s="18" t="s">
        <v>221</v>
      </c>
      <c r="AS235" s="18"/>
      <c r="AT235" s="18"/>
      <c r="AU235" s="22">
        <v>3</v>
      </c>
      <c r="AV235" s="22">
        <v>3</v>
      </c>
      <c r="AW235" s="22">
        <v>4</v>
      </c>
      <c r="AX235" s="37">
        <v>4</v>
      </c>
      <c r="AY235" s="22">
        <v>4</v>
      </c>
      <c r="AZ235" s="22">
        <v>2</v>
      </c>
      <c r="BA235" s="38">
        <v>99</v>
      </c>
      <c r="BB235" s="22">
        <v>99</v>
      </c>
      <c r="BC235" s="22">
        <v>99</v>
      </c>
      <c r="BD235" s="22">
        <v>99</v>
      </c>
      <c r="BE235" s="37">
        <v>99</v>
      </c>
      <c r="BF235" s="22">
        <v>999</v>
      </c>
      <c r="BG235" s="22">
        <v>999</v>
      </c>
      <c r="BH235" s="22">
        <v>999</v>
      </c>
      <c r="BI235" s="22">
        <v>999</v>
      </c>
      <c r="BJ235" s="22">
        <v>9</v>
      </c>
    </row>
    <row r="236" spans="1:62" ht="13">
      <c r="A236" s="22" t="s">
        <v>3003</v>
      </c>
      <c r="B236" s="22"/>
      <c r="C236" s="22"/>
      <c r="D236" s="22"/>
      <c r="E236" s="22">
        <v>2</v>
      </c>
      <c r="F236" s="22">
        <v>1</v>
      </c>
      <c r="G236" s="28">
        <v>16</v>
      </c>
      <c r="H236" s="28">
        <v>5</v>
      </c>
      <c r="I236" s="30">
        <v>1956</v>
      </c>
      <c r="J236" s="34">
        <f t="shared" si="0"/>
        <v>20591</v>
      </c>
      <c r="K236" s="11" t="s">
        <v>2013</v>
      </c>
      <c r="L236" s="25" t="s">
        <v>1295</v>
      </c>
      <c r="M236" s="30">
        <v>7</v>
      </c>
      <c r="N236" s="17" t="s">
        <v>447</v>
      </c>
      <c r="O236" s="17"/>
      <c r="P236" s="18"/>
      <c r="Q236" s="41" t="s">
        <v>582</v>
      </c>
      <c r="R236" s="124"/>
      <c r="S236" s="124"/>
      <c r="T236" s="22">
        <v>1</v>
      </c>
      <c r="U236" s="22">
        <v>2</v>
      </c>
      <c r="V236" s="22">
        <v>1</v>
      </c>
      <c r="W236" s="22">
        <v>3</v>
      </c>
      <c r="X236" s="22">
        <v>2</v>
      </c>
      <c r="Y236" s="18"/>
      <c r="Z236" s="22">
        <v>1</v>
      </c>
      <c r="AA236" s="22">
        <v>99</v>
      </c>
      <c r="AB236" s="18" t="s">
        <v>221</v>
      </c>
      <c r="AC236" s="22">
        <v>99</v>
      </c>
      <c r="AD236" s="22">
        <v>2</v>
      </c>
      <c r="AE236" s="18" t="s">
        <v>221</v>
      </c>
      <c r="AF236" s="22">
        <v>99</v>
      </c>
      <c r="AG236" s="18"/>
      <c r="AH236" s="22">
        <v>99</v>
      </c>
      <c r="AI236" s="57"/>
      <c r="AJ236" s="18"/>
      <c r="AK236" s="22">
        <v>99</v>
      </c>
      <c r="AL236" s="22">
        <v>99</v>
      </c>
      <c r="AM236" s="22">
        <v>99</v>
      </c>
      <c r="AN236" s="22">
        <v>99</v>
      </c>
      <c r="AO236" s="22">
        <v>99</v>
      </c>
      <c r="AP236" s="22">
        <v>99</v>
      </c>
      <c r="AQ236" s="18" t="s">
        <v>221</v>
      </c>
      <c r="AR236" s="18" t="s">
        <v>221</v>
      </c>
      <c r="AS236" s="18"/>
      <c r="AT236" s="18"/>
      <c r="AU236" s="22">
        <v>3</v>
      </c>
      <c r="AV236" s="22">
        <v>3</v>
      </c>
      <c r="AW236" s="22">
        <v>4</v>
      </c>
      <c r="AX236" s="37">
        <v>4</v>
      </c>
      <c r="AY236" s="22">
        <v>4</v>
      </c>
      <c r="AZ236" s="22">
        <v>2</v>
      </c>
      <c r="BA236" s="38">
        <v>99</v>
      </c>
      <c r="BB236" s="22">
        <v>99</v>
      </c>
      <c r="BC236" s="22">
        <v>99</v>
      </c>
      <c r="BD236" s="22">
        <v>99</v>
      </c>
      <c r="BE236" s="37">
        <v>99</v>
      </c>
      <c r="BF236" s="22">
        <v>999</v>
      </c>
      <c r="BG236" s="22">
        <v>999</v>
      </c>
      <c r="BH236" s="22">
        <v>999</v>
      </c>
      <c r="BI236" s="22">
        <v>999</v>
      </c>
      <c r="BJ236" s="22">
        <v>9</v>
      </c>
    </row>
    <row r="237" spans="1:62" ht="13">
      <c r="A237" s="22" t="s">
        <v>3004</v>
      </c>
      <c r="B237" s="22"/>
      <c r="C237" s="22"/>
      <c r="D237" s="22"/>
      <c r="E237" s="22">
        <v>2</v>
      </c>
      <c r="F237" s="22">
        <v>1</v>
      </c>
      <c r="G237" s="28">
        <v>3</v>
      </c>
      <c r="H237" s="28">
        <v>6</v>
      </c>
      <c r="I237" s="30">
        <v>1956</v>
      </c>
      <c r="J237" s="34">
        <f t="shared" si="0"/>
        <v>20609</v>
      </c>
      <c r="K237" s="39" t="s">
        <v>328</v>
      </c>
      <c r="L237" s="25" t="s">
        <v>1297</v>
      </c>
      <c r="M237" s="30">
        <v>5</v>
      </c>
      <c r="N237" s="17" t="s">
        <v>32</v>
      </c>
      <c r="O237" s="17"/>
      <c r="P237" s="25" t="s">
        <v>1298</v>
      </c>
      <c r="Q237" s="25" t="s">
        <v>1351</v>
      </c>
      <c r="R237" s="25">
        <v>33.207932999999997</v>
      </c>
      <c r="S237" s="25">
        <v>35.570245999999997</v>
      </c>
      <c r="T237" s="22">
        <v>2</v>
      </c>
      <c r="U237" s="22">
        <v>1</v>
      </c>
      <c r="V237" s="22">
        <v>5</v>
      </c>
      <c r="W237" s="22">
        <v>2</v>
      </c>
      <c r="X237" s="22">
        <v>1</v>
      </c>
      <c r="Y237" s="18"/>
      <c r="Z237" s="22">
        <v>5</v>
      </c>
      <c r="AA237" s="22">
        <v>1</v>
      </c>
      <c r="AB237" s="18" t="s">
        <v>221</v>
      </c>
      <c r="AC237" s="22">
        <v>99</v>
      </c>
      <c r="AD237" s="22">
        <v>2</v>
      </c>
      <c r="AE237" s="18" t="s">
        <v>221</v>
      </c>
      <c r="AF237" s="22">
        <v>99</v>
      </c>
      <c r="AG237" s="18"/>
      <c r="AH237" s="22">
        <v>99</v>
      </c>
      <c r="AI237" s="57"/>
      <c r="AJ237" s="18"/>
      <c r="AK237" s="22">
        <v>99</v>
      </c>
      <c r="AL237" s="22">
        <v>99</v>
      </c>
      <c r="AM237" s="22">
        <v>99</v>
      </c>
      <c r="AN237" s="22">
        <v>99</v>
      </c>
      <c r="AO237" s="22">
        <v>99</v>
      </c>
      <c r="AP237" s="22">
        <v>99</v>
      </c>
      <c r="AQ237" s="22" t="s">
        <v>3005</v>
      </c>
      <c r="AR237" s="2" t="s">
        <v>3006</v>
      </c>
      <c r="AS237" s="22">
        <v>2</v>
      </c>
      <c r="AT237" s="22">
        <v>2</v>
      </c>
      <c r="AU237" s="22">
        <v>3</v>
      </c>
      <c r="AV237" s="22">
        <v>3</v>
      </c>
      <c r="AW237" s="22">
        <v>4</v>
      </c>
      <c r="AX237" s="37">
        <v>4</v>
      </c>
      <c r="AY237" s="22">
        <v>4</v>
      </c>
      <c r="AZ237" s="22">
        <v>2</v>
      </c>
      <c r="BA237" s="38">
        <v>99</v>
      </c>
      <c r="BB237" s="22">
        <v>99</v>
      </c>
      <c r="BC237" s="22">
        <v>99</v>
      </c>
      <c r="BD237" s="22">
        <v>99</v>
      </c>
      <c r="BE237" s="37">
        <v>99</v>
      </c>
      <c r="BF237" s="22">
        <v>2</v>
      </c>
      <c r="BG237" s="22">
        <v>0</v>
      </c>
      <c r="BH237" s="22">
        <v>2</v>
      </c>
      <c r="BI237" s="22">
        <v>999</v>
      </c>
      <c r="BJ237" s="22">
        <v>8</v>
      </c>
    </row>
    <row r="238" spans="1:62" ht="13">
      <c r="A238" s="22" t="s">
        <v>3007</v>
      </c>
      <c r="B238" s="22"/>
      <c r="C238" s="22"/>
      <c r="D238" s="22"/>
      <c r="E238" s="22">
        <v>2</v>
      </c>
      <c r="F238" s="22">
        <v>1</v>
      </c>
      <c r="G238" s="28">
        <v>5</v>
      </c>
      <c r="H238" s="28">
        <v>6</v>
      </c>
      <c r="I238" s="30">
        <v>1956</v>
      </c>
      <c r="J238" s="34">
        <f t="shared" si="0"/>
        <v>20611</v>
      </c>
      <c r="K238" s="11" t="s">
        <v>3008</v>
      </c>
      <c r="L238" s="25" t="s">
        <v>1299</v>
      </c>
      <c r="M238" s="30">
        <v>99</v>
      </c>
      <c r="N238" s="52"/>
      <c r="O238" s="52"/>
      <c r="P238" s="25" t="s">
        <v>1300</v>
      </c>
      <c r="Q238" s="25" t="s">
        <v>1352</v>
      </c>
      <c r="R238" s="105"/>
      <c r="S238" s="105"/>
      <c r="T238" s="22">
        <v>1</v>
      </c>
      <c r="U238" s="22">
        <v>2</v>
      </c>
      <c r="V238" s="18"/>
      <c r="W238" s="18"/>
      <c r="X238" s="22">
        <v>2</v>
      </c>
      <c r="Y238" s="18"/>
      <c r="Z238" s="22">
        <v>1</v>
      </c>
      <c r="AA238" s="22">
        <v>1</v>
      </c>
      <c r="AB238" s="18" t="s">
        <v>221</v>
      </c>
      <c r="AC238" s="22">
        <v>6</v>
      </c>
      <c r="AD238" s="22">
        <v>2</v>
      </c>
      <c r="AE238" s="18" t="s">
        <v>221</v>
      </c>
      <c r="AF238" s="22">
        <v>99</v>
      </c>
      <c r="AG238" s="18"/>
      <c r="AH238" s="22">
        <v>99</v>
      </c>
      <c r="AI238" s="57"/>
      <c r="AJ238" s="18"/>
      <c r="AK238" s="22">
        <v>99</v>
      </c>
      <c r="AL238" s="22">
        <v>99</v>
      </c>
      <c r="AM238" s="22">
        <v>99</v>
      </c>
      <c r="AN238" s="22">
        <v>99</v>
      </c>
      <c r="AO238" s="22">
        <v>99</v>
      </c>
      <c r="AP238" s="22">
        <v>99</v>
      </c>
      <c r="AQ238" s="22" t="s">
        <v>3009</v>
      </c>
      <c r="AR238" s="2" t="s">
        <v>921</v>
      </c>
      <c r="AS238" s="22">
        <v>99</v>
      </c>
      <c r="AT238" s="22">
        <v>99</v>
      </c>
      <c r="AU238" s="22">
        <v>3</v>
      </c>
      <c r="AV238" s="22">
        <v>3</v>
      </c>
      <c r="AW238" s="22">
        <v>4</v>
      </c>
      <c r="AX238" s="37">
        <v>4</v>
      </c>
      <c r="AY238" s="22">
        <v>4</v>
      </c>
      <c r="AZ238" s="22">
        <v>2</v>
      </c>
      <c r="BA238" s="38">
        <v>99</v>
      </c>
      <c r="BB238" s="22">
        <v>99</v>
      </c>
      <c r="BC238" s="22">
        <v>99</v>
      </c>
      <c r="BD238" s="22">
        <v>99</v>
      </c>
      <c r="BE238" s="37">
        <v>99</v>
      </c>
      <c r="BF238" s="22">
        <v>2</v>
      </c>
      <c r="BG238" s="22">
        <v>0</v>
      </c>
      <c r="BH238" s="22">
        <v>2</v>
      </c>
      <c r="BI238" s="22">
        <v>999</v>
      </c>
      <c r="BJ238" s="22">
        <v>8</v>
      </c>
    </row>
    <row r="239" spans="1:62" ht="13">
      <c r="A239" s="22" t="s">
        <v>3010</v>
      </c>
      <c r="B239" s="22"/>
      <c r="C239" s="22"/>
      <c r="D239" s="22"/>
      <c r="E239" s="22">
        <v>1</v>
      </c>
      <c r="F239" s="22">
        <v>1</v>
      </c>
      <c r="G239" s="28">
        <v>6</v>
      </c>
      <c r="H239" s="28">
        <v>6</v>
      </c>
      <c r="I239" s="30">
        <v>1956</v>
      </c>
      <c r="J239" s="34">
        <f t="shared" si="0"/>
        <v>20612</v>
      </c>
      <c r="K239" s="11" t="s">
        <v>994</v>
      </c>
      <c r="L239" s="25" t="s">
        <v>1301</v>
      </c>
      <c r="M239" s="30">
        <v>1</v>
      </c>
      <c r="N239" s="17" t="s">
        <v>233</v>
      </c>
      <c r="O239" s="17"/>
      <c r="P239" s="25" t="s">
        <v>1302</v>
      </c>
      <c r="Q239" s="25" t="s">
        <v>1358</v>
      </c>
      <c r="R239" s="105"/>
      <c r="S239" s="105"/>
      <c r="T239" s="22">
        <v>2</v>
      </c>
      <c r="U239" s="22">
        <v>1</v>
      </c>
      <c r="V239" s="22">
        <v>5</v>
      </c>
      <c r="W239" s="22">
        <v>3</v>
      </c>
      <c r="X239" s="22">
        <v>2</v>
      </c>
      <c r="Y239" s="18"/>
      <c r="Z239" s="22">
        <v>99</v>
      </c>
      <c r="AA239" s="22">
        <v>99</v>
      </c>
      <c r="AB239" s="18" t="s">
        <v>221</v>
      </c>
      <c r="AC239" s="22">
        <v>9</v>
      </c>
      <c r="AD239" s="22">
        <v>2</v>
      </c>
      <c r="AE239" s="18" t="s">
        <v>221</v>
      </c>
      <c r="AF239" s="22">
        <v>99</v>
      </c>
      <c r="AG239" s="18"/>
      <c r="AH239" s="22">
        <v>99</v>
      </c>
      <c r="AI239" s="57"/>
      <c r="AJ239" s="18"/>
      <c r="AK239" s="22">
        <v>99</v>
      </c>
      <c r="AL239" s="22">
        <v>99</v>
      </c>
      <c r="AM239" s="22">
        <v>99</v>
      </c>
      <c r="AN239" s="22">
        <v>99</v>
      </c>
      <c r="AO239" s="22">
        <v>99</v>
      </c>
      <c r="AP239" s="22">
        <v>99</v>
      </c>
      <c r="AQ239" s="18" t="s">
        <v>221</v>
      </c>
      <c r="AR239" s="18" t="s">
        <v>221</v>
      </c>
      <c r="AS239" s="18"/>
      <c r="AT239" s="18"/>
      <c r="AU239" s="22">
        <v>3</v>
      </c>
      <c r="AV239" s="22">
        <v>3</v>
      </c>
      <c r="AW239" s="22">
        <v>4</v>
      </c>
      <c r="AX239" s="37">
        <v>4</v>
      </c>
      <c r="AY239" s="22">
        <v>4</v>
      </c>
      <c r="AZ239" s="22">
        <v>2</v>
      </c>
      <c r="BA239" s="38">
        <v>99</v>
      </c>
      <c r="BB239" s="22">
        <v>99</v>
      </c>
      <c r="BC239" s="22">
        <v>99</v>
      </c>
      <c r="BD239" s="22">
        <v>99</v>
      </c>
      <c r="BE239" s="37">
        <v>99</v>
      </c>
      <c r="BF239" s="22">
        <v>0</v>
      </c>
      <c r="BG239" s="22">
        <v>0</v>
      </c>
      <c r="BH239" s="22">
        <v>0</v>
      </c>
      <c r="BI239" s="22">
        <v>4</v>
      </c>
      <c r="BJ239" s="22">
        <v>10</v>
      </c>
    </row>
    <row r="240" spans="1:62" ht="13">
      <c r="A240" s="22" t="s">
        <v>3014</v>
      </c>
      <c r="B240" s="22"/>
      <c r="C240" s="22"/>
      <c r="D240" s="22"/>
      <c r="E240" s="22">
        <v>2</v>
      </c>
      <c r="F240" s="22">
        <v>1</v>
      </c>
      <c r="G240" s="28">
        <v>6</v>
      </c>
      <c r="H240" s="28">
        <v>6</v>
      </c>
      <c r="I240" s="30">
        <v>1956</v>
      </c>
      <c r="J240" s="34">
        <f t="shared" si="0"/>
        <v>20612</v>
      </c>
      <c r="K240" s="35" t="s">
        <v>221</v>
      </c>
      <c r="L240" s="25" t="s">
        <v>1304</v>
      </c>
      <c r="M240" s="51"/>
      <c r="N240" s="52"/>
      <c r="O240" s="52"/>
      <c r="P240" s="25" t="s">
        <v>1305</v>
      </c>
      <c r="Q240" s="25" t="s">
        <v>1363</v>
      </c>
      <c r="R240" s="25">
        <v>32.497103000000003</v>
      </c>
      <c r="S240" s="25">
        <v>35.497335999999997</v>
      </c>
      <c r="T240" s="22">
        <v>2</v>
      </c>
      <c r="U240" s="22">
        <v>1</v>
      </c>
      <c r="V240" s="18"/>
      <c r="W240" s="22">
        <v>5</v>
      </c>
      <c r="X240" s="22">
        <v>2</v>
      </c>
      <c r="Y240" s="18"/>
      <c r="Z240" s="22">
        <v>5</v>
      </c>
      <c r="AA240" s="22">
        <v>2</v>
      </c>
      <c r="AB240" s="18" t="s">
        <v>221</v>
      </c>
      <c r="AC240" s="22">
        <v>6</v>
      </c>
      <c r="AD240" s="22">
        <v>2</v>
      </c>
      <c r="AE240" s="18" t="s">
        <v>221</v>
      </c>
      <c r="AF240" s="22">
        <v>99</v>
      </c>
      <c r="AG240" s="18"/>
      <c r="AH240" s="22">
        <v>99</v>
      </c>
      <c r="AI240" s="57"/>
      <c r="AJ240" s="18"/>
      <c r="AK240" s="22">
        <v>99</v>
      </c>
      <c r="AL240" s="22">
        <v>99</v>
      </c>
      <c r="AM240" s="22">
        <v>99</v>
      </c>
      <c r="AN240" s="22">
        <v>99</v>
      </c>
      <c r="AO240" s="22">
        <v>99</v>
      </c>
      <c r="AP240" s="22">
        <v>99</v>
      </c>
      <c r="AQ240" s="22" t="s">
        <v>3015</v>
      </c>
      <c r="AR240" s="2" t="s">
        <v>790</v>
      </c>
      <c r="AS240" s="22">
        <v>5</v>
      </c>
      <c r="AT240" s="22">
        <v>6</v>
      </c>
      <c r="AU240" s="22">
        <v>3</v>
      </c>
      <c r="AV240" s="22">
        <v>3</v>
      </c>
      <c r="AW240" s="22">
        <v>4</v>
      </c>
      <c r="AX240" s="37">
        <v>4</v>
      </c>
      <c r="AY240" s="22">
        <v>4</v>
      </c>
      <c r="AZ240" s="22">
        <v>2</v>
      </c>
      <c r="BA240" s="38">
        <v>99</v>
      </c>
      <c r="BB240" s="22">
        <v>99</v>
      </c>
      <c r="BC240" s="22">
        <v>99</v>
      </c>
      <c r="BD240" s="22">
        <v>99</v>
      </c>
      <c r="BE240" s="37">
        <v>99</v>
      </c>
      <c r="BF240" s="22">
        <v>1</v>
      </c>
      <c r="BG240" s="22">
        <v>1</v>
      </c>
      <c r="BH240" s="22">
        <v>2</v>
      </c>
      <c r="BI240" s="22">
        <v>999</v>
      </c>
      <c r="BJ240" s="22">
        <v>7</v>
      </c>
    </row>
    <row r="241" spans="1:62" ht="13">
      <c r="A241" s="22" t="s">
        <v>3020</v>
      </c>
      <c r="B241" s="22"/>
      <c r="C241" s="22"/>
      <c r="D241" s="22"/>
      <c r="E241" s="22">
        <v>2</v>
      </c>
      <c r="F241" s="22">
        <v>1</v>
      </c>
      <c r="G241" s="28">
        <v>15</v>
      </c>
      <c r="H241" s="28">
        <v>6</v>
      </c>
      <c r="I241" s="30">
        <v>1956</v>
      </c>
      <c r="J241" s="34">
        <f t="shared" si="0"/>
        <v>20621</v>
      </c>
      <c r="K241" s="39" t="s">
        <v>1056</v>
      </c>
      <c r="L241" s="25" t="s">
        <v>1306</v>
      </c>
      <c r="M241" s="30">
        <v>1</v>
      </c>
      <c r="N241" s="17" t="s">
        <v>233</v>
      </c>
      <c r="O241" s="17"/>
      <c r="P241" s="25" t="s">
        <v>1307</v>
      </c>
      <c r="Q241" s="25" t="s">
        <v>1366</v>
      </c>
      <c r="R241" s="105"/>
      <c r="S241" s="105"/>
      <c r="T241" s="22">
        <v>2</v>
      </c>
      <c r="U241" s="22">
        <v>2</v>
      </c>
      <c r="V241" s="22">
        <v>1</v>
      </c>
      <c r="W241" s="22">
        <v>2</v>
      </c>
      <c r="X241" s="22">
        <v>2</v>
      </c>
      <c r="Y241" s="18"/>
      <c r="Z241" s="22">
        <v>5</v>
      </c>
      <c r="AA241" s="22">
        <v>1</v>
      </c>
      <c r="AB241" s="2" t="s">
        <v>734</v>
      </c>
      <c r="AC241" s="22">
        <v>99</v>
      </c>
      <c r="AD241" s="22">
        <v>2</v>
      </c>
      <c r="AE241" s="18" t="s">
        <v>221</v>
      </c>
      <c r="AF241" s="22">
        <v>99</v>
      </c>
      <c r="AG241" s="18"/>
      <c r="AH241" s="22">
        <v>99</v>
      </c>
      <c r="AI241" s="57"/>
      <c r="AJ241" s="18"/>
      <c r="AK241" s="22">
        <v>99</v>
      </c>
      <c r="AL241" s="22">
        <v>99</v>
      </c>
      <c r="AM241" s="22">
        <v>99</v>
      </c>
      <c r="AN241" s="22">
        <v>99</v>
      </c>
      <c r="AO241" s="22">
        <v>99</v>
      </c>
      <c r="AP241" s="22">
        <v>99</v>
      </c>
      <c r="AQ241" s="18" t="s">
        <v>221</v>
      </c>
      <c r="AR241" s="18" t="s">
        <v>221</v>
      </c>
      <c r="AS241" s="22">
        <v>99</v>
      </c>
      <c r="AT241" s="22">
        <v>99</v>
      </c>
      <c r="AU241" s="22">
        <v>3</v>
      </c>
      <c r="AV241" s="22">
        <v>3</v>
      </c>
      <c r="AW241" s="22">
        <v>4</v>
      </c>
      <c r="AX241" s="37">
        <v>4</v>
      </c>
      <c r="AY241" s="22">
        <v>4</v>
      </c>
      <c r="AZ241" s="22">
        <v>2</v>
      </c>
      <c r="BA241" s="38">
        <v>99</v>
      </c>
      <c r="BB241" s="22">
        <v>99</v>
      </c>
      <c r="BC241" s="22">
        <v>99</v>
      </c>
      <c r="BD241" s="22">
        <v>99</v>
      </c>
      <c r="BE241" s="37">
        <v>99</v>
      </c>
      <c r="BF241" s="22">
        <v>2</v>
      </c>
      <c r="BG241" s="22">
        <v>0</v>
      </c>
      <c r="BH241" s="22">
        <v>2</v>
      </c>
      <c r="BI241" s="22">
        <v>999</v>
      </c>
      <c r="BJ241" s="22">
        <v>8</v>
      </c>
    </row>
    <row r="242" spans="1:62" ht="13">
      <c r="A242" s="22" t="s">
        <v>3026</v>
      </c>
      <c r="B242" s="22"/>
      <c r="C242" s="22"/>
      <c r="D242" s="22"/>
      <c r="E242" s="22">
        <v>1</v>
      </c>
      <c r="F242" s="22">
        <v>1</v>
      </c>
      <c r="G242" s="28">
        <v>17</v>
      </c>
      <c r="H242" s="28">
        <v>6</v>
      </c>
      <c r="I242" s="30">
        <v>1956</v>
      </c>
      <c r="J242" s="34">
        <f t="shared" si="0"/>
        <v>20623</v>
      </c>
      <c r="K242" s="39" t="s">
        <v>1056</v>
      </c>
      <c r="L242" s="25" t="s">
        <v>1308</v>
      </c>
      <c r="M242" s="30">
        <v>7</v>
      </c>
      <c r="N242" s="17" t="s">
        <v>447</v>
      </c>
      <c r="O242" s="17"/>
      <c r="P242" s="18"/>
      <c r="Q242" s="41" t="s">
        <v>582</v>
      </c>
      <c r="R242" s="124"/>
      <c r="S242" s="124"/>
      <c r="T242" s="22">
        <v>1</v>
      </c>
      <c r="U242" s="22">
        <v>2</v>
      </c>
      <c r="V242" s="22">
        <v>1</v>
      </c>
      <c r="W242" s="22">
        <v>3</v>
      </c>
      <c r="X242" s="22">
        <v>2</v>
      </c>
      <c r="Y242" s="18"/>
      <c r="Z242" s="22">
        <v>5</v>
      </c>
      <c r="AA242" s="22">
        <v>1</v>
      </c>
      <c r="AB242" s="18" t="s">
        <v>221</v>
      </c>
      <c r="AC242" s="22">
        <v>99</v>
      </c>
      <c r="AD242" s="22">
        <v>99</v>
      </c>
      <c r="AE242" s="18" t="s">
        <v>221</v>
      </c>
      <c r="AF242" s="22">
        <v>99</v>
      </c>
      <c r="AG242" s="18"/>
      <c r="AH242" s="22">
        <v>99</v>
      </c>
      <c r="AI242" s="57"/>
      <c r="AJ242" s="18"/>
      <c r="AK242" s="22">
        <v>99</v>
      </c>
      <c r="AL242" s="22">
        <v>99</v>
      </c>
      <c r="AM242" s="22">
        <v>99</v>
      </c>
      <c r="AN242" s="22">
        <v>99</v>
      </c>
      <c r="AO242" s="22">
        <v>99</v>
      </c>
      <c r="AP242" s="22">
        <v>99</v>
      </c>
      <c r="AQ242" s="18" t="s">
        <v>221</v>
      </c>
      <c r="AR242" s="18" t="s">
        <v>221</v>
      </c>
      <c r="AS242" s="18"/>
      <c r="AT242" s="18"/>
      <c r="AU242" s="22">
        <v>3</v>
      </c>
      <c r="AV242" s="22">
        <v>3</v>
      </c>
      <c r="AW242" s="22">
        <v>4</v>
      </c>
      <c r="AX242" s="37">
        <v>4</v>
      </c>
      <c r="AY242" s="22">
        <v>4</v>
      </c>
      <c r="AZ242" s="22">
        <v>2</v>
      </c>
      <c r="BA242" s="38">
        <v>99</v>
      </c>
      <c r="BB242" s="22">
        <v>99</v>
      </c>
      <c r="BC242" s="22">
        <v>99</v>
      </c>
      <c r="BD242" s="22">
        <v>99</v>
      </c>
      <c r="BE242" s="37">
        <v>99</v>
      </c>
      <c r="BF242" s="22">
        <v>999</v>
      </c>
      <c r="BG242" s="22">
        <v>999</v>
      </c>
      <c r="BH242" s="22">
        <v>999</v>
      </c>
      <c r="BI242" s="22">
        <v>999</v>
      </c>
      <c r="BJ242" s="22">
        <v>8</v>
      </c>
    </row>
    <row r="243" spans="1:62" ht="13">
      <c r="A243" s="22" t="s">
        <v>3032</v>
      </c>
      <c r="B243" s="22"/>
      <c r="C243" s="22"/>
      <c r="D243" s="22"/>
      <c r="E243" s="22">
        <v>1</v>
      </c>
      <c r="F243" s="22">
        <v>1</v>
      </c>
      <c r="G243" s="28">
        <v>7</v>
      </c>
      <c r="H243" s="28">
        <v>7</v>
      </c>
      <c r="I243" s="30">
        <v>1956</v>
      </c>
      <c r="J243" s="34">
        <f t="shared" si="0"/>
        <v>20643</v>
      </c>
      <c r="K243" s="39" t="s">
        <v>965</v>
      </c>
      <c r="L243" s="25" t="s">
        <v>1310</v>
      </c>
      <c r="M243" s="30">
        <v>5</v>
      </c>
      <c r="N243" s="17" t="s">
        <v>32</v>
      </c>
      <c r="O243" s="17"/>
      <c r="P243" s="25" t="s">
        <v>1244</v>
      </c>
      <c r="Q243" s="25" t="s">
        <v>1282</v>
      </c>
      <c r="R243" s="25">
        <v>32.8109137</v>
      </c>
      <c r="S243" s="25">
        <v>34.9934984</v>
      </c>
      <c r="T243" s="22">
        <v>2</v>
      </c>
      <c r="U243" s="22">
        <v>2</v>
      </c>
      <c r="V243" s="22">
        <v>5</v>
      </c>
      <c r="W243" s="22">
        <v>2</v>
      </c>
      <c r="X243" s="22">
        <v>1</v>
      </c>
      <c r="Y243" s="18"/>
      <c r="Z243" s="22">
        <v>5</v>
      </c>
      <c r="AA243" s="22">
        <v>1</v>
      </c>
      <c r="AB243" s="18" t="s">
        <v>221</v>
      </c>
      <c r="AC243" s="22">
        <v>6</v>
      </c>
      <c r="AD243" s="22">
        <v>2</v>
      </c>
      <c r="AE243" s="18" t="s">
        <v>221</v>
      </c>
      <c r="AF243" s="18"/>
      <c r="AG243" s="18"/>
      <c r="AH243" s="18"/>
      <c r="AI243" s="57"/>
      <c r="AJ243" s="18"/>
      <c r="AK243" s="18"/>
      <c r="AL243" s="18"/>
      <c r="AM243" s="18"/>
      <c r="AN243" s="18"/>
      <c r="AO243" s="18"/>
      <c r="AP243" s="18"/>
      <c r="AQ243" s="18" t="s">
        <v>221</v>
      </c>
      <c r="AR243" s="18" t="s">
        <v>221</v>
      </c>
      <c r="AS243" s="22">
        <v>99</v>
      </c>
      <c r="AT243" s="22">
        <v>99</v>
      </c>
      <c r="AU243" s="22">
        <v>3</v>
      </c>
      <c r="AV243" s="22">
        <v>3</v>
      </c>
      <c r="AW243" s="22">
        <v>4</v>
      </c>
      <c r="AX243" s="37">
        <v>4</v>
      </c>
      <c r="AY243" s="22">
        <v>4</v>
      </c>
      <c r="AZ243" s="22">
        <v>2</v>
      </c>
      <c r="BA243" s="38">
        <v>99</v>
      </c>
      <c r="BB243" s="22">
        <v>99</v>
      </c>
      <c r="BC243" s="22">
        <v>99</v>
      </c>
      <c r="BD243" s="22">
        <v>99</v>
      </c>
      <c r="BE243" s="37">
        <v>99</v>
      </c>
      <c r="BF243" s="22">
        <v>999</v>
      </c>
      <c r="BG243" s="22">
        <v>999</v>
      </c>
      <c r="BH243" s="22">
        <v>999</v>
      </c>
      <c r="BI243" s="22">
        <v>3</v>
      </c>
      <c r="BJ243" s="22">
        <v>9</v>
      </c>
    </row>
    <row r="244" spans="1:62" ht="13">
      <c r="A244" s="22" t="s">
        <v>3037</v>
      </c>
      <c r="B244" s="22"/>
      <c r="C244" s="22"/>
      <c r="D244" s="22"/>
      <c r="E244" s="22">
        <v>3</v>
      </c>
      <c r="F244" s="22">
        <v>2</v>
      </c>
      <c r="G244" s="28">
        <v>9</v>
      </c>
      <c r="H244" s="28">
        <v>7</v>
      </c>
      <c r="I244" s="30">
        <v>1956</v>
      </c>
      <c r="J244" s="34">
        <f t="shared" si="0"/>
        <v>20645</v>
      </c>
      <c r="K244" s="39" t="s">
        <v>1716</v>
      </c>
      <c r="L244" s="25" t="s">
        <v>1311</v>
      </c>
      <c r="M244" s="30">
        <v>7</v>
      </c>
      <c r="N244" s="17" t="s">
        <v>447</v>
      </c>
      <c r="O244" s="17"/>
      <c r="P244" s="18"/>
      <c r="Q244" s="41" t="s">
        <v>582</v>
      </c>
      <c r="R244" s="124"/>
      <c r="S244" s="124"/>
      <c r="T244" s="22">
        <v>1</v>
      </c>
      <c r="U244" s="22">
        <v>2</v>
      </c>
      <c r="V244" s="22">
        <v>5</v>
      </c>
      <c r="W244" s="22">
        <v>3</v>
      </c>
      <c r="X244" s="22">
        <v>2</v>
      </c>
      <c r="Y244" s="18"/>
      <c r="Z244" s="22">
        <v>5</v>
      </c>
      <c r="AA244" s="22">
        <v>99</v>
      </c>
      <c r="AB244" s="18" t="s">
        <v>221</v>
      </c>
      <c r="AC244" s="22">
        <v>99</v>
      </c>
      <c r="AD244" s="22">
        <v>99</v>
      </c>
      <c r="AE244" s="18" t="s">
        <v>221</v>
      </c>
      <c r="AF244" s="22">
        <v>99</v>
      </c>
      <c r="AG244" s="18"/>
      <c r="AH244" s="22">
        <v>99</v>
      </c>
      <c r="AI244" s="57"/>
      <c r="AJ244" s="18"/>
      <c r="AK244" s="22">
        <v>99</v>
      </c>
      <c r="AL244" s="22">
        <v>99</v>
      </c>
      <c r="AM244" s="22">
        <v>99</v>
      </c>
      <c r="AN244" s="22">
        <v>99</v>
      </c>
      <c r="AO244" s="22">
        <v>99</v>
      </c>
      <c r="AP244" s="22">
        <v>99</v>
      </c>
      <c r="AQ244" s="22" t="s">
        <v>3039</v>
      </c>
      <c r="AR244" s="2" t="s">
        <v>1527</v>
      </c>
      <c r="AS244" s="22">
        <v>99</v>
      </c>
      <c r="AT244" s="22">
        <v>6</v>
      </c>
      <c r="AU244" s="22">
        <v>3</v>
      </c>
      <c r="AV244" s="22">
        <v>3</v>
      </c>
      <c r="AW244" s="22">
        <v>4</v>
      </c>
      <c r="AX244" s="37">
        <v>4</v>
      </c>
      <c r="AY244" s="22">
        <v>4</v>
      </c>
      <c r="AZ244" s="22">
        <v>2</v>
      </c>
      <c r="BA244" s="38">
        <v>99</v>
      </c>
      <c r="BB244" s="22">
        <v>99</v>
      </c>
      <c r="BC244" s="22">
        <v>99</v>
      </c>
      <c r="BD244" s="22">
        <v>99</v>
      </c>
      <c r="BE244" s="37">
        <v>99</v>
      </c>
      <c r="BF244" s="22">
        <v>0</v>
      </c>
      <c r="BG244" s="22">
        <v>1</v>
      </c>
      <c r="BH244" s="22">
        <v>1</v>
      </c>
      <c r="BI244" s="22">
        <v>999</v>
      </c>
      <c r="BJ244" s="22">
        <v>99</v>
      </c>
    </row>
    <row r="245" spans="1:62" ht="13">
      <c r="A245" s="22" t="s">
        <v>3040</v>
      </c>
      <c r="B245" s="22"/>
      <c r="C245" s="22"/>
      <c r="D245" s="22"/>
      <c r="E245" s="22">
        <v>3</v>
      </c>
      <c r="F245" s="22">
        <v>1</v>
      </c>
      <c r="G245" s="28">
        <v>13</v>
      </c>
      <c r="H245" s="28">
        <v>7</v>
      </c>
      <c r="I245" s="30">
        <v>1956</v>
      </c>
      <c r="J245" s="34">
        <f t="shared" si="0"/>
        <v>20649</v>
      </c>
      <c r="K245" s="11" t="s">
        <v>3041</v>
      </c>
      <c r="L245" s="25" t="s">
        <v>1313</v>
      </c>
      <c r="M245" s="30">
        <v>4</v>
      </c>
      <c r="N245" s="17" t="s">
        <v>848</v>
      </c>
      <c r="O245" s="17"/>
      <c r="P245" s="18"/>
      <c r="Q245" s="41" t="s">
        <v>582</v>
      </c>
      <c r="R245" s="124"/>
      <c r="S245" s="124"/>
      <c r="T245" s="22">
        <v>2</v>
      </c>
      <c r="U245" s="22">
        <v>1</v>
      </c>
      <c r="V245" s="22">
        <v>5</v>
      </c>
      <c r="W245" s="22">
        <v>3</v>
      </c>
      <c r="X245" s="22">
        <v>2</v>
      </c>
      <c r="Y245" s="18"/>
      <c r="Z245" s="22">
        <v>5</v>
      </c>
      <c r="AA245" s="22">
        <v>1</v>
      </c>
      <c r="AB245" s="2" t="s">
        <v>1294</v>
      </c>
      <c r="AC245" s="22">
        <v>6</v>
      </c>
      <c r="AD245" s="22">
        <v>2</v>
      </c>
      <c r="AE245" s="18" t="s">
        <v>221</v>
      </c>
      <c r="AF245" s="22">
        <v>99</v>
      </c>
      <c r="AG245" s="18"/>
      <c r="AH245" s="22">
        <v>99</v>
      </c>
      <c r="AI245" s="57"/>
      <c r="AJ245" s="18"/>
      <c r="AK245" s="22">
        <v>99</v>
      </c>
      <c r="AL245" s="22">
        <v>99</v>
      </c>
      <c r="AM245" s="22">
        <v>99</v>
      </c>
      <c r="AN245" s="22">
        <v>99</v>
      </c>
      <c r="AO245" s="22">
        <v>99</v>
      </c>
      <c r="AP245" s="22">
        <v>99</v>
      </c>
      <c r="AQ245" s="18" t="s">
        <v>221</v>
      </c>
      <c r="AR245" s="18" t="s">
        <v>221</v>
      </c>
      <c r="AS245" s="18"/>
      <c r="AT245" s="18"/>
      <c r="AU245" s="22">
        <v>3</v>
      </c>
      <c r="AV245" s="22">
        <v>3</v>
      </c>
      <c r="AW245" s="22">
        <v>4</v>
      </c>
      <c r="AX245" s="37">
        <v>4</v>
      </c>
      <c r="AY245" s="22">
        <v>4</v>
      </c>
      <c r="AZ245" s="22">
        <v>2</v>
      </c>
      <c r="BA245" s="38">
        <v>99</v>
      </c>
      <c r="BB245" s="22">
        <v>99</v>
      </c>
      <c r="BC245" s="22">
        <v>99</v>
      </c>
      <c r="BD245" s="22">
        <v>99</v>
      </c>
      <c r="BE245" s="37">
        <v>99</v>
      </c>
      <c r="BF245" s="22">
        <v>999</v>
      </c>
      <c r="BG245" s="22">
        <v>999</v>
      </c>
      <c r="BH245" s="22">
        <v>999</v>
      </c>
      <c r="BI245" s="22">
        <v>999</v>
      </c>
      <c r="BJ245" s="22">
        <v>7</v>
      </c>
    </row>
    <row r="246" spans="1:62" ht="13">
      <c r="A246" s="22" t="s">
        <v>3042</v>
      </c>
      <c r="B246" s="22"/>
      <c r="C246" s="22"/>
      <c r="D246" s="22"/>
      <c r="E246" s="22">
        <v>1</v>
      </c>
      <c r="F246" s="22">
        <v>1</v>
      </c>
      <c r="G246" s="28">
        <v>15</v>
      </c>
      <c r="H246" s="28">
        <v>7</v>
      </c>
      <c r="I246" s="30">
        <v>1956</v>
      </c>
      <c r="J246" s="34">
        <f t="shared" si="0"/>
        <v>20651</v>
      </c>
      <c r="K246" s="39" t="s">
        <v>328</v>
      </c>
      <c r="L246" s="25" t="s">
        <v>1316</v>
      </c>
      <c r="M246" s="30">
        <v>5</v>
      </c>
      <c r="N246" s="17" t="s">
        <v>32</v>
      </c>
      <c r="O246" s="17"/>
      <c r="P246" s="25" t="s">
        <v>1317</v>
      </c>
      <c r="Q246" s="25" t="s">
        <v>1383</v>
      </c>
      <c r="R246" s="25">
        <v>33.008536100000001</v>
      </c>
      <c r="S246" s="25">
        <v>35.098051400000003</v>
      </c>
      <c r="T246" s="22">
        <v>2</v>
      </c>
      <c r="U246" s="22">
        <v>1</v>
      </c>
      <c r="V246" s="22">
        <v>5</v>
      </c>
      <c r="W246" s="22">
        <v>3</v>
      </c>
      <c r="X246" s="22">
        <v>2</v>
      </c>
      <c r="Y246" s="18"/>
      <c r="Z246" s="22">
        <v>99</v>
      </c>
      <c r="AA246" s="22">
        <v>99</v>
      </c>
      <c r="AB246" s="18" t="s">
        <v>221</v>
      </c>
      <c r="AC246" s="22">
        <v>6</v>
      </c>
      <c r="AD246" s="22">
        <v>2</v>
      </c>
      <c r="AE246" s="18" t="s">
        <v>221</v>
      </c>
      <c r="AF246" s="22">
        <v>99</v>
      </c>
      <c r="AG246" s="18"/>
      <c r="AH246" s="22">
        <v>99</v>
      </c>
      <c r="AI246" s="57"/>
      <c r="AJ246" s="18"/>
      <c r="AK246" s="22">
        <v>99</v>
      </c>
      <c r="AL246" s="22">
        <v>99</v>
      </c>
      <c r="AM246" s="22">
        <v>99</v>
      </c>
      <c r="AN246" s="22">
        <v>99</v>
      </c>
      <c r="AO246" s="22">
        <v>99</v>
      </c>
      <c r="AP246" s="22">
        <v>99</v>
      </c>
      <c r="AQ246" s="18" t="s">
        <v>221</v>
      </c>
      <c r="AR246" s="18" t="s">
        <v>221</v>
      </c>
      <c r="AS246" s="18"/>
      <c r="AT246" s="18"/>
      <c r="AU246" s="22">
        <v>3</v>
      </c>
      <c r="AV246" s="22">
        <v>3</v>
      </c>
      <c r="AW246" s="22">
        <v>4</v>
      </c>
      <c r="AX246" s="37">
        <v>4</v>
      </c>
      <c r="AY246" s="22">
        <v>4</v>
      </c>
      <c r="AZ246" s="22">
        <v>2</v>
      </c>
      <c r="BA246" s="38">
        <v>99</v>
      </c>
      <c r="BB246" s="22">
        <v>99</v>
      </c>
      <c r="BC246" s="22">
        <v>99</v>
      </c>
      <c r="BD246" s="22">
        <v>99</v>
      </c>
      <c r="BE246" s="37">
        <v>99</v>
      </c>
      <c r="BF246" s="22">
        <v>0</v>
      </c>
      <c r="BG246" s="22">
        <v>0</v>
      </c>
      <c r="BH246" s="22">
        <v>0</v>
      </c>
      <c r="BI246" s="22">
        <v>999</v>
      </c>
      <c r="BJ246" s="22">
        <v>7</v>
      </c>
    </row>
    <row r="247" spans="1:62" ht="13">
      <c r="A247" s="22" t="s">
        <v>3043</v>
      </c>
      <c r="B247" s="22"/>
      <c r="C247" s="22"/>
      <c r="D247" s="22"/>
      <c r="E247" s="22">
        <v>2</v>
      </c>
      <c r="F247" s="22">
        <v>1</v>
      </c>
      <c r="G247" s="28">
        <v>20</v>
      </c>
      <c r="H247" s="28">
        <v>7</v>
      </c>
      <c r="I247" s="30">
        <v>1956</v>
      </c>
      <c r="J247" s="34">
        <f t="shared" si="0"/>
        <v>20656</v>
      </c>
      <c r="K247" s="11" t="s">
        <v>1761</v>
      </c>
      <c r="L247" s="25" t="s">
        <v>1318</v>
      </c>
      <c r="M247" s="30">
        <v>1</v>
      </c>
      <c r="N247" s="17" t="s">
        <v>233</v>
      </c>
      <c r="O247" s="17"/>
      <c r="P247" s="25" t="s">
        <v>1319</v>
      </c>
      <c r="Q247" s="25" t="s">
        <v>1387</v>
      </c>
      <c r="R247" s="25">
        <v>31.768319000000002</v>
      </c>
      <c r="S247" s="25">
        <v>35.213709999999999</v>
      </c>
      <c r="T247" s="22">
        <v>2</v>
      </c>
      <c r="U247" s="22">
        <v>2</v>
      </c>
      <c r="V247" s="22">
        <v>1</v>
      </c>
      <c r="W247" s="22">
        <v>3</v>
      </c>
      <c r="X247" s="22">
        <v>2</v>
      </c>
      <c r="Y247" s="18"/>
      <c r="Z247" s="22">
        <v>1</v>
      </c>
      <c r="AA247" s="22">
        <v>99</v>
      </c>
      <c r="AB247" s="18" t="s">
        <v>221</v>
      </c>
      <c r="AC247" s="22">
        <v>6</v>
      </c>
      <c r="AD247" s="22">
        <v>2</v>
      </c>
      <c r="AE247" s="18" t="s">
        <v>221</v>
      </c>
      <c r="AF247" s="22">
        <v>99</v>
      </c>
      <c r="AG247" s="18"/>
      <c r="AH247" s="22">
        <v>99</v>
      </c>
      <c r="AI247" s="57"/>
      <c r="AJ247" s="18"/>
      <c r="AK247" s="22">
        <v>99</v>
      </c>
      <c r="AL247" s="22">
        <v>99</v>
      </c>
      <c r="AM247" s="22">
        <v>99</v>
      </c>
      <c r="AN247" s="22">
        <v>99</v>
      </c>
      <c r="AO247" s="22">
        <v>99</v>
      </c>
      <c r="AP247" s="22">
        <v>99</v>
      </c>
      <c r="AQ247" s="22" t="s">
        <v>3044</v>
      </c>
      <c r="AR247" s="2" t="s">
        <v>637</v>
      </c>
      <c r="AS247" s="22">
        <v>99</v>
      </c>
      <c r="AT247" s="22">
        <v>6</v>
      </c>
      <c r="AU247" s="22">
        <v>3</v>
      </c>
      <c r="AV247" s="22">
        <v>3</v>
      </c>
      <c r="AW247" s="22">
        <v>4</v>
      </c>
      <c r="AX247" s="37">
        <v>4</v>
      </c>
      <c r="AY247" s="22">
        <v>4</v>
      </c>
      <c r="AZ247" s="22">
        <v>2</v>
      </c>
      <c r="BA247" s="38">
        <v>99</v>
      </c>
      <c r="BB247" s="22">
        <v>99</v>
      </c>
      <c r="BC247" s="22">
        <v>99</v>
      </c>
      <c r="BD247" s="22">
        <v>99</v>
      </c>
      <c r="BE247" s="37">
        <v>99</v>
      </c>
      <c r="BF247" s="22">
        <v>1</v>
      </c>
      <c r="BG247" s="22">
        <v>2</v>
      </c>
      <c r="BH247" s="22">
        <v>3</v>
      </c>
      <c r="BI247" s="22">
        <v>7</v>
      </c>
      <c r="BJ247" s="22">
        <v>8</v>
      </c>
    </row>
    <row r="248" spans="1:62" ht="13">
      <c r="A248" s="22" t="s">
        <v>3045</v>
      </c>
      <c r="B248" s="22"/>
      <c r="C248" s="22"/>
      <c r="D248" s="22"/>
      <c r="E248" s="22">
        <v>2</v>
      </c>
      <c r="F248" s="22">
        <v>1</v>
      </c>
      <c r="G248" s="28">
        <v>21</v>
      </c>
      <c r="H248" s="28">
        <v>7</v>
      </c>
      <c r="I248" s="30">
        <v>1956</v>
      </c>
      <c r="J248" s="34">
        <f t="shared" si="0"/>
        <v>20657</v>
      </c>
      <c r="K248" s="11" t="s">
        <v>1464</v>
      </c>
      <c r="L248" s="25" t="s">
        <v>1320</v>
      </c>
      <c r="M248" s="30">
        <v>1</v>
      </c>
      <c r="N248" s="17" t="s">
        <v>233</v>
      </c>
      <c r="O248" s="17"/>
      <c r="P248" s="25" t="s">
        <v>1322</v>
      </c>
      <c r="Q248" s="25" t="s">
        <v>1393</v>
      </c>
      <c r="R248" s="105"/>
      <c r="S248" s="105"/>
      <c r="T248" s="22">
        <v>2</v>
      </c>
      <c r="U248" s="22">
        <v>1</v>
      </c>
      <c r="V248" s="22">
        <v>1</v>
      </c>
      <c r="W248" s="22">
        <v>3</v>
      </c>
      <c r="X248" s="22">
        <v>2</v>
      </c>
      <c r="Y248" s="18"/>
      <c r="Z248" s="22">
        <v>1</v>
      </c>
      <c r="AA248" s="22">
        <v>99</v>
      </c>
      <c r="AB248" s="2" t="s">
        <v>2217</v>
      </c>
      <c r="AC248" s="22">
        <v>6</v>
      </c>
      <c r="AD248" s="22">
        <v>2</v>
      </c>
      <c r="AE248" s="18" t="s">
        <v>221</v>
      </c>
      <c r="AF248" s="22">
        <v>99</v>
      </c>
      <c r="AG248" s="18"/>
      <c r="AH248" s="22">
        <v>99</v>
      </c>
      <c r="AI248" s="57"/>
      <c r="AJ248" s="18"/>
      <c r="AK248" s="22">
        <v>99</v>
      </c>
      <c r="AL248" s="22">
        <v>99</v>
      </c>
      <c r="AM248" s="22">
        <v>99</v>
      </c>
      <c r="AN248" s="22">
        <v>99</v>
      </c>
      <c r="AO248" s="22">
        <v>99</v>
      </c>
      <c r="AP248" s="22">
        <v>99</v>
      </c>
      <c r="AQ248" s="22" t="s">
        <v>3047</v>
      </c>
      <c r="AR248" s="2" t="s">
        <v>921</v>
      </c>
      <c r="AS248" s="22">
        <v>4</v>
      </c>
      <c r="AT248" s="22">
        <v>6</v>
      </c>
      <c r="AU248" s="22">
        <v>3</v>
      </c>
      <c r="AV248" s="22">
        <v>3</v>
      </c>
      <c r="AW248" s="22">
        <v>4</v>
      </c>
      <c r="AX248" s="37">
        <v>4</v>
      </c>
      <c r="AY248" s="22">
        <v>4</v>
      </c>
      <c r="AZ248" s="22">
        <v>2</v>
      </c>
      <c r="BA248" s="38">
        <v>99</v>
      </c>
      <c r="BB248" s="22">
        <v>99</v>
      </c>
      <c r="BC248" s="22">
        <v>99</v>
      </c>
      <c r="BD248" s="22">
        <v>99</v>
      </c>
      <c r="BE248" s="37">
        <v>99</v>
      </c>
      <c r="BF248" s="22">
        <v>0</v>
      </c>
      <c r="BG248" s="22">
        <v>1</v>
      </c>
      <c r="BH248" s="22">
        <v>1</v>
      </c>
      <c r="BI248" s="22">
        <v>4</v>
      </c>
      <c r="BJ248" s="22">
        <v>8</v>
      </c>
    </row>
    <row r="249" spans="1:62" ht="13">
      <c r="A249" s="22" t="s">
        <v>3049</v>
      </c>
      <c r="B249" s="22"/>
      <c r="C249" s="22"/>
      <c r="D249" s="22"/>
      <c r="E249" s="22">
        <v>1</v>
      </c>
      <c r="F249" s="22">
        <v>1</v>
      </c>
      <c r="G249" s="28">
        <v>22</v>
      </c>
      <c r="H249" s="28">
        <v>7</v>
      </c>
      <c r="I249" s="30">
        <v>1956</v>
      </c>
      <c r="J249" s="34">
        <f t="shared" si="0"/>
        <v>20658</v>
      </c>
      <c r="K249" s="39" t="s">
        <v>328</v>
      </c>
      <c r="L249" s="25" t="s">
        <v>1324</v>
      </c>
      <c r="M249" s="30">
        <v>5</v>
      </c>
      <c r="N249" s="17" t="s">
        <v>32</v>
      </c>
      <c r="O249" s="17"/>
      <c r="P249" s="25" t="s">
        <v>1244</v>
      </c>
      <c r="Q249" s="25" t="s">
        <v>1282</v>
      </c>
      <c r="R249" s="25">
        <v>32.8109137</v>
      </c>
      <c r="S249" s="25">
        <v>34.9934984</v>
      </c>
      <c r="T249" s="22">
        <v>2</v>
      </c>
      <c r="U249" s="22">
        <v>2</v>
      </c>
      <c r="V249" s="22">
        <v>5</v>
      </c>
      <c r="W249" s="22">
        <v>2</v>
      </c>
      <c r="X249" s="22">
        <v>2</v>
      </c>
      <c r="Y249" s="18"/>
      <c r="Z249" s="22">
        <v>5</v>
      </c>
      <c r="AA249" s="22">
        <v>2</v>
      </c>
      <c r="AB249" s="18" t="s">
        <v>221</v>
      </c>
      <c r="AC249" s="22">
        <v>11</v>
      </c>
      <c r="AD249" s="22">
        <v>2</v>
      </c>
      <c r="AE249" s="18" t="s">
        <v>221</v>
      </c>
      <c r="AF249" s="22">
        <v>99</v>
      </c>
      <c r="AG249" s="18"/>
      <c r="AH249" s="22">
        <v>99</v>
      </c>
      <c r="AI249" s="57"/>
      <c r="AJ249" s="18"/>
      <c r="AK249" s="22">
        <v>99</v>
      </c>
      <c r="AL249" s="22">
        <v>99</v>
      </c>
      <c r="AM249" s="22">
        <v>99</v>
      </c>
      <c r="AN249" s="22">
        <v>99</v>
      </c>
      <c r="AO249" s="22">
        <v>99</v>
      </c>
      <c r="AP249" s="22">
        <v>99</v>
      </c>
      <c r="AQ249" s="22" t="s">
        <v>3052</v>
      </c>
      <c r="AR249" s="18" t="s">
        <v>221</v>
      </c>
      <c r="AS249" s="22">
        <v>99</v>
      </c>
      <c r="AT249" s="22">
        <v>3</v>
      </c>
      <c r="AU249" s="22">
        <v>3</v>
      </c>
      <c r="AV249" s="22">
        <v>3</v>
      </c>
      <c r="AW249" s="22">
        <v>4</v>
      </c>
      <c r="AX249" s="37">
        <v>4</v>
      </c>
      <c r="AY249" s="22">
        <v>4</v>
      </c>
      <c r="AZ249" s="22">
        <v>2</v>
      </c>
      <c r="BA249" s="38">
        <v>99</v>
      </c>
      <c r="BB249" s="22">
        <v>99</v>
      </c>
      <c r="BC249" s="22">
        <v>99</v>
      </c>
      <c r="BD249" s="22">
        <v>99</v>
      </c>
      <c r="BE249" s="37">
        <v>99</v>
      </c>
      <c r="BF249" s="22">
        <v>1</v>
      </c>
      <c r="BG249" s="22">
        <v>0</v>
      </c>
      <c r="BH249" s="22">
        <v>1</v>
      </c>
      <c r="BI249" s="22">
        <v>999</v>
      </c>
      <c r="BJ249" s="22">
        <v>8</v>
      </c>
    </row>
    <row r="250" spans="1:62" ht="13">
      <c r="A250" s="22" t="s">
        <v>3053</v>
      </c>
      <c r="B250" s="22"/>
      <c r="C250" s="22"/>
      <c r="D250" s="22"/>
      <c r="E250" s="22">
        <v>1</v>
      </c>
      <c r="F250" s="22">
        <v>1</v>
      </c>
      <c r="G250" s="28">
        <v>23</v>
      </c>
      <c r="H250" s="28">
        <v>7</v>
      </c>
      <c r="I250" s="30">
        <v>1956</v>
      </c>
      <c r="J250" s="34">
        <f t="shared" si="0"/>
        <v>20659</v>
      </c>
      <c r="K250" s="39" t="s">
        <v>830</v>
      </c>
      <c r="L250" s="25" t="s">
        <v>1325</v>
      </c>
      <c r="M250" s="30">
        <v>1</v>
      </c>
      <c r="N250" s="17" t="s">
        <v>233</v>
      </c>
      <c r="O250" s="17"/>
      <c r="P250" s="25" t="s">
        <v>1326</v>
      </c>
      <c r="Q250" s="25" t="s">
        <v>1398</v>
      </c>
      <c r="R250" s="25">
        <v>33.196035000000002</v>
      </c>
      <c r="S250" s="25">
        <v>35.657992999999998</v>
      </c>
      <c r="T250" s="22">
        <v>2</v>
      </c>
      <c r="U250" s="22">
        <v>1</v>
      </c>
      <c r="V250" s="22">
        <v>1</v>
      </c>
      <c r="W250" s="22">
        <v>2</v>
      </c>
      <c r="X250" s="22">
        <v>2</v>
      </c>
      <c r="Y250" s="18"/>
      <c r="Z250" s="22">
        <v>99</v>
      </c>
      <c r="AA250" s="22">
        <v>99</v>
      </c>
      <c r="AB250" s="2" t="s">
        <v>2953</v>
      </c>
      <c r="AC250" s="22">
        <v>6</v>
      </c>
      <c r="AD250" s="22">
        <v>2</v>
      </c>
      <c r="AE250" s="18" t="s">
        <v>221</v>
      </c>
      <c r="AF250" s="22">
        <v>99</v>
      </c>
      <c r="AG250" s="18"/>
      <c r="AH250" s="22">
        <v>99</v>
      </c>
      <c r="AI250" s="57"/>
      <c r="AJ250" s="18"/>
      <c r="AK250" s="22">
        <v>99</v>
      </c>
      <c r="AL250" s="22">
        <v>99</v>
      </c>
      <c r="AM250" s="22">
        <v>99</v>
      </c>
      <c r="AN250" s="22">
        <v>99</v>
      </c>
      <c r="AO250" s="22">
        <v>99</v>
      </c>
      <c r="AP250" s="22">
        <v>99</v>
      </c>
      <c r="AQ250" s="18" t="s">
        <v>221</v>
      </c>
      <c r="AR250" s="18" t="s">
        <v>221</v>
      </c>
      <c r="AS250" s="18"/>
      <c r="AT250" s="18"/>
      <c r="AU250" s="22">
        <v>3</v>
      </c>
      <c r="AV250" s="22">
        <v>3</v>
      </c>
      <c r="AW250" s="22">
        <v>4</v>
      </c>
      <c r="AX250" s="37">
        <v>4</v>
      </c>
      <c r="AY250" s="22">
        <v>4</v>
      </c>
      <c r="AZ250" s="22">
        <v>2</v>
      </c>
      <c r="BA250" s="38">
        <v>99</v>
      </c>
      <c r="BB250" s="22">
        <v>99</v>
      </c>
      <c r="BC250" s="22">
        <v>99</v>
      </c>
      <c r="BD250" s="22">
        <v>99</v>
      </c>
      <c r="BE250" s="37">
        <v>99</v>
      </c>
      <c r="BF250" s="22">
        <v>999</v>
      </c>
      <c r="BG250" s="22">
        <v>999</v>
      </c>
      <c r="BH250" s="22">
        <v>999</v>
      </c>
      <c r="BI250" s="22">
        <v>5</v>
      </c>
      <c r="BJ250" s="22">
        <v>9</v>
      </c>
    </row>
    <row r="251" spans="1:62" ht="13">
      <c r="A251" s="22" t="s">
        <v>3054</v>
      </c>
      <c r="B251" s="22"/>
      <c r="C251" s="22"/>
      <c r="D251" s="22"/>
      <c r="E251" s="22">
        <v>3</v>
      </c>
      <c r="F251" s="22">
        <v>1</v>
      </c>
      <c r="G251" s="28">
        <v>23</v>
      </c>
      <c r="H251" s="28">
        <v>7</v>
      </c>
      <c r="I251" s="30">
        <v>1956</v>
      </c>
      <c r="J251" s="34">
        <f t="shared" si="0"/>
        <v>20659</v>
      </c>
      <c r="K251" s="39" t="s">
        <v>1056</v>
      </c>
      <c r="L251" s="25" t="s">
        <v>1328</v>
      </c>
      <c r="M251" s="30">
        <v>5</v>
      </c>
      <c r="N251" s="17" t="s">
        <v>32</v>
      </c>
      <c r="O251" s="17"/>
      <c r="P251" s="25" t="s">
        <v>1329</v>
      </c>
      <c r="Q251" s="25" t="s">
        <v>1399</v>
      </c>
      <c r="R251" s="25">
        <v>32.964647999999997</v>
      </c>
      <c r="S251" s="25">
        <v>35.495997000000003</v>
      </c>
      <c r="T251" s="22">
        <v>2</v>
      </c>
      <c r="U251" s="22">
        <v>1</v>
      </c>
      <c r="V251" s="22">
        <v>5</v>
      </c>
      <c r="W251" s="22">
        <v>2</v>
      </c>
      <c r="X251" s="22">
        <v>2</v>
      </c>
      <c r="Y251" s="18"/>
      <c r="Z251" s="22">
        <v>5</v>
      </c>
      <c r="AA251" s="22">
        <v>1</v>
      </c>
      <c r="AB251" s="18" t="s">
        <v>221</v>
      </c>
      <c r="AC251" s="22">
        <v>6</v>
      </c>
      <c r="AD251" s="22">
        <v>2</v>
      </c>
      <c r="AE251" s="18" t="s">
        <v>221</v>
      </c>
      <c r="AF251" s="22">
        <v>99</v>
      </c>
      <c r="AG251" s="18"/>
      <c r="AH251" s="22">
        <v>99</v>
      </c>
      <c r="AI251" s="57"/>
      <c r="AJ251" s="18"/>
      <c r="AK251" s="22">
        <v>99</v>
      </c>
      <c r="AL251" s="22">
        <v>99</v>
      </c>
      <c r="AM251" s="22">
        <v>99</v>
      </c>
      <c r="AN251" s="22">
        <v>99</v>
      </c>
      <c r="AO251" s="22">
        <v>99</v>
      </c>
      <c r="AP251" s="22">
        <v>99</v>
      </c>
      <c r="AQ251" s="18" t="s">
        <v>221</v>
      </c>
      <c r="AR251" s="18" t="s">
        <v>221</v>
      </c>
      <c r="AS251" s="18"/>
      <c r="AT251" s="18"/>
      <c r="AU251" s="22">
        <v>3</v>
      </c>
      <c r="AV251" s="22">
        <v>3</v>
      </c>
      <c r="AW251" s="22">
        <v>4</v>
      </c>
      <c r="AX251" s="37">
        <v>4</v>
      </c>
      <c r="AY251" s="22">
        <v>4</v>
      </c>
      <c r="AZ251" s="22">
        <v>2</v>
      </c>
      <c r="BA251" s="38">
        <v>99</v>
      </c>
      <c r="BB251" s="22">
        <v>99</v>
      </c>
      <c r="BC251" s="22">
        <v>99</v>
      </c>
      <c r="BD251" s="22">
        <v>99</v>
      </c>
      <c r="BE251" s="37">
        <v>99</v>
      </c>
      <c r="BF251" s="22">
        <v>0</v>
      </c>
      <c r="BG251" s="22">
        <v>0</v>
      </c>
      <c r="BH251" s="22">
        <v>0</v>
      </c>
      <c r="BI251" s="22">
        <v>999</v>
      </c>
      <c r="BJ251" s="22">
        <v>7</v>
      </c>
    </row>
    <row r="252" spans="1:62" ht="13">
      <c r="A252" s="22" t="s">
        <v>3055</v>
      </c>
      <c r="B252" s="22"/>
      <c r="C252" s="22"/>
      <c r="D252" s="22"/>
      <c r="E252" s="22">
        <v>4</v>
      </c>
      <c r="F252" s="22">
        <v>1</v>
      </c>
      <c r="G252" s="28">
        <v>16</v>
      </c>
      <c r="H252" s="28">
        <v>8</v>
      </c>
      <c r="I252" s="30">
        <v>1956</v>
      </c>
      <c r="J252" s="34">
        <f t="shared" si="0"/>
        <v>20683</v>
      </c>
      <c r="K252" s="11" t="s">
        <v>3056</v>
      </c>
      <c r="L252" s="25" t="s">
        <v>1333</v>
      </c>
      <c r="M252" s="30">
        <v>7</v>
      </c>
      <c r="N252" s="17" t="s">
        <v>447</v>
      </c>
      <c r="O252" s="17"/>
      <c r="P252" s="18"/>
      <c r="Q252" s="41" t="s">
        <v>582</v>
      </c>
      <c r="R252" s="124"/>
      <c r="S252" s="124"/>
      <c r="T252" s="22">
        <v>2</v>
      </c>
      <c r="U252" s="22">
        <v>2</v>
      </c>
      <c r="V252" s="22">
        <v>1</v>
      </c>
      <c r="W252" s="22">
        <v>1</v>
      </c>
      <c r="X252" s="22">
        <v>2</v>
      </c>
      <c r="Y252" s="18"/>
      <c r="Z252" s="22">
        <v>5</v>
      </c>
      <c r="AA252" s="22">
        <v>2</v>
      </c>
      <c r="AB252" s="18" t="s">
        <v>221</v>
      </c>
      <c r="AC252" s="22">
        <v>6</v>
      </c>
      <c r="AD252" s="22">
        <v>2</v>
      </c>
      <c r="AE252" s="18" t="s">
        <v>221</v>
      </c>
      <c r="AF252" s="22">
        <v>99</v>
      </c>
      <c r="AG252" s="18"/>
      <c r="AH252" s="22">
        <v>99</v>
      </c>
      <c r="AI252" s="57"/>
      <c r="AJ252" s="18"/>
      <c r="AK252" s="22">
        <v>99</v>
      </c>
      <c r="AL252" s="22">
        <v>99</v>
      </c>
      <c r="AM252" s="22">
        <v>99</v>
      </c>
      <c r="AN252" s="22">
        <v>99</v>
      </c>
      <c r="AO252" s="22">
        <v>99</v>
      </c>
      <c r="AP252" s="22">
        <v>99</v>
      </c>
      <c r="AQ252" s="18" t="s">
        <v>221</v>
      </c>
      <c r="AR252" s="18" t="s">
        <v>221</v>
      </c>
      <c r="AS252" s="18"/>
      <c r="AT252" s="18"/>
      <c r="AU252" s="22">
        <v>3</v>
      </c>
      <c r="AV252" s="22">
        <v>3</v>
      </c>
      <c r="AW252" s="22">
        <v>4</v>
      </c>
      <c r="AX252" s="37">
        <v>4</v>
      </c>
      <c r="AY252" s="22">
        <v>4</v>
      </c>
      <c r="AZ252" s="22">
        <v>2</v>
      </c>
      <c r="BA252" s="38">
        <v>99</v>
      </c>
      <c r="BB252" s="22">
        <v>99</v>
      </c>
      <c r="BC252" s="22">
        <v>99</v>
      </c>
      <c r="BD252" s="22">
        <v>99</v>
      </c>
      <c r="BE252" s="37">
        <v>99</v>
      </c>
      <c r="BF252" s="22">
        <v>999</v>
      </c>
      <c r="BG252" s="22">
        <v>999</v>
      </c>
      <c r="BH252" s="22">
        <v>999</v>
      </c>
      <c r="BI252" s="22">
        <v>999</v>
      </c>
      <c r="BJ252" s="22">
        <v>3</v>
      </c>
    </row>
    <row r="253" spans="1:62" ht="13">
      <c r="A253" s="22" t="s">
        <v>3057</v>
      </c>
      <c r="B253" s="22"/>
      <c r="C253" s="22"/>
      <c r="D253" s="22"/>
      <c r="E253" s="22">
        <v>2</v>
      </c>
      <c r="F253" s="22">
        <v>1</v>
      </c>
      <c r="G253" s="28">
        <v>16</v>
      </c>
      <c r="H253" s="28">
        <v>8</v>
      </c>
      <c r="I253" s="30">
        <v>1956</v>
      </c>
      <c r="J253" s="34">
        <f t="shared" si="0"/>
        <v>20683</v>
      </c>
      <c r="K253" s="39" t="s">
        <v>328</v>
      </c>
      <c r="L253" s="25" t="s">
        <v>1336</v>
      </c>
      <c r="M253" s="30">
        <v>7</v>
      </c>
      <c r="N253" s="17" t="s">
        <v>447</v>
      </c>
      <c r="O253" s="17"/>
      <c r="P253" s="18"/>
      <c r="Q253" s="41" t="s">
        <v>582</v>
      </c>
      <c r="R253" s="124"/>
      <c r="S253" s="124"/>
      <c r="T253" s="22">
        <v>1</v>
      </c>
      <c r="U253" s="22">
        <v>1</v>
      </c>
      <c r="V253" s="22">
        <v>5</v>
      </c>
      <c r="W253" s="22">
        <v>2</v>
      </c>
      <c r="X253" s="22">
        <v>2</v>
      </c>
      <c r="Y253" s="18"/>
      <c r="Z253" s="22">
        <v>99</v>
      </c>
      <c r="AA253" s="22">
        <v>99</v>
      </c>
      <c r="AB253" s="18" t="s">
        <v>221</v>
      </c>
      <c r="AC253" s="22">
        <v>11</v>
      </c>
      <c r="AD253" s="22">
        <v>2</v>
      </c>
      <c r="AE253" s="18" t="s">
        <v>221</v>
      </c>
      <c r="AF253" s="22">
        <v>99</v>
      </c>
      <c r="AG253" s="18"/>
      <c r="AH253" s="22">
        <v>99</v>
      </c>
      <c r="AI253" s="57"/>
      <c r="AJ253" s="18"/>
      <c r="AK253" s="22">
        <v>99</v>
      </c>
      <c r="AL253" s="22">
        <v>99</v>
      </c>
      <c r="AM253" s="22">
        <v>99</v>
      </c>
      <c r="AN253" s="22">
        <v>99</v>
      </c>
      <c r="AO253" s="22">
        <v>99</v>
      </c>
      <c r="AP253" s="22">
        <v>99</v>
      </c>
      <c r="AQ253" s="18" t="s">
        <v>221</v>
      </c>
      <c r="AR253" s="18" t="s">
        <v>221</v>
      </c>
      <c r="AS253" s="18"/>
      <c r="AT253" s="18"/>
      <c r="AU253" s="22">
        <v>3</v>
      </c>
      <c r="AV253" s="22">
        <v>3</v>
      </c>
      <c r="AW253" s="22">
        <v>4</v>
      </c>
      <c r="AX253" s="37">
        <v>4</v>
      </c>
      <c r="AY253" s="22">
        <v>4</v>
      </c>
      <c r="AZ253" s="22">
        <v>2</v>
      </c>
      <c r="BA253" s="38">
        <v>99</v>
      </c>
      <c r="BB253" s="22">
        <v>99</v>
      </c>
      <c r="BC253" s="22">
        <v>99</v>
      </c>
      <c r="BD253" s="22">
        <v>99</v>
      </c>
      <c r="BE253" s="37">
        <v>99</v>
      </c>
      <c r="BF253" s="22">
        <v>0</v>
      </c>
      <c r="BG253" s="22">
        <v>0</v>
      </c>
      <c r="BH253" s="22">
        <v>0</v>
      </c>
      <c r="BI253" s="22">
        <v>2</v>
      </c>
      <c r="BJ253" s="22">
        <v>7</v>
      </c>
    </row>
    <row r="254" spans="1:62" ht="13">
      <c r="A254" s="22" t="s">
        <v>3058</v>
      </c>
      <c r="B254" s="22"/>
      <c r="C254" s="22"/>
      <c r="D254" s="22"/>
      <c r="E254" s="22">
        <v>1</v>
      </c>
      <c r="F254" s="22">
        <v>1</v>
      </c>
      <c r="G254" s="28">
        <v>10</v>
      </c>
      <c r="H254" s="28">
        <v>9</v>
      </c>
      <c r="I254" s="30">
        <v>1956</v>
      </c>
      <c r="J254" s="34">
        <f t="shared" si="0"/>
        <v>20708</v>
      </c>
      <c r="K254" s="39" t="s">
        <v>328</v>
      </c>
      <c r="L254" s="25" t="s">
        <v>1341</v>
      </c>
      <c r="M254" s="30">
        <v>1</v>
      </c>
      <c r="N254" s="17" t="s">
        <v>233</v>
      </c>
      <c r="O254" s="17"/>
      <c r="P254" s="25" t="s">
        <v>1342</v>
      </c>
      <c r="Q254" s="25" t="s">
        <v>1412</v>
      </c>
      <c r="R254" s="25">
        <v>31.768319000000002</v>
      </c>
      <c r="S254" s="25">
        <v>35.213709999999999</v>
      </c>
      <c r="T254" s="22">
        <v>2</v>
      </c>
      <c r="U254" s="22">
        <v>1</v>
      </c>
      <c r="V254" s="22">
        <v>1</v>
      </c>
      <c r="W254" s="22">
        <v>3</v>
      </c>
      <c r="X254" s="22">
        <v>2</v>
      </c>
      <c r="Y254" s="18"/>
      <c r="Z254" s="22">
        <v>99</v>
      </c>
      <c r="AA254" s="22">
        <v>99</v>
      </c>
      <c r="AB254" s="18" t="s">
        <v>221</v>
      </c>
      <c r="AC254" s="22">
        <v>6</v>
      </c>
      <c r="AD254" s="22">
        <v>2</v>
      </c>
      <c r="AE254" s="18" t="s">
        <v>221</v>
      </c>
      <c r="AF254" s="22">
        <v>99</v>
      </c>
      <c r="AG254" s="18"/>
      <c r="AH254" s="22">
        <v>99</v>
      </c>
      <c r="AI254" s="57"/>
      <c r="AJ254" s="18"/>
      <c r="AK254" s="22">
        <v>99</v>
      </c>
      <c r="AL254" s="22">
        <v>99</v>
      </c>
      <c r="AM254" s="22">
        <v>99</v>
      </c>
      <c r="AN254" s="22">
        <v>99</v>
      </c>
      <c r="AO254" s="22">
        <v>99</v>
      </c>
      <c r="AP254" s="22">
        <v>99</v>
      </c>
      <c r="AQ254" s="18" t="s">
        <v>221</v>
      </c>
      <c r="AR254" s="18" t="s">
        <v>221</v>
      </c>
      <c r="AS254" s="18"/>
      <c r="AT254" s="18"/>
      <c r="AU254" s="22">
        <v>3</v>
      </c>
      <c r="AV254" s="22">
        <v>3</v>
      </c>
      <c r="AW254" s="22">
        <v>4</v>
      </c>
      <c r="AX254" s="37">
        <v>4</v>
      </c>
      <c r="AY254" s="22">
        <v>4</v>
      </c>
      <c r="AZ254" s="22">
        <v>2</v>
      </c>
      <c r="BA254" s="38">
        <v>99</v>
      </c>
      <c r="BB254" s="22">
        <v>99</v>
      </c>
      <c r="BC254" s="22">
        <v>99</v>
      </c>
      <c r="BD254" s="22">
        <v>99</v>
      </c>
      <c r="BE254" s="37">
        <v>99</v>
      </c>
      <c r="BF254" s="22">
        <v>0</v>
      </c>
      <c r="BG254" s="22">
        <v>0</v>
      </c>
      <c r="BH254" s="22">
        <v>0</v>
      </c>
      <c r="BI254" s="22">
        <v>999</v>
      </c>
      <c r="BJ254" s="22">
        <v>8</v>
      </c>
    </row>
    <row r="255" spans="1:62" ht="13">
      <c r="A255" s="22" t="s">
        <v>3059</v>
      </c>
      <c r="B255" s="22"/>
      <c r="C255" s="22"/>
      <c r="D255" s="22"/>
      <c r="E255" s="22">
        <v>1</v>
      </c>
      <c r="F255" s="22">
        <v>2</v>
      </c>
      <c r="G255" s="28">
        <v>12</v>
      </c>
      <c r="H255" s="28">
        <v>9</v>
      </c>
      <c r="I255" s="30">
        <v>1956</v>
      </c>
      <c r="J255" s="34">
        <f t="shared" si="0"/>
        <v>20710</v>
      </c>
      <c r="K255" s="39" t="s">
        <v>1716</v>
      </c>
      <c r="L255" s="25" t="s">
        <v>1345</v>
      </c>
      <c r="M255" s="30">
        <v>7</v>
      </c>
      <c r="N255" s="17" t="s">
        <v>447</v>
      </c>
      <c r="O255" s="17"/>
      <c r="P255" s="18"/>
      <c r="Q255" s="41" t="s">
        <v>582</v>
      </c>
      <c r="R255" s="124"/>
      <c r="S255" s="124"/>
      <c r="T255" s="22">
        <v>2</v>
      </c>
      <c r="U255" s="22">
        <v>2</v>
      </c>
      <c r="V255" s="22">
        <v>5</v>
      </c>
      <c r="W255" s="22">
        <v>99</v>
      </c>
      <c r="X255" s="22">
        <v>2</v>
      </c>
      <c r="Y255" s="18"/>
      <c r="Z255" s="22">
        <v>1</v>
      </c>
      <c r="AA255" s="22">
        <v>99</v>
      </c>
      <c r="AB255" s="18" t="s">
        <v>221</v>
      </c>
      <c r="AC255" s="22">
        <v>6</v>
      </c>
      <c r="AD255" s="22">
        <v>2</v>
      </c>
      <c r="AE255" s="18" t="s">
        <v>221</v>
      </c>
      <c r="AF255" s="22">
        <v>99</v>
      </c>
      <c r="AG255" s="18"/>
      <c r="AH255" s="22">
        <v>99</v>
      </c>
      <c r="AI255" s="57"/>
      <c r="AJ255" s="18"/>
      <c r="AK255" s="22">
        <v>99</v>
      </c>
      <c r="AL255" s="22">
        <v>99</v>
      </c>
      <c r="AM255" s="22">
        <v>99</v>
      </c>
      <c r="AN255" s="22">
        <v>99</v>
      </c>
      <c r="AO255" s="22">
        <v>99</v>
      </c>
      <c r="AP255" s="22">
        <v>99</v>
      </c>
      <c r="AQ255" s="22" t="s">
        <v>3060</v>
      </c>
      <c r="AR255" s="2" t="s">
        <v>570</v>
      </c>
      <c r="AS255" s="22">
        <v>2</v>
      </c>
      <c r="AT255" s="22">
        <v>6</v>
      </c>
      <c r="AU255" s="22">
        <v>3</v>
      </c>
      <c r="AV255" s="22">
        <v>3</v>
      </c>
      <c r="AW255" s="22">
        <v>4</v>
      </c>
      <c r="AX255" s="37">
        <v>4</v>
      </c>
      <c r="AY255" s="22">
        <v>4</v>
      </c>
      <c r="AZ255" s="22">
        <v>2</v>
      </c>
      <c r="BA255" s="38">
        <v>99</v>
      </c>
      <c r="BB255" s="22">
        <v>99</v>
      </c>
      <c r="BC255" s="22">
        <v>99</v>
      </c>
      <c r="BD255" s="22">
        <v>99</v>
      </c>
      <c r="BE255" s="37">
        <v>99</v>
      </c>
      <c r="BF255" s="22">
        <v>9</v>
      </c>
      <c r="BG255" s="22">
        <v>4</v>
      </c>
      <c r="BH255" s="22">
        <v>13</v>
      </c>
      <c r="BI255" s="22">
        <v>20</v>
      </c>
      <c r="BJ255" s="22">
        <v>99</v>
      </c>
    </row>
    <row r="256" spans="1:62" ht="13">
      <c r="A256" s="22" t="s">
        <v>3061</v>
      </c>
      <c r="B256" s="22"/>
      <c r="C256" s="22"/>
      <c r="D256" s="22"/>
      <c r="E256" s="22">
        <v>4</v>
      </c>
      <c r="F256" s="22">
        <v>2</v>
      </c>
      <c r="G256" s="28">
        <v>23</v>
      </c>
      <c r="H256" s="28">
        <v>9</v>
      </c>
      <c r="I256" s="30">
        <v>1956</v>
      </c>
      <c r="J256" s="34">
        <f t="shared" si="0"/>
        <v>20721</v>
      </c>
      <c r="K256" s="11" t="s">
        <v>3062</v>
      </c>
      <c r="L256" s="25" t="s">
        <v>1347</v>
      </c>
      <c r="M256" s="30">
        <v>5</v>
      </c>
      <c r="N256" s="17" t="s">
        <v>32</v>
      </c>
      <c r="O256" s="17"/>
      <c r="P256" s="25" t="s">
        <v>1317</v>
      </c>
      <c r="Q256" s="25" t="s">
        <v>1383</v>
      </c>
      <c r="R256" s="25">
        <v>33.008536100000001</v>
      </c>
      <c r="S256" s="25">
        <v>35.098051400000003</v>
      </c>
      <c r="T256" s="22">
        <v>2</v>
      </c>
      <c r="U256" s="22">
        <v>1</v>
      </c>
      <c r="V256" s="22">
        <v>5</v>
      </c>
      <c r="W256" s="22">
        <v>3</v>
      </c>
      <c r="X256" s="22">
        <v>2</v>
      </c>
      <c r="Y256" s="18"/>
      <c r="Z256" s="22">
        <v>1</v>
      </c>
      <c r="AA256" s="22">
        <v>99</v>
      </c>
      <c r="AB256" s="18" t="s">
        <v>221</v>
      </c>
      <c r="AC256" s="22">
        <v>14</v>
      </c>
      <c r="AD256" s="22">
        <v>2</v>
      </c>
      <c r="AE256" s="18" t="s">
        <v>221</v>
      </c>
      <c r="AF256" s="22">
        <v>99</v>
      </c>
      <c r="AG256" s="18"/>
      <c r="AH256" s="22">
        <v>99</v>
      </c>
      <c r="AI256" s="57"/>
      <c r="AJ256" s="18"/>
      <c r="AK256" s="22">
        <v>99</v>
      </c>
      <c r="AL256" s="22">
        <v>99</v>
      </c>
      <c r="AM256" s="22">
        <v>99</v>
      </c>
      <c r="AN256" s="22">
        <v>99</v>
      </c>
      <c r="AO256" s="22">
        <v>99</v>
      </c>
      <c r="AP256" s="22">
        <v>99</v>
      </c>
      <c r="AQ256" s="22" t="s">
        <v>3063</v>
      </c>
      <c r="AR256" s="2" t="s">
        <v>730</v>
      </c>
      <c r="AS256" s="22">
        <v>99</v>
      </c>
      <c r="AT256" s="22">
        <v>4</v>
      </c>
      <c r="AU256" s="22">
        <v>3</v>
      </c>
      <c r="AV256" s="22">
        <v>3</v>
      </c>
      <c r="AW256" s="22">
        <v>4</v>
      </c>
      <c r="AX256" s="37">
        <v>4</v>
      </c>
      <c r="AY256" s="22">
        <v>4</v>
      </c>
      <c r="AZ256" s="22">
        <v>2</v>
      </c>
      <c r="BA256" s="38">
        <v>99</v>
      </c>
      <c r="BB256" s="22">
        <v>99</v>
      </c>
      <c r="BC256" s="22">
        <v>99</v>
      </c>
      <c r="BD256" s="22">
        <v>99</v>
      </c>
      <c r="BE256" s="37">
        <v>99</v>
      </c>
      <c r="BF256" s="22">
        <v>5</v>
      </c>
      <c r="BG256" s="22">
        <v>0</v>
      </c>
      <c r="BH256" s="22">
        <v>5</v>
      </c>
      <c r="BI256" s="22">
        <v>999</v>
      </c>
      <c r="BJ256" s="22">
        <v>8</v>
      </c>
    </row>
    <row r="257" spans="1:62" ht="13">
      <c r="A257" s="22" t="s">
        <v>3064</v>
      </c>
      <c r="B257" s="22"/>
      <c r="C257" s="22"/>
      <c r="D257" s="22"/>
      <c r="E257" s="22">
        <v>3</v>
      </c>
      <c r="F257" s="22">
        <v>2</v>
      </c>
      <c r="G257" s="28">
        <v>4</v>
      </c>
      <c r="H257" s="28">
        <v>10</v>
      </c>
      <c r="I257" s="30">
        <v>1956</v>
      </c>
      <c r="J257" s="34">
        <f t="shared" si="0"/>
        <v>20732</v>
      </c>
      <c r="K257" s="39" t="s">
        <v>1503</v>
      </c>
      <c r="L257" s="25" t="s">
        <v>1353</v>
      </c>
      <c r="M257" s="30">
        <v>7</v>
      </c>
      <c r="N257" s="17" t="s">
        <v>447</v>
      </c>
      <c r="O257" s="17"/>
      <c r="P257" s="18"/>
      <c r="Q257" s="41" t="s">
        <v>582</v>
      </c>
      <c r="R257" s="124"/>
      <c r="S257" s="124"/>
      <c r="T257" s="22">
        <v>2</v>
      </c>
      <c r="U257" s="22">
        <v>2</v>
      </c>
      <c r="V257" s="22">
        <v>5</v>
      </c>
      <c r="W257" s="22">
        <v>99</v>
      </c>
      <c r="X257" s="22">
        <v>2</v>
      </c>
      <c r="Y257" s="18"/>
      <c r="Z257" s="22">
        <v>99</v>
      </c>
      <c r="AA257" s="22">
        <v>99</v>
      </c>
      <c r="AB257" s="18" t="s">
        <v>221</v>
      </c>
      <c r="AC257" s="22">
        <v>9</v>
      </c>
      <c r="AD257" s="22">
        <v>2</v>
      </c>
      <c r="AE257" s="18" t="s">
        <v>221</v>
      </c>
      <c r="AF257" s="22">
        <v>99</v>
      </c>
      <c r="AG257" s="18"/>
      <c r="AH257" s="22">
        <v>99</v>
      </c>
      <c r="AI257" s="57"/>
      <c r="AJ257" s="18"/>
      <c r="AK257" s="22">
        <v>99</v>
      </c>
      <c r="AL257" s="22">
        <v>99</v>
      </c>
      <c r="AM257" s="22">
        <v>99</v>
      </c>
      <c r="AN257" s="22">
        <v>99</v>
      </c>
      <c r="AO257" s="22">
        <v>99</v>
      </c>
      <c r="AP257" s="22">
        <v>99</v>
      </c>
      <c r="AQ257" s="18" t="s">
        <v>221</v>
      </c>
      <c r="AR257" s="18" t="s">
        <v>221</v>
      </c>
      <c r="AS257" s="18"/>
      <c r="AT257" s="18"/>
      <c r="AU257" s="22">
        <v>3</v>
      </c>
      <c r="AV257" s="22">
        <v>3</v>
      </c>
      <c r="AW257" s="22">
        <v>4</v>
      </c>
      <c r="AX257" s="37">
        <v>4</v>
      </c>
      <c r="AY257" s="22">
        <v>4</v>
      </c>
      <c r="AZ257" s="22">
        <v>2</v>
      </c>
      <c r="BA257" s="38">
        <v>99</v>
      </c>
      <c r="BB257" s="22">
        <v>99</v>
      </c>
      <c r="BC257" s="22">
        <v>99</v>
      </c>
      <c r="BD257" s="22">
        <v>99</v>
      </c>
      <c r="BE257" s="37">
        <v>99</v>
      </c>
      <c r="BF257" s="22">
        <v>0</v>
      </c>
      <c r="BG257" s="22">
        <v>0</v>
      </c>
      <c r="BH257" s="22">
        <v>0</v>
      </c>
      <c r="BI257" s="22">
        <v>0</v>
      </c>
      <c r="BJ257" s="22">
        <v>8</v>
      </c>
    </row>
    <row r="258" spans="1:62" ht="13">
      <c r="A258" s="22" t="s">
        <v>3065</v>
      </c>
      <c r="B258" s="22"/>
      <c r="C258" s="22"/>
      <c r="D258" s="22"/>
      <c r="E258" s="22">
        <v>3</v>
      </c>
      <c r="F258" s="22">
        <v>2</v>
      </c>
      <c r="G258" s="28">
        <v>9</v>
      </c>
      <c r="H258" s="28">
        <v>10</v>
      </c>
      <c r="I258" s="30">
        <v>1956</v>
      </c>
      <c r="J258" s="34">
        <f t="shared" si="0"/>
        <v>20737</v>
      </c>
      <c r="K258" s="11" t="s">
        <v>993</v>
      </c>
      <c r="L258" s="25" t="s">
        <v>1355</v>
      </c>
      <c r="M258" s="30">
        <v>3</v>
      </c>
      <c r="N258" s="17" t="s">
        <v>552</v>
      </c>
      <c r="O258" s="17"/>
      <c r="P258" s="25" t="s">
        <v>1356</v>
      </c>
      <c r="Q258" s="25" t="s">
        <v>1434</v>
      </c>
      <c r="R258" s="25">
        <v>32.178195000000002</v>
      </c>
      <c r="S258" s="25">
        <v>34.907609999999998</v>
      </c>
      <c r="T258" s="22">
        <v>2</v>
      </c>
      <c r="U258" s="22">
        <v>1</v>
      </c>
      <c r="V258" s="22">
        <v>5</v>
      </c>
      <c r="W258" s="22">
        <v>3</v>
      </c>
      <c r="X258" s="22">
        <v>2</v>
      </c>
      <c r="Y258" s="18"/>
      <c r="Z258" s="22">
        <v>99</v>
      </c>
      <c r="AA258" s="22">
        <v>99</v>
      </c>
      <c r="AB258" s="18" t="s">
        <v>221</v>
      </c>
      <c r="AC258" s="22">
        <v>2</v>
      </c>
      <c r="AD258" s="22">
        <v>2</v>
      </c>
      <c r="AE258" s="18" t="s">
        <v>221</v>
      </c>
      <c r="AF258" s="22">
        <v>99</v>
      </c>
      <c r="AG258" s="18"/>
      <c r="AH258" s="22">
        <v>99</v>
      </c>
      <c r="AI258" s="57"/>
      <c r="AJ258" s="18"/>
      <c r="AK258" s="22">
        <v>99</v>
      </c>
      <c r="AL258" s="22">
        <v>99</v>
      </c>
      <c r="AM258" s="22">
        <v>99</v>
      </c>
      <c r="AN258" s="22">
        <v>99</v>
      </c>
      <c r="AO258" s="22">
        <v>99</v>
      </c>
      <c r="AP258" s="22">
        <v>99</v>
      </c>
      <c r="AQ258" s="22" t="s">
        <v>3066</v>
      </c>
      <c r="AR258" s="18" t="s">
        <v>221</v>
      </c>
      <c r="AS258" s="22">
        <v>99</v>
      </c>
      <c r="AT258" s="22">
        <v>6</v>
      </c>
      <c r="AU258" s="22">
        <v>3</v>
      </c>
      <c r="AV258" s="22">
        <v>3</v>
      </c>
      <c r="AW258" s="22">
        <v>4</v>
      </c>
      <c r="AX258" s="37">
        <v>4</v>
      </c>
      <c r="AY258" s="22">
        <v>4</v>
      </c>
      <c r="AZ258" s="22">
        <v>2</v>
      </c>
      <c r="BA258" s="38">
        <v>99</v>
      </c>
      <c r="BB258" s="22">
        <v>99</v>
      </c>
      <c r="BC258" s="22">
        <v>99</v>
      </c>
      <c r="BD258" s="22">
        <v>99</v>
      </c>
      <c r="BE258" s="37">
        <v>99</v>
      </c>
      <c r="BF258" s="22">
        <v>0</v>
      </c>
      <c r="BG258" s="22">
        <v>3</v>
      </c>
      <c r="BH258" s="22">
        <v>3</v>
      </c>
      <c r="BI258" s="22">
        <v>999</v>
      </c>
      <c r="BJ258" s="22">
        <v>8</v>
      </c>
    </row>
    <row r="259" spans="1:62" ht="13">
      <c r="A259" s="22" t="s">
        <v>3067</v>
      </c>
      <c r="B259" s="22"/>
      <c r="C259" s="22"/>
      <c r="D259" s="22"/>
      <c r="E259" s="22">
        <v>2</v>
      </c>
      <c r="F259" s="22">
        <v>1</v>
      </c>
      <c r="G259" s="28">
        <v>1</v>
      </c>
      <c r="H259" s="28">
        <v>11</v>
      </c>
      <c r="I259" s="30">
        <v>1956</v>
      </c>
      <c r="J259" s="34">
        <f t="shared" si="0"/>
        <v>20760</v>
      </c>
      <c r="K259" s="35" t="s">
        <v>221</v>
      </c>
      <c r="L259" s="25" t="s">
        <v>1360</v>
      </c>
      <c r="M259" s="30">
        <v>7</v>
      </c>
      <c r="N259" s="17" t="s">
        <v>447</v>
      </c>
      <c r="O259" s="17"/>
      <c r="P259" s="18"/>
      <c r="Q259" s="41" t="s">
        <v>582</v>
      </c>
      <c r="R259" s="124"/>
      <c r="S259" s="124"/>
      <c r="T259" s="22">
        <v>99</v>
      </c>
      <c r="U259" s="22">
        <v>5</v>
      </c>
      <c r="V259" s="22">
        <v>99</v>
      </c>
      <c r="W259" s="22">
        <v>99</v>
      </c>
      <c r="X259" s="22">
        <v>99</v>
      </c>
      <c r="Y259" s="18"/>
      <c r="Z259" s="22">
        <v>5</v>
      </c>
      <c r="AA259" s="22">
        <v>1</v>
      </c>
      <c r="AB259" s="18" t="s">
        <v>221</v>
      </c>
      <c r="AC259" s="22">
        <v>6</v>
      </c>
      <c r="AD259" s="22">
        <v>2</v>
      </c>
      <c r="AE259" s="18" t="s">
        <v>221</v>
      </c>
      <c r="AF259" s="22">
        <v>99</v>
      </c>
      <c r="AG259" s="18"/>
      <c r="AH259" s="22">
        <v>99</v>
      </c>
      <c r="AI259" s="57"/>
      <c r="AJ259" s="18"/>
      <c r="AK259" s="22">
        <v>99</v>
      </c>
      <c r="AL259" s="22">
        <v>99</v>
      </c>
      <c r="AM259" s="22">
        <v>99</v>
      </c>
      <c r="AN259" s="22">
        <v>99</v>
      </c>
      <c r="AO259" s="22">
        <v>99</v>
      </c>
      <c r="AP259" s="22">
        <v>99</v>
      </c>
      <c r="AQ259" s="22" t="s">
        <v>3068</v>
      </c>
      <c r="AR259" s="2" t="s">
        <v>1755</v>
      </c>
      <c r="AS259" s="22">
        <v>5</v>
      </c>
      <c r="AT259" s="22">
        <v>6</v>
      </c>
      <c r="AU259" s="22">
        <v>3</v>
      </c>
      <c r="AV259" s="22">
        <v>3</v>
      </c>
      <c r="AW259" s="22">
        <v>4</v>
      </c>
      <c r="AX259" s="37">
        <v>4</v>
      </c>
      <c r="AY259" s="22">
        <v>4</v>
      </c>
      <c r="AZ259" s="22">
        <v>2</v>
      </c>
      <c r="BA259" s="38">
        <v>99</v>
      </c>
      <c r="BB259" s="22">
        <v>99</v>
      </c>
      <c r="BC259" s="22">
        <v>99</v>
      </c>
      <c r="BD259" s="22">
        <v>99</v>
      </c>
      <c r="BE259" s="37">
        <v>99</v>
      </c>
      <c r="BF259" s="22">
        <v>18</v>
      </c>
      <c r="BG259" s="22">
        <v>4</v>
      </c>
      <c r="BH259" s="22">
        <v>22</v>
      </c>
      <c r="BI259" s="22">
        <v>999</v>
      </c>
      <c r="BJ259" s="22">
        <v>7</v>
      </c>
    </row>
    <row r="260" spans="1:62" ht="13">
      <c r="A260" s="22" t="s">
        <v>3069</v>
      </c>
      <c r="B260" s="22"/>
      <c r="C260" s="22"/>
      <c r="D260" s="22"/>
      <c r="E260" s="22">
        <v>1</v>
      </c>
      <c r="F260" s="22">
        <v>1</v>
      </c>
      <c r="G260" s="28">
        <v>9</v>
      </c>
      <c r="H260" s="28">
        <v>11</v>
      </c>
      <c r="I260" s="30">
        <v>1956</v>
      </c>
      <c r="J260" s="34">
        <f t="shared" si="0"/>
        <v>20768</v>
      </c>
      <c r="K260" s="35" t="s">
        <v>221</v>
      </c>
      <c r="L260" s="25" t="s">
        <v>1361</v>
      </c>
      <c r="M260" s="30">
        <v>99</v>
      </c>
      <c r="N260" s="52"/>
      <c r="O260" s="52"/>
      <c r="P260" s="25" t="s">
        <v>1362</v>
      </c>
      <c r="Q260" s="25" t="s">
        <v>1439</v>
      </c>
      <c r="R260" s="105"/>
      <c r="S260" s="105"/>
      <c r="T260" s="22">
        <v>1</v>
      </c>
      <c r="U260" s="22">
        <v>2</v>
      </c>
      <c r="V260" s="18"/>
      <c r="W260" s="18"/>
      <c r="X260" s="18"/>
      <c r="Y260" s="18"/>
      <c r="Z260" s="22">
        <v>1</v>
      </c>
      <c r="AA260" s="22">
        <v>99</v>
      </c>
      <c r="AB260" s="18" t="s">
        <v>221</v>
      </c>
      <c r="AC260" s="22">
        <v>6</v>
      </c>
      <c r="AD260" s="22">
        <v>2</v>
      </c>
      <c r="AE260" s="18" t="s">
        <v>221</v>
      </c>
      <c r="AF260" s="22">
        <v>99</v>
      </c>
      <c r="AG260" s="18"/>
      <c r="AH260" s="22">
        <v>99</v>
      </c>
      <c r="AI260" s="57"/>
      <c r="AJ260" s="18"/>
      <c r="AK260" s="22">
        <v>99</v>
      </c>
      <c r="AL260" s="22">
        <v>99</v>
      </c>
      <c r="AM260" s="22">
        <v>99</v>
      </c>
      <c r="AN260" s="22">
        <v>2</v>
      </c>
      <c r="AO260" s="22">
        <v>99</v>
      </c>
      <c r="AP260" s="22">
        <v>2</v>
      </c>
      <c r="AQ260" s="18" t="s">
        <v>221</v>
      </c>
      <c r="AR260" s="18" t="s">
        <v>221</v>
      </c>
      <c r="AS260" s="18"/>
      <c r="AT260" s="18"/>
      <c r="AU260" s="22">
        <v>3</v>
      </c>
      <c r="AV260" s="22">
        <v>3</v>
      </c>
      <c r="AW260" s="22">
        <v>4</v>
      </c>
      <c r="AX260" s="37">
        <v>4</v>
      </c>
      <c r="AY260" s="22">
        <v>4</v>
      </c>
      <c r="AZ260" s="22">
        <v>2</v>
      </c>
      <c r="BA260" s="38">
        <v>99</v>
      </c>
      <c r="BB260" s="22">
        <v>99</v>
      </c>
      <c r="BC260" s="22">
        <v>99</v>
      </c>
      <c r="BD260" s="22">
        <v>99</v>
      </c>
      <c r="BE260" s="37">
        <v>99</v>
      </c>
      <c r="BF260" s="22">
        <v>0</v>
      </c>
      <c r="BG260" s="22">
        <v>5</v>
      </c>
      <c r="BH260" s="22">
        <v>5</v>
      </c>
      <c r="BI260" s="22">
        <v>999</v>
      </c>
      <c r="BJ260" s="22">
        <v>8</v>
      </c>
    </row>
    <row r="261" spans="1:62" ht="13">
      <c r="A261" s="22" t="s">
        <v>3071</v>
      </c>
      <c r="B261" s="22"/>
      <c r="C261" s="22"/>
      <c r="D261" s="22"/>
      <c r="E261" s="22">
        <v>2</v>
      </c>
      <c r="F261" s="22">
        <v>1</v>
      </c>
      <c r="G261" s="28">
        <v>11</v>
      </c>
      <c r="H261" s="28">
        <v>11</v>
      </c>
      <c r="I261" s="30">
        <v>1956</v>
      </c>
      <c r="J261" s="34">
        <f t="shared" si="0"/>
        <v>20770</v>
      </c>
      <c r="K261" s="35" t="s">
        <v>221</v>
      </c>
      <c r="L261" s="25" t="s">
        <v>1365</v>
      </c>
      <c r="M261" s="30">
        <v>5</v>
      </c>
      <c r="N261" s="17" t="s">
        <v>32</v>
      </c>
      <c r="O261" s="17"/>
      <c r="P261" s="25" t="s">
        <v>1317</v>
      </c>
      <c r="Q261" s="25" t="s">
        <v>1383</v>
      </c>
      <c r="R261" s="25">
        <v>33.008536100000001</v>
      </c>
      <c r="S261" s="25">
        <v>35.098051400000003</v>
      </c>
      <c r="T261" s="22">
        <v>2</v>
      </c>
      <c r="U261" s="22">
        <v>1</v>
      </c>
      <c r="V261" s="22">
        <v>5</v>
      </c>
      <c r="W261" s="22">
        <v>3</v>
      </c>
      <c r="X261" s="22">
        <v>2</v>
      </c>
      <c r="Y261" s="18"/>
      <c r="Z261" s="22">
        <v>5</v>
      </c>
      <c r="AA261" s="22">
        <v>1</v>
      </c>
      <c r="AB261" s="18" t="s">
        <v>221</v>
      </c>
      <c r="AC261" s="22">
        <v>6</v>
      </c>
      <c r="AD261" s="22">
        <v>2</v>
      </c>
      <c r="AE261" s="18" t="s">
        <v>221</v>
      </c>
      <c r="AF261" s="22">
        <v>99</v>
      </c>
      <c r="AG261" s="18"/>
      <c r="AH261" s="22">
        <v>99</v>
      </c>
      <c r="AI261" s="57"/>
      <c r="AJ261" s="18"/>
      <c r="AK261" s="22">
        <v>99</v>
      </c>
      <c r="AL261" s="22">
        <v>99</v>
      </c>
      <c r="AM261" s="22">
        <v>99</v>
      </c>
      <c r="AN261" s="22">
        <v>99</v>
      </c>
      <c r="AO261" s="22">
        <v>99</v>
      </c>
      <c r="AP261" s="22">
        <v>99</v>
      </c>
      <c r="AQ261" s="22" t="s">
        <v>3072</v>
      </c>
      <c r="AR261" s="2" t="s">
        <v>3073</v>
      </c>
      <c r="AS261" s="22">
        <v>4</v>
      </c>
      <c r="AT261" s="22">
        <v>6</v>
      </c>
      <c r="AU261" s="22">
        <v>3</v>
      </c>
      <c r="AV261" s="22">
        <v>3</v>
      </c>
      <c r="AW261" s="22">
        <v>4</v>
      </c>
      <c r="AX261" s="37">
        <v>4</v>
      </c>
      <c r="AY261" s="22">
        <v>4</v>
      </c>
      <c r="AZ261" s="22">
        <v>1</v>
      </c>
      <c r="BA261" s="38">
        <v>4</v>
      </c>
      <c r="BB261" s="22">
        <v>99</v>
      </c>
      <c r="BC261" s="22">
        <v>99</v>
      </c>
      <c r="BD261" s="22">
        <v>99</v>
      </c>
      <c r="BE261" s="37">
        <v>99</v>
      </c>
      <c r="BF261" s="22">
        <v>0</v>
      </c>
      <c r="BG261" s="22">
        <v>2</v>
      </c>
      <c r="BH261" s="22">
        <v>2</v>
      </c>
      <c r="BI261" s="22">
        <v>999</v>
      </c>
      <c r="BJ261" s="22">
        <v>8</v>
      </c>
    </row>
    <row r="262" spans="1:62" ht="13">
      <c r="A262" s="22" t="s">
        <v>3074</v>
      </c>
      <c r="B262" s="22"/>
      <c r="C262" s="22"/>
      <c r="D262" s="22"/>
      <c r="E262" s="22">
        <v>1</v>
      </c>
      <c r="F262" s="22">
        <v>1</v>
      </c>
      <c r="G262" s="28">
        <v>21</v>
      </c>
      <c r="H262" s="28">
        <v>11</v>
      </c>
      <c r="I262" s="30">
        <v>1956</v>
      </c>
      <c r="J262" s="34">
        <f t="shared" si="0"/>
        <v>20780</v>
      </c>
      <c r="K262" s="35" t="s">
        <v>221</v>
      </c>
      <c r="L262" s="25" t="s">
        <v>1367</v>
      </c>
      <c r="M262" s="30">
        <v>7</v>
      </c>
      <c r="N262" s="17" t="s">
        <v>447</v>
      </c>
      <c r="O262" s="17"/>
      <c r="P262" s="18"/>
      <c r="Q262" s="41" t="s">
        <v>582</v>
      </c>
      <c r="R262" s="124"/>
      <c r="S262" s="124"/>
      <c r="T262" s="22">
        <v>2</v>
      </c>
      <c r="U262" s="22">
        <v>2</v>
      </c>
      <c r="V262" s="22">
        <v>5</v>
      </c>
      <c r="W262" s="22">
        <v>2</v>
      </c>
      <c r="X262" s="22">
        <v>2</v>
      </c>
      <c r="Y262" s="18"/>
      <c r="Z262" s="22">
        <v>99</v>
      </c>
      <c r="AA262" s="22">
        <v>99</v>
      </c>
      <c r="AB262" s="18" t="s">
        <v>221</v>
      </c>
      <c r="AC262" s="22">
        <v>99</v>
      </c>
      <c r="AD262" s="22">
        <v>2</v>
      </c>
      <c r="AE262" s="18" t="s">
        <v>221</v>
      </c>
      <c r="AF262" s="22">
        <v>99</v>
      </c>
      <c r="AG262" s="18"/>
      <c r="AH262" s="22">
        <v>99</v>
      </c>
      <c r="AI262" s="57"/>
      <c r="AJ262" s="18"/>
      <c r="AK262" s="22">
        <v>99</v>
      </c>
      <c r="AL262" s="22">
        <v>99</v>
      </c>
      <c r="AM262" s="22">
        <v>3</v>
      </c>
      <c r="AN262" s="22">
        <v>1</v>
      </c>
      <c r="AO262" s="22">
        <v>6</v>
      </c>
      <c r="AP262" s="22">
        <v>99</v>
      </c>
      <c r="AQ262" s="22" t="s">
        <v>3075</v>
      </c>
      <c r="AR262" s="2" t="s">
        <v>3076</v>
      </c>
      <c r="AS262" s="22">
        <v>4</v>
      </c>
      <c r="AT262" s="22">
        <v>6</v>
      </c>
      <c r="AU262" s="22">
        <v>3</v>
      </c>
      <c r="AV262" s="22">
        <v>3</v>
      </c>
      <c r="AW262" s="22">
        <v>4</v>
      </c>
      <c r="AX262" s="37">
        <v>4</v>
      </c>
      <c r="AY262" s="22">
        <v>4</v>
      </c>
      <c r="AZ262" s="22">
        <v>1</v>
      </c>
      <c r="BA262" s="38">
        <v>99</v>
      </c>
      <c r="BB262" s="22">
        <v>99</v>
      </c>
      <c r="BC262" s="22">
        <v>99</v>
      </c>
      <c r="BD262" s="22">
        <v>6</v>
      </c>
      <c r="BE262" s="37">
        <v>99</v>
      </c>
      <c r="BF262" s="22">
        <v>0</v>
      </c>
      <c r="BG262" s="22">
        <v>2</v>
      </c>
      <c r="BH262" s="22">
        <v>2</v>
      </c>
      <c r="BI262" s="22">
        <v>5</v>
      </c>
      <c r="BJ262" s="22">
        <v>8</v>
      </c>
    </row>
    <row r="263" spans="1:62" ht="13">
      <c r="A263" s="22" t="s">
        <v>3077</v>
      </c>
      <c r="B263" s="22"/>
      <c r="C263" s="22"/>
      <c r="D263" s="22"/>
      <c r="E263" s="22">
        <v>2</v>
      </c>
      <c r="F263" s="22">
        <v>2</v>
      </c>
      <c r="G263" s="57"/>
      <c r="H263" s="57"/>
      <c r="I263" s="30">
        <v>1957</v>
      </c>
      <c r="J263" s="34">
        <f t="shared" si="0"/>
        <v>20789</v>
      </c>
      <c r="K263" s="35" t="s">
        <v>221</v>
      </c>
      <c r="L263" s="25" t="s">
        <v>1368</v>
      </c>
      <c r="M263" s="30">
        <v>3</v>
      </c>
      <c r="N263" s="17" t="s">
        <v>552</v>
      </c>
      <c r="O263" s="17"/>
      <c r="P263" s="25" t="s">
        <v>1369</v>
      </c>
      <c r="Q263" s="25" t="s">
        <v>1454</v>
      </c>
      <c r="R263" s="25">
        <v>31.252973000000001</v>
      </c>
      <c r="S263" s="25">
        <v>34.791462000000003</v>
      </c>
      <c r="T263" s="22">
        <v>2</v>
      </c>
      <c r="U263" s="22">
        <v>1</v>
      </c>
      <c r="V263" s="18"/>
      <c r="W263" s="22">
        <v>4</v>
      </c>
      <c r="X263" s="22">
        <v>2</v>
      </c>
      <c r="Y263" s="18"/>
      <c r="Z263" s="22">
        <v>99</v>
      </c>
      <c r="AA263" s="22">
        <v>99</v>
      </c>
      <c r="AB263" s="2" t="s">
        <v>1723</v>
      </c>
      <c r="AC263" s="22">
        <v>6</v>
      </c>
      <c r="AD263" s="22">
        <v>2</v>
      </c>
      <c r="AE263" s="18" t="s">
        <v>221</v>
      </c>
      <c r="AF263" s="22">
        <v>99</v>
      </c>
      <c r="AG263" s="18"/>
      <c r="AH263" s="22">
        <v>99</v>
      </c>
      <c r="AI263" s="57"/>
      <c r="AJ263" s="18"/>
      <c r="AK263" s="22">
        <v>99</v>
      </c>
      <c r="AL263" s="22">
        <v>99</v>
      </c>
      <c r="AM263" s="22">
        <v>3</v>
      </c>
      <c r="AN263" s="22">
        <v>99</v>
      </c>
      <c r="AO263" s="22">
        <v>99</v>
      </c>
      <c r="AP263" s="22">
        <v>99</v>
      </c>
      <c r="AQ263" s="22" t="s">
        <v>3078</v>
      </c>
      <c r="AR263" s="18" t="s">
        <v>221</v>
      </c>
      <c r="AS263" s="22">
        <v>99</v>
      </c>
      <c r="AT263" s="22">
        <v>99</v>
      </c>
      <c r="AU263" s="22">
        <v>3</v>
      </c>
      <c r="AV263" s="22">
        <v>3</v>
      </c>
      <c r="AW263" s="22">
        <v>4</v>
      </c>
      <c r="AX263" s="37">
        <v>4</v>
      </c>
      <c r="AY263" s="22">
        <v>4</v>
      </c>
      <c r="AZ263" s="22">
        <v>2</v>
      </c>
      <c r="BA263" s="38">
        <v>99</v>
      </c>
      <c r="BB263" s="22">
        <v>99</v>
      </c>
      <c r="BC263" s="22">
        <v>99</v>
      </c>
      <c r="BD263" s="22">
        <v>99</v>
      </c>
      <c r="BE263" s="37">
        <v>99</v>
      </c>
      <c r="BF263" s="22">
        <v>10</v>
      </c>
      <c r="BG263" s="22">
        <v>0</v>
      </c>
      <c r="BH263" s="22">
        <v>10</v>
      </c>
      <c r="BI263" s="22">
        <v>999</v>
      </c>
      <c r="BJ263" s="22">
        <v>8</v>
      </c>
    </row>
    <row r="264" spans="1:62" ht="13">
      <c r="A264" s="22" t="s">
        <v>3079</v>
      </c>
      <c r="B264" s="22"/>
      <c r="C264" s="22"/>
      <c r="D264" s="22"/>
      <c r="E264" s="22">
        <v>1</v>
      </c>
      <c r="F264" s="22">
        <v>1</v>
      </c>
      <c r="G264" s="28">
        <v>15</v>
      </c>
      <c r="H264" s="28">
        <v>12</v>
      </c>
      <c r="I264" s="30">
        <v>1956</v>
      </c>
      <c r="J264" s="34">
        <f t="shared" si="0"/>
        <v>20804</v>
      </c>
      <c r="K264" s="39" t="s">
        <v>965</v>
      </c>
      <c r="L264" s="25" t="s">
        <v>1370</v>
      </c>
      <c r="M264" s="30">
        <v>3</v>
      </c>
      <c r="N264" s="17" t="s">
        <v>552</v>
      </c>
      <c r="O264" s="17"/>
      <c r="P264" s="25" t="s">
        <v>1371</v>
      </c>
      <c r="Q264" s="25" t="s">
        <v>1456</v>
      </c>
      <c r="R264" s="105"/>
      <c r="S264" s="105"/>
      <c r="T264" s="22">
        <v>2</v>
      </c>
      <c r="U264" s="22">
        <v>1</v>
      </c>
      <c r="V264" s="22">
        <v>5</v>
      </c>
      <c r="W264" s="18"/>
      <c r="X264" s="22">
        <v>2</v>
      </c>
      <c r="Y264" s="18"/>
      <c r="Z264" s="22">
        <v>99</v>
      </c>
      <c r="AA264" s="22">
        <v>99</v>
      </c>
      <c r="AB264" s="2" t="s">
        <v>3080</v>
      </c>
      <c r="AC264" s="22">
        <v>9</v>
      </c>
      <c r="AD264" s="22">
        <v>2</v>
      </c>
      <c r="AE264" s="18" t="s">
        <v>221</v>
      </c>
      <c r="AF264" s="22">
        <v>99</v>
      </c>
      <c r="AG264" s="18"/>
      <c r="AH264" s="22">
        <v>99</v>
      </c>
      <c r="AI264" s="57"/>
      <c r="AJ264" s="18"/>
      <c r="AK264" s="22">
        <v>99</v>
      </c>
      <c r="AL264" s="22">
        <v>99</v>
      </c>
      <c r="AM264" s="22">
        <v>3</v>
      </c>
      <c r="AN264" s="22">
        <v>99</v>
      </c>
      <c r="AO264" s="22">
        <v>99</v>
      </c>
      <c r="AP264" s="22">
        <v>99</v>
      </c>
      <c r="AQ264" s="18" t="s">
        <v>221</v>
      </c>
      <c r="AR264" s="18" t="s">
        <v>221</v>
      </c>
      <c r="AS264" s="18"/>
      <c r="AT264" s="18"/>
      <c r="AU264" s="22">
        <v>3</v>
      </c>
      <c r="AV264" s="22">
        <v>3</v>
      </c>
      <c r="AW264" s="22">
        <v>4</v>
      </c>
      <c r="AX264" s="37">
        <v>4</v>
      </c>
      <c r="AY264" s="22">
        <v>4</v>
      </c>
      <c r="AZ264" s="22">
        <v>2</v>
      </c>
      <c r="BA264" s="38">
        <v>99</v>
      </c>
      <c r="BB264" s="22">
        <v>99</v>
      </c>
      <c r="BC264" s="22">
        <v>99</v>
      </c>
      <c r="BD264" s="22">
        <v>99</v>
      </c>
      <c r="BE264" s="37">
        <v>99</v>
      </c>
      <c r="BF264" s="22">
        <v>999</v>
      </c>
      <c r="BG264" s="22">
        <v>999</v>
      </c>
      <c r="BH264" s="22">
        <v>999</v>
      </c>
      <c r="BI264" s="22">
        <v>999</v>
      </c>
      <c r="BJ264" s="22">
        <v>8</v>
      </c>
    </row>
    <row r="265" spans="1:62" ht="13">
      <c r="A265" s="22" t="s">
        <v>3081</v>
      </c>
      <c r="B265" s="22"/>
      <c r="C265" s="22"/>
      <c r="D265" s="22"/>
      <c r="E265" s="22">
        <v>3</v>
      </c>
      <c r="F265" s="22">
        <v>2</v>
      </c>
      <c r="G265" s="28">
        <v>15</v>
      </c>
      <c r="H265" s="28">
        <v>12</v>
      </c>
      <c r="I265" s="30">
        <v>1956</v>
      </c>
      <c r="J265" s="34">
        <f t="shared" si="0"/>
        <v>20804</v>
      </c>
      <c r="K265" s="11" t="s">
        <v>3082</v>
      </c>
      <c r="L265" s="25" t="s">
        <v>1372</v>
      </c>
      <c r="M265" s="30">
        <v>4</v>
      </c>
      <c r="N265" s="17" t="s">
        <v>848</v>
      </c>
      <c r="O265" s="17"/>
      <c r="P265" s="18"/>
      <c r="Q265" s="41" t="s">
        <v>582</v>
      </c>
      <c r="R265" s="124"/>
      <c r="S265" s="124"/>
      <c r="T265" s="22">
        <v>2</v>
      </c>
      <c r="U265" s="22">
        <v>1</v>
      </c>
      <c r="V265" s="22">
        <v>1</v>
      </c>
      <c r="W265" s="22">
        <v>3</v>
      </c>
      <c r="X265" s="22">
        <v>2</v>
      </c>
      <c r="Y265" s="18"/>
      <c r="Z265" s="22">
        <v>99</v>
      </c>
      <c r="AA265" s="22">
        <v>99</v>
      </c>
      <c r="AB265" s="18" t="s">
        <v>221</v>
      </c>
      <c r="AC265" s="22">
        <v>9</v>
      </c>
      <c r="AD265" s="22">
        <v>2</v>
      </c>
      <c r="AE265" s="22" t="s">
        <v>3083</v>
      </c>
      <c r="AF265" s="22">
        <v>99</v>
      </c>
      <c r="AG265" s="18"/>
      <c r="AH265" s="22">
        <v>99</v>
      </c>
      <c r="AI265" s="57"/>
      <c r="AJ265" s="18"/>
      <c r="AK265" s="22">
        <v>99</v>
      </c>
      <c r="AL265" s="22">
        <v>99</v>
      </c>
      <c r="AM265" s="22">
        <v>3</v>
      </c>
      <c r="AN265" s="22">
        <v>99</v>
      </c>
      <c r="AO265" s="22">
        <v>99</v>
      </c>
      <c r="AP265" s="22">
        <v>99</v>
      </c>
      <c r="AQ265" s="18" t="s">
        <v>221</v>
      </c>
      <c r="AR265" s="18" t="s">
        <v>221</v>
      </c>
      <c r="AS265" s="18"/>
      <c r="AT265" s="18"/>
      <c r="AU265" s="22">
        <v>3</v>
      </c>
      <c r="AV265" s="22">
        <v>3</v>
      </c>
      <c r="AW265" s="22">
        <v>4</v>
      </c>
      <c r="AX265" s="37">
        <v>4</v>
      </c>
      <c r="AY265" s="22">
        <v>4</v>
      </c>
      <c r="AZ265" s="22">
        <v>2</v>
      </c>
      <c r="BA265" s="38">
        <v>99</v>
      </c>
      <c r="BB265" s="22">
        <v>99</v>
      </c>
      <c r="BC265" s="22">
        <v>99</v>
      </c>
      <c r="BD265" s="22">
        <v>99</v>
      </c>
      <c r="BE265" s="37">
        <v>99</v>
      </c>
      <c r="BF265" s="22">
        <v>999</v>
      </c>
      <c r="BG265" s="22">
        <v>999</v>
      </c>
      <c r="BH265" s="22">
        <v>999</v>
      </c>
      <c r="BI265" s="22">
        <v>10</v>
      </c>
      <c r="BJ265" s="22">
        <v>99</v>
      </c>
    </row>
    <row r="266" spans="1:62" ht="13">
      <c r="A266" s="22" t="s">
        <v>3084</v>
      </c>
      <c r="B266" s="22"/>
      <c r="C266" s="22"/>
      <c r="D266" s="22"/>
      <c r="E266" s="22">
        <v>1</v>
      </c>
      <c r="F266" s="22">
        <v>2</v>
      </c>
      <c r="G266" s="28">
        <v>23</v>
      </c>
      <c r="H266" s="28">
        <v>12</v>
      </c>
      <c r="I266" s="30">
        <v>1956</v>
      </c>
      <c r="J266" s="34">
        <f t="shared" si="0"/>
        <v>20812</v>
      </c>
      <c r="K266" s="39" t="s">
        <v>328</v>
      </c>
      <c r="L266" s="25" t="s">
        <v>1374</v>
      </c>
      <c r="M266" s="30">
        <v>3</v>
      </c>
      <c r="N266" s="17" t="s">
        <v>552</v>
      </c>
      <c r="O266" s="17"/>
      <c r="P266" s="25" t="s">
        <v>1375</v>
      </c>
      <c r="Q266" s="25" t="s">
        <v>1467</v>
      </c>
      <c r="R266" s="25">
        <v>33.247571999999998</v>
      </c>
      <c r="S266" s="25">
        <v>35.548499</v>
      </c>
      <c r="T266" s="22">
        <v>2</v>
      </c>
      <c r="U266" s="22">
        <v>1</v>
      </c>
      <c r="V266" s="22">
        <v>5</v>
      </c>
      <c r="W266" s="22">
        <v>3</v>
      </c>
      <c r="X266" s="22">
        <v>2</v>
      </c>
      <c r="Y266" s="18"/>
      <c r="Z266" s="22">
        <v>5</v>
      </c>
      <c r="AA266" s="22">
        <v>2</v>
      </c>
      <c r="AB266" s="18" t="s">
        <v>221</v>
      </c>
      <c r="AC266" s="22">
        <v>9</v>
      </c>
      <c r="AD266" s="22">
        <v>2</v>
      </c>
      <c r="AE266" s="18" t="s">
        <v>221</v>
      </c>
      <c r="AF266" s="22">
        <v>1</v>
      </c>
      <c r="AG266" s="18"/>
      <c r="AH266" s="22">
        <v>99</v>
      </c>
      <c r="AI266" s="57"/>
      <c r="AJ266" s="18"/>
      <c r="AK266" s="22">
        <v>99</v>
      </c>
      <c r="AL266" s="22">
        <v>99</v>
      </c>
      <c r="AM266" s="22">
        <v>3</v>
      </c>
      <c r="AN266" s="22">
        <v>99</v>
      </c>
      <c r="AO266" s="22">
        <v>99</v>
      </c>
      <c r="AP266" s="22">
        <v>99</v>
      </c>
      <c r="AQ266" s="22" t="s">
        <v>3085</v>
      </c>
      <c r="AR266" s="2" t="s">
        <v>3086</v>
      </c>
      <c r="AS266" s="22">
        <v>4</v>
      </c>
      <c r="AT266" s="22">
        <v>6</v>
      </c>
      <c r="AU266" s="22">
        <v>3</v>
      </c>
      <c r="AV266" s="22">
        <v>3</v>
      </c>
      <c r="AW266" s="22">
        <v>4</v>
      </c>
      <c r="AX266" s="37">
        <v>4</v>
      </c>
      <c r="AY266" s="22">
        <v>4</v>
      </c>
      <c r="AZ266" s="22">
        <v>2</v>
      </c>
      <c r="BA266" s="38">
        <v>99</v>
      </c>
      <c r="BB266" s="22">
        <v>99</v>
      </c>
      <c r="BC266" s="22">
        <v>99</v>
      </c>
      <c r="BD266" s="22">
        <v>99</v>
      </c>
      <c r="BE266" s="37">
        <v>99</v>
      </c>
      <c r="BF266" s="22">
        <v>2</v>
      </c>
      <c r="BG266" s="22">
        <v>1</v>
      </c>
      <c r="BH266" s="22">
        <v>3</v>
      </c>
      <c r="BI266" s="22">
        <v>999</v>
      </c>
      <c r="BJ266" s="22">
        <v>7</v>
      </c>
    </row>
    <row r="267" spans="1:62" ht="13">
      <c r="A267" s="22" t="s">
        <v>3087</v>
      </c>
      <c r="B267" s="22"/>
      <c r="C267" s="22"/>
      <c r="D267" s="22"/>
      <c r="E267" s="22">
        <v>2</v>
      </c>
      <c r="F267" s="22">
        <v>2</v>
      </c>
      <c r="G267" s="28">
        <v>27</v>
      </c>
      <c r="H267" s="28">
        <v>12</v>
      </c>
      <c r="I267" s="30">
        <v>1956</v>
      </c>
      <c r="J267" s="34">
        <f t="shared" si="0"/>
        <v>20816</v>
      </c>
      <c r="K267" s="11" t="s">
        <v>3088</v>
      </c>
      <c r="L267" s="25" t="s">
        <v>1376</v>
      </c>
      <c r="M267" s="30">
        <v>3</v>
      </c>
      <c r="N267" s="17" t="s">
        <v>552</v>
      </c>
      <c r="O267" s="17"/>
      <c r="P267" s="25" t="s">
        <v>1377</v>
      </c>
      <c r="Q267" s="25" t="s">
        <v>1471</v>
      </c>
      <c r="R267" s="25">
        <v>33.221485000000001</v>
      </c>
      <c r="S267" s="25">
        <v>35.623027999999998</v>
      </c>
      <c r="T267" s="22">
        <v>2</v>
      </c>
      <c r="U267" s="22">
        <v>1</v>
      </c>
      <c r="V267" s="22">
        <v>5</v>
      </c>
      <c r="W267" s="18"/>
      <c r="X267" s="22">
        <v>2</v>
      </c>
      <c r="Y267" s="18"/>
      <c r="Z267" s="22">
        <v>5</v>
      </c>
      <c r="AA267" s="22">
        <v>1</v>
      </c>
      <c r="AB267" s="18" t="s">
        <v>221</v>
      </c>
      <c r="AC267" s="22">
        <v>11</v>
      </c>
      <c r="AD267" s="22">
        <v>2</v>
      </c>
      <c r="AE267" s="18" t="s">
        <v>221</v>
      </c>
      <c r="AF267" s="22">
        <v>99</v>
      </c>
      <c r="AG267" s="18"/>
      <c r="AH267" s="22">
        <v>99</v>
      </c>
      <c r="AI267" s="57"/>
      <c r="AJ267" s="18"/>
      <c r="AK267" s="22">
        <v>99</v>
      </c>
      <c r="AL267" s="22">
        <v>99</v>
      </c>
      <c r="AM267" s="22">
        <v>3</v>
      </c>
      <c r="AN267" s="22">
        <v>99</v>
      </c>
      <c r="AO267" s="22">
        <v>99</v>
      </c>
      <c r="AP267" s="22">
        <v>99</v>
      </c>
      <c r="AQ267" s="18" t="s">
        <v>221</v>
      </c>
      <c r="AR267" s="18" t="s">
        <v>221</v>
      </c>
      <c r="AS267" s="18"/>
      <c r="AT267" s="18"/>
      <c r="AU267" s="22">
        <v>3</v>
      </c>
      <c r="AV267" s="22">
        <v>3</v>
      </c>
      <c r="AW267" s="22">
        <v>4</v>
      </c>
      <c r="AX267" s="37">
        <v>4</v>
      </c>
      <c r="AY267" s="22">
        <v>4</v>
      </c>
      <c r="AZ267" s="22">
        <v>2</v>
      </c>
      <c r="BA267" s="38">
        <v>99</v>
      </c>
      <c r="BB267" s="22">
        <v>99</v>
      </c>
      <c r="BC267" s="22">
        <v>99</v>
      </c>
      <c r="BD267" s="22">
        <v>99</v>
      </c>
      <c r="BE267" s="37">
        <v>99</v>
      </c>
      <c r="BF267" s="22">
        <v>0</v>
      </c>
      <c r="BG267" s="22">
        <v>0</v>
      </c>
      <c r="BH267" s="22">
        <v>0</v>
      </c>
      <c r="BI267" s="22">
        <v>999</v>
      </c>
      <c r="BJ267" s="22">
        <v>7</v>
      </c>
    </row>
    <row r="268" spans="1:62" ht="13">
      <c r="A268" s="22" t="s">
        <v>3089</v>
      </c>
      <c r="B268" s="22"/>
      <c r="C268" s="22"/>
      <c r="D268" s="22"/>
      <c r="E268" s="22">
        <v>1</v>
      </c>
      <c r="F268" s="22">
        <v>1</v>
      </c>
      <c r="G268" s="28">
        <v>4</v>
      </c>
      <c r="H268" s="28">
        <v>1</v>
      </c>
      <c r="I268" s="30">
        <v>1957</v>
      </c>
      <c r="J268" s="34">
        <f t="shared" si="0"/>
        <v>20824</v>
      </c>
      <c r="K268" s="39" t="s">
        <v>1503</v>
      </c>
      <c r="L268" s="25" t="s">
        <v>1378</v>
      </c>
      <c r="M268" s="30">
        <v>99</v>
      </c>
      <c r="N268" s="52"/>
      <c r="O268" s="52"/>
      <c r="P268" s="25" t="s">
        <v>1379</v>
      </c>
      <c r="Q268" s="25" t="s">
        <v>1475</v>
      </c>
      <c r="R268" s="25">
        <v>32.196015000000003</v>
      </c>
      <c r="S268" s="25">
        <v>34.981513</v>
      </c>
      <c r="T268" s="22">
        <v>1</v>
      </c>
      <c r="U268" s="22">
        <v>1</v>
      </c>
      <c r="V268" s="22">
        <v>1</v>
      </c>
      <c r="W268" s="18"/>
      <c r="X268" s="22">
        <v>2</v>
      </c>
      <c r="Y268" s="18"/>
      <c r="Z268" s="22">
        <v>5</v>
      </c>
      <c r="AA268" s="22">
        <v>2</v>
      </c>
      <c r="AB268" s="18" t="s">
        <v>221</v>
      </c>
      <c r="AC268" s="22">
        <v>9</v>
      </c>
      <c r="AD268" s="22">
        <v>2</v>
      </c>
      <c r="AE268" s="18" t="s">
        <v>221</v>
      </c>
      <c r="AF268" s="22">
        <v>99</v>
      </c>
      <c r="AG268" s="18"/>
      <c r="AH268" s="22">
        <v>99</v>
      </c>
      <c r="AI268" s="57"/>
      <c r="AJ268" s="18"/>
      <c r="AK268" s="22">
        <v>99</v>
      </c>
      <c r="AL268" s="22">
        <v>99</v>
      </c>
      <c r="AM268" s="22">
        <v>99</v>
      </c>
      <c r="AN268" s="22">
        <v>99</v>
      </c>
      <c r="AO268" s="22">
        <v>99</v>
      </c>
      <c r="AP268" s="22">
        <v>99</v>
      </c>
      <c r="AQ268" s="18" t="s">
        <v>221</v>
      </c>
      <c r="AR268" s="18" t="s">
        <v>221</v>
      </c>
      <c r="AS268" s="18"/>
      <c r="AT268" s="18"/>
      <c r="AU268" s="22">
        <v>3</v>
      </c>
      <c r="AV268" s="22">
        <v>3</v>
      </c>
      <c r="AW268" s="22">
        <v>4</v>
      </c>
      <c r="AX268" s="37">
        <v>4</v>
      </c>
      <c r="AY268" s="22">
        <v>4</v>
      </c>
      <c r="AZ268" s="22">
        <v>2</v>
      </c>
      <c r="BA268" s="38">
        <v>99</v>
      </c>
      <c r="BB268" s="22">
        <v>99</v>
      </c>
      <c r="BC268" s="22">
        <v>99</v>
      </c>
      <c r="BD268" s="22">
        <v>99</v>
      </c>
      <c r="BE268" s="37">
        <v>99</v>
      </c>
      <c r="BF268" s="22">
        <v>0</v>
      </c>
      <c r="BG268" s="22">
        <v>0</v>
      </c>
      <c r="BH268" s="22">
        <v>0</v>
      </c>
      <c r="BI268" s="22">
        <v>999</v>
      </c>
      <c r="BJ268" s="22">
        <v>7</v>
      </c>
    </row>
    <row r="269" spans="1:62" ht="13">
      <c r="A269" s="22" t="s">
        <v>3091</v>
      </c>
      <c r="B269" s="22"/>
      <c r="C269" s="22"/>
      <c r="D269" s="22"/>
      <c r="E269" s="22">
        <v>2</v>
      </c>
      <c r="F269" s="22">
        <v>1</v>
      </c>
      <c r="G269" s="28">
        <v>9</v>
      </c>
      <c r="H269" s="28">
        <v>1</v>
      </c>
      <c r="I269" s="30">
        <v>1957</v>
      </c>
      <c r="J269" s="34">
        <f t="shared" si="0"/>
        <v>20829</v>
      </c>
      <c r="K269" s="11" t="s">
        <v>802</v>
      </c>
      <c r="L269" s="25" t="s">
        <v>1381</v>
      </c>
      <c r="M269" s="30">
        <v>1</v>
      </c>
      <c r="N269" s="17" t="s">
        <v>233</v>
      </c>
      <c r="O269" s="17"/>
      <c r="P269" s="25" t="s">
        <v>1382</v>
      </c>
      <c r="Q269" s="25" t="s">
        <v>3092</v>
      </c>
      <c r="R269" s="105"/>
      <c r="S269" s="105"/>
      <c r="T269" s="22">
        <v>2</v>
      </c>
      <c r="U269" s="22">
        <v>1</v>
      </c>
      <c r="V269" s="22">
        <v>1</v>
      </c>
      <c r="W269" s="22">
        <v>3</v>
      </c>
      <c r="X269" s="22">
        <v>2</v>
      </c>
      <c r="Y269" s="18"/>
      <c r="Z269" s="22">
        <v>5</v>
      </c>
      <c r="AA269" s="22">
        <v>1</v>
      </c>
      <c r="AB269" s="18" t="s">
        <v>221</v>
      </c>
      <c r="AC269" s="22">
        <v>6</v>
      </c>
      <c r="AD269" s="22">
        <v>2</v>
      </c>
      <c r="AE269" s="18" t="s">
        <v>221</v>
      </c>
      <c r="AF269" s="22">
        <v>99</v>
      </c>
      <c r="AG269" s="18"/>
      <c r="AH269" s="22">
        <v>99</v>
      </c>
      <c r="AI269" s="57"/>
      <c r="AJ269" s="18"/>
      <c r="AK269" s="22">
        <v>99</v>
      </c>
      <c r="AL269" s="22">
        <v>99</v>
      </c>
      <c r="AM269" s="22">
        <v>3</v>
      </c>
      <c r="AN269" s="22">
        <v>99</v>
      </c>
      <c r="AO269" s="22">
        <v>99</v>
      </c>
      <c r="AP269" s="22">
        <v>99</v>
      </c>
      <c r="AQ269" s="18" t="s">
        <v>221</v>
      </c>
      <c r="AR269" s="18" t="s">
        <v>221</v>
      </c>
      <c r="AS269" s="18"/>
      <c r="AT269" s="18"/>
      <c r="AU269" s="22">
        <v>3</v>
      </c>
      <c r="AV269" s="22">
        <v>3</v>
      </c>
      <c r="AW269" s="22">
        <v>4</v>
      </c>
      <c r="AX269" s="37">
        <v>4</v>
      </c>
      <c r="AY269" s="22">
        <v>4</v>
      </c>
      <c r="AZ269" s="22">
        <v>2</v>
      </c>
      <c r="BA269" s="38">
        <v>99</v>
      </c>
      <c r="BB269" s="22">
        <v>99</v>
      </c>
      <c r="BC269" s="22">
        <v>99</v>
      </c>
      <c r="BD269" s="22">
        <v>99</v>
      </c>
      <c r="BE269" s="37">
        <v>99</v>
      </c>
      <c r="BF269" s="22">
        <v>0</v>
      </c>
      <c r="BG269" s="22">
        <v>0</v>
      </c>
      <c r="BH269" s="22">
        <v>0</v>
      </c>
      <c r="BI269" s="22">
        <v>999</v>
      </c>
      <c r="BJ269" s="22">
        <v>7</v>
      </c>
    </row>
    <row r="270" spans="1:62" ht="13">
      <c r="A270" s="22" t="s">
        <v>3093</v>
      </c>
      <c r="B270" s="22"/>
      <c r="C270" s="22"/>
      <c r="D270" s="22"/>
      <c r="E270" s="22">
        <v>1</v>
      </c>
      <c r="F270" s="22">
        <v>1</v>
      </c>
      <c r="G270" s="28">
        <v>11</v>
      </c>
      <c r="H270" s="28">
        <v>1</v>
      </c>
      <c r="I270" s="30">
        <v>1957</v>
      </c>
      <c r="J270" s="34">
        <f t="shared" si="0"/>
        <v>20831</v>
      </c>
      <c r="K270" s="39" t="s">
        <v>1716</v>
      </c>
      <c r="L270" s="25" t="s">
        <v>1384</v>
      </c>
      <c r="M270" s="30">
        <v>99</v>
      </c>
      <c r="N270" s="52"/>
      <c r="O270" s="52"/>
      <c r="P270" s="25" t="s">
        <v>1386</v>
      </c>
      <c r="Q270" s="25" t="s">
        <v>1479</v>
      </c>
      <c r="R270" s="105"/>
      <c r="S270" s="105"/>
      <c r="T270" s="22">
        <v>1</v>
      </c>
      <c r="U270" s="22">
        <v>1</v>
      </c>
      <c r="V270" s="18"/>
      <c r="W270" s="22">
        <v>1</v>
      </c>
      <c r="X270" s="22">
        <v>2</v>
      </c>
      <c r="Y270" s="18"/>
      <c r="Z270" s="22">
        <v>5</v>
      </c>
      <c r="AA270" s="22">
        <v>99</v>
      </c>
      <c r="AB270" s="18" t="s">
        <v>221</v>
      </c>
      <c r="AC270" s="22">
        <v>9</v>
      </c>
      <c r="AD270" s="22">
        <v>2</v>
      </c>
      <c r="AE270" s="18" t="s">
        <v>221</v>
      </c>
      <c r="AF270" s="22">
        <v>99</v>
      </c>
      <c r="AG270" s="18"/>
      <c r="AH270" s="22">
        <v>99</v>
      </c>
      <c r="AI270" s="57"/>
      <c r="AJ270" s="18"/>
      <c r="AK270" s="22">
        <v>99</v>
      </c>
      <c r="AL270" s="22">
        <v>99</v>
      </c>
      <c r="AM270" s="22">
        <v>99</v>
      </c>
      <c r="AN270" s="22">
        <v>99</v>
      </c>
      <c r="AO270" s="22">
        <v>99</v>
      </c>
      <c r="AP270" s="22">
        <v>99</v>
      </c>
      <c r="AQ270" s="18" t="s">
        <v>221</v>
      </c>
      <c r="AR270" s="18" t="s">
        <v>221</v>
      </c>
      <c r="AS270" s="18"/>
      <c r="AT270" s="18"/>
      <c r="AU270" s="22">
        <v>3</v>
      </c>
      <c r="AV270" s="22">
        <v>3</v>
      </c>
      <c r="AW270" s="22">
        <v>4</v>
      </c>
      <c r="AX270" s="37">
        <v>4</v>
      </c>
      <c r="AY270" s="22">
        <v>4</v>
      </c>
      <c r="AZ270" s="22">
        <v>2</v>
      </c>
      <c r="BA270" s="38">
        <v>99</v>
      </c>
      <c r="BB270" s="22">
        <v>99</v>
      </c>
      <c r="BC270" s="22">
        <v>99</v>
      </c>
      <c r="BD270" s="22">
        <v>99</v>
      </c>
      <c r="BE270" s="37">
        <v>99</v>
      </c>
      <c r="BF270" s="22">
        <v>999</v>
      </c>
      <c r="BG270" s="22">
        <v>999</v>
      </c>
      <c r="BH270" s="22">
        <v>999</v>
      </c>
      <c r="BI270" s="22">
        <v>3</v>
      </c>
      <c r="BJ270" s="22">
        <v>99</v>
      </c>
    </row>
    <row r="271" spans="1:62" ht="13">
      <c r="A271" s="22" t="s">
        <v>3094</v>
      </c>
      <c r="B271" s="22"/>
      <c r="C271" s="22"/>
      <c r="D271" s="22"/>
      <c r="E271" s="22">
        <v>1</v>
      </c>
      <c r="F271" s="22">
        <v>1</v>
      </c>
      <c r="G271" s="28">
        <v>26</v>
      </c>
      <c r="H271" s="28">
        <v>1</v>
      </c>
      <c r="I271" s="30">
        <v>1957</v>
      </c>
      <c r="J271" s="34">
        <f t="shared" si="0"/>
        <v>20846</v>
      </c>
      <c r="K271" s="35" t="s">
        <v>221</v>
      </c>
      <c r="L271" s="25" t="s">
        <v>1389</v>
      </c>
      <c r="M271" s="30">
        <v>1</v>
      </c>
      <c r="N271" s="17" t="s">
        <v>233</v>
      </c>
      <c r="O271" s="17"/>
      <c r="P271" s="25" t="s">
        <v>1390</v>
      </c>
      <c r="Q271" s="25" t="s">
        <v>1484</v>
      </c>
      <c r="R271" s="25">
        <v>33.166753999999997</v>
      </c>
      <c r="S271" s="25">
        <v>35.659948999999997</v>
      </c>
      <c r="T271" s="22">
        <v>2</v>
      </c>
      <c r="U271" s="22">
        <v>1</v>
      </c>
      <c r="V271" s="22">
        <v>99</v>
      </c>
      <c r="W271" s="22">
        <v>3</v>
      </c>
      <c r="X271" s="22">
        <v>2</v>
      </c>
      <c r="Y271" s="18"/>
      <c r="Z271" s="22">
        <v>5</v>
      </c>
      <c r="AA271" s="22">
        <v>99</v>
      </c>
      <c r="AB271" s="18" t="s">
        <v>221</v>
      </c>
      <c r="AC271" s="22">
        <v>9</v>
      </c>
      <c r="AD271" s="22">
        <v>2</v>
      </c>
      <c r="AE271" s="18" t="s">
        <v>221</v>
      </c>
      <c r="AF271" s="22">
        <v>99</v>
      </c>
      <c r="AG271" s="18"/>
      <c r="AH271" s="22">
        <v>99</v>
      </c>
      <c r="AI271" s="57"/>
      <c r="AJ271" s="18"/>
      <c r="AK271" s="22">
        <v>99</v>
      </c>
      <c r="AL271" s="22">
        <v>99</v>
      </c>
      <c r="AM271" s="22">
        <v>99</v>
      </c>
      <c r="AN271" s="22">
        <v>99</v>
      </c>
      <c r="AO271" s="22">
        <v>99</v>
      </c>
      <c r="AP271" s="22">
        <v>99</v>
      </c>
      <c r="AQ271" s="18" t="s">
        <v>221</v>
      </c>
      <c r="AR271" s="18" t="s">
        <v>221</v>
      </c>
      <c r="AS271" s="18"/>
      <c r="AT271" s="18"/>
      <c r="AU271" s="22">
        <v>3</v>
      </c>
      <c r="AV271" s="22">
        <v>3</v>
      </c>
      <c r="AW271" s="22">
        <v>4</v>
      </c>
      <c r="AX271" s="37">
        <v>4</v>
      </c>
      <c r="AY271" s="22">
        <v>4</v>
      </c>
      <c r="AZ271" s="22">
        <v>2</v>
      </c>
      <c r="BA271" s="38">
        <v>99</v>
      </c>
      <c r="BB271" s="22">
        <v>99</v>
      </c>
      <c r="BC271" s="22">
        <v>99</v>
      </c>
      <c r="BD271" s="22">
        <v>99</v>
      </c>
      <c r="BE271" s="37">
        <v>99</v>
      </c>
      <c r="BF271" s="22">
        <v>999</v>
      </c>
      <c r="BG271" s="22">
        <v>999</v>
      </c>
      <c r="BH271" s="22">
        <v>999</v>
      </c>
      <c r="BI271" s="22">
        <v>999</v>
      </c>
      <c r="BJ271" s="22">
        <v>10</v>
      </c>
    </row>
    <row r="272" spans="1:62" ht="13">
      <c r="A272" s="22" t="s">
        <v>3096</v>
      </c>
      <c r="B272" s="22"/>
      <c r="C272" s="22"/>
      <c r="D272" s="22"/>
      <c r="E272" s="22">
        <v>1</v>
      </c>
      <c r="F272" s="22">
        <v>1</v>
      </c>
      <c r="G272" s="28">
        <v>28</v>
      </c>
      <c r="H272" s="28">
        <v>1</v>
      </c>
      <c r="I272" s="30">
        <v>1957</v>
      </c>
      <c r="J272" s="34">
        <f t="shared" si="0"/>
        <v>20848</v>
      </c>
      <c r="K272" s="11" t="s">
        <v>1545</v>
      </c>
      <c r="L272" s="25" t="s">
        <v>1391</v>
      </c>
      <c r="M272" s="30">
        <v>1</v>
      </c>
      <c r="N272" s="17" t="s">
        <v>233</v>
      </c>
      <c r="O272" s="17"/>
      <c r="P272" s="25" t="s">
        <v>215</v>
      </c>
      <c r="Q272" s="25" t="s">
        <v>845</v>
      </c>
      <c r="R272" s="25">
        <v>32.184781000000001</v>
      </c>
      <c r="S272" s="25">
        <v>34.871326000000003</v>
      </c>
      <c r="T272" s="22">
        <v>2</v>
      </c>
      <c r="U272" s="22">
        <v>2</v>
      </c>
      <c r="V272" s="22">
        <v>1</v>
      </c>
      <c r="W272" s="22">
        <v>3</v>
      </c>
      <c r="X272" s="22">
        <v>2</v>
      </c>
      <c r="Y272" s="18"/>
      <c r="Z272" s="22">
        <v>5</v>
      </c>
      <c r="AA272" s="22">
        <v>1</v>
      </c>
      <c r="AB272" s="2" t="s">
        <v>1294</v>
      </c>
      <c r="AC272" s="22">
        <v>6</v>
      </c>
      <c r="AD272" s="22">
        <v>2</v>
      </c>
      <c r="AE272" s="18" t="s">
        <v>221</v>
      </c>
      <c r="AF272" s="22">
        <v>99</v>
      </c>
      <c r="AG272" s="18"/>
      <c r="AH272" s="22">
        <v>99</v>
      </c>
      <c r="AI272" s="57"/>
      <c r="AJ272" s="18"/>
      <c r="AK272" s="22">
        <v>99</v>
      </c>
      <c r="AL272" s="22">
        <v>99</v>
      </c>
      <c r="AM272" s="22">
        <v>99</v>
      </c>
      <c r="AN272" s="22">
        <v>99</v>
      </c>
      <c r="AO272" s="22">
        <v>99</v>
      </c>
      <c r="AP272" s="22">
        <v>99</v>
      </c>
      <c r="AQ272" s="22" t="s">
        <v>3099</v>
      </c>
      <c r="AR272" s="18" t="s">
        <v>221</v>
      </c>
      <c r="AS272" s="22">
        <v>1</v>
      </c>
      <c r="AT272" s="22">
        <v>2</v>
      </c>
      <c r="AU272" s="22">
        <v>3</v>
      </c>
      <c r="AV272" s="22">
        <v>3</v>
      </c>
      <c r="AW272" s="22">
        <v>4</v>
      </c>
      <c r="AX272" s="37">
        <v>4</v>
      </c>
      <c r="AY272" s="22">
        <v>4</v>
      </c>
      <c r="AZ272" s="22">
        <v>2</v>
      </c>
      <c r="BA272" s="38">
        <v>99</v>
      </c>
      <c r="BB272" s="22">
        <v>99</v>
      </c>
      <c r="BC272" s="22">
        <v>99</v>
      </c>
      <c r="BD272" s="22">
        <v>99</v>
      </c>
      <c r="BE272" s="37">
        <v>99</v>
      </c>
      <c r="BF272" s="22">
        <v>1</v>
      </c>
      <c r="BG272" s="22">
        <v>0</v>
      </c>
      <c r="BH272" s="22">
        <v>1</v>
      </c>
      <c r="BI272" s="22">
        <v>999</v>
      </c>
      <c r="BJ272" s="22">
        <v>8</v>
      </c>
    </row>
    <row r="273" spans="1:62" ht="13">
      <c r="A273" s="22" t="s">
        <v>3102</v>
      </c>
      <c r="B273" s="22"/>
      <c r="C273" s="22"/>
      <c r="D273" s="22"/>
      <c r="E273" s="22">
        <v>2</v>
      </c>
      <c r="F273" s="22">
        <v>1</v>
      </c>
      <c r="G273" s="28">
        <v>6</v>
      </c>
      <c r="H273" s="28">
        <v>2</v>
      </c>
      <c r="I273" s="30">
        <v>1957</v>
      </c>
      <c r="J273" s="34">
        <f t="shared" si="0"/>
        <v>20857</v>
      </c>
      <c r="K273" s="11" t="s">
        <v>734</v>
      </c>
      <c r="L273" s="25" t="s">
        <v>1394</v>
      </c>
      <c r="M273" s="30">
        <v>1</v>
      </c>
      <c r="N273" s="17" t="s">
        <v>233</v>
      </c>
      <c r="O273" s="17"/>
      <c r="P273" s="25" t="s">
        <v>1042</v>
      </c>
      <c r="Q273" s="25" t="s">
        <v>1064</v>
      </c>
      <c r="R273" s="25">
        <v>32.723787000000002</v>
      </c>
      <c r="S273" s="25">
        <v>35.565241999999998</v>
      </c>
      <c r="T273" s="22">
        <v>2</v>
      </c>
      <c r="U273" s="22">
        <v>2</v>
      </c>
      <c r="V273" s="22">
        <v>1</v>
      </c>
      <c r="W273" s="22">
        <v>2</v>
      </c>
      <c r="X273" s="22">
        <v>1</v>
      </c>
      <c r="Y273" s="18"/>
      <c r="Z273" s="22">
        <v>5</v>
      </c>
      <c r="AA273" s="22">
        <v>99</v>
      </c>
      <c r="AB273" s="18" t="s">
        <v>221</v>
      </c>
      <c r="AC273" s="22">
        <v>6</v>
      </c>
      <c r="AD273" s="22">
        <v>2</v>
      </c>
      <c r="AE273" s="18" t="s">
        <v>221</v>
      </c>
      <c r="AF273" s="22">
        <v>99</v>
      </c>
      <c r="AG273" s="18"/>
      <c r="AH273" s="22">
        <v>99</v>
      </c>
      <c r="AI273" s="57"/>
      <c r="AJ273" s="18"/>
      <c r="AK273" s="22">
        <v>99</v>
      </c>
      <c r="AL273" s="22">
        <v>99</v>
      </c>
      <c r="AM273" s="22">
        <v>99</v>
      </c>
      <c r="AN273" s="22">
        <v>99</v>
      </c>
      <c r="AO273" s="22">
        <v>99</v>
      </c>
      <c r="AP273" s="22">
        <v>99</v>
      </c>
      <c r="AQ273" s="22" t="s">
        <v>3104</v>
      </c>
      <c r="AR273" s="2" t="s">
        <v>3105</v>
      </c>
      <c r="AS273" s="22">
        <v>1</v>
      </c>
      <c r="AT273" s="22">
        <v>3</v>
      </c>
      <c r="AU273" s="22">
        <v>3</v>
      </c>
      <c r="AV273" s="22">
        <v>3</v>
      </c>
      <c r="AW273" s="22">
        <v>4</v>
      </c>
      <c r="AX273" s="37">
        <v>4</v>
      </c>
      <c r="AY273" s="22">
        <v>4</v>
      </c>
      <c r="AZ273" s="22">
        <v>2</v>
      </c>
      <c r="BA273" s="38">
        <v>99</v>
      </c>
      <c r="BB273" s="22">
        <v>99</v>
      </c>
      <c r="BC273" s="22">
        <v>99</v>
      </c>
      <c r="BD273" s="22">
        <v>99</v>
      </c>
      <c r="BE273" s="37">
        <v>99</v>
      </c>
      <c r="BF273" s="22">
        <v>1</v>
      </c>
      <c r="BG273" s="22">
        <v>0</v>
      </c>
      <c r="BH273" s="22">
        <v>1</v>
      </c>
      <c r="BI273" s="22">
        <v>999</v>
      </c>
      <c r="BJ273" s="22">
        <v>8</v>
      </c>
    </row>
    <row r="274" spans="1:62" ht="13">
      <c r="A274" s="22" t="s">
        <v>3106</v>
      </c>
      <c r="B274" s="22"/>
      <c r="C274" s="22"/>
      <c r="D274" s="22"/>
      <c r="E274" s="22">
        <v>1</v>
      </c>
      <c r="F274" s="22">
        <v>1</v>
      </c>
      <c r="G274" s="28">
        <v>8</v>
      </c>
      <c r="H274" s="28">
        <v>3</v>
      </c>
      <c r="I274" s="30">
        <v>1957</v>
      </c>
      <c r="J274" s="34">
        <f t="shared" si="0"/>
        <v>20887</v>
      </c>
      <c r="K274" s="35" t="s">
        <v>221</v>
      </c>
      <c r="L274" s="25" t="s">
        <v>1396</v>
      </c>
      <c r="M274" s="30">
        <v>99</v>
      </c>
      <c r="N274" s="52"/>
      <c r="O274" s="52"/>
      <c r="P274" s="25" t="s">
        <v>1397</v>
      </c>
      <c r="Q274" s="25" t="s">
        <v>1490</v>
      </c>
      <c r="R274" s="105"/>
      <c r="S274" s="105"/>
      <c r="T274" s="22">
        <v>1</v>
      </c>
      <c r="U274" s="22">
        <v>2</v>
      </c>
      <c r="V274" s="18"/>
      <c r="W274" s="22">
        <v>1</v>
      </c>
      <c r="X274" s="22">
        <v>2</v>
      </c>
      <c r="Y274" s="18"/>
      <c r="Z274" s="22">
        <v>5</v>
      </c>
      <c r="AA274" s="22">
        <v>99</v>
      </c>
      <c r="AB274" s="18" t="s">
        <v>221</v>
      </c>
      <c r="AC274" s="22">
        <v>6</v>
      </c>
      <c r="AD274" s="22">
        <v>2</v>
      </c>
      <c r="AE274" s="18" t="s">
        <v>221</v>
      </c>
      <c r="AF274" s="22">
        <v>99</v>
      </c>
      <c r="AG274" s="18"/>
      <c r="AH274" s="22">
        <v>99</v>
      </c>
      <c r="AI274" s="57"/>
      <c r="AJ274" s="18"/>
      <c r="AK274" s="22">
        <v>99</v>
      </c>
      <c r="AL274" s="22">
        <v>99</v>
      </c>
      <c r="AM274" s="22">
        <v>99</v>
      </c>
      <c r="AN274" s="22">
        <v>99</v>
      </c>
      <c r="AO274" s="22">
        <v>99</v>
      </c>
      <c r="AP274" s="22">
        <v>99</v>
      </c>
      <c r="AQ274" s="22" t="s">
        <v>3108</v>
      </c>
      <c r="AR274" s="18" t="s">
        <v>221</v>
      </c>
      <c r="AS274" s="22">
        <v>99</v>
      </c>
      <c r="AT274" s="22">
        <v>2</v>
      </c>
      <c r="AU274" s="22">
        <v>3</v>
      </c>
      <c r="AV274" s="22">
        <v>3</v>
      </c>
      <c r="AW274" s="22">
        <v>4</v>
      </c>
      <c r="AX274" s="37">
        <v>4</v>
      </c>
      <c r="AY274" s="22">
        <v>4</v>
      </c>
      <c r="AZ274" s="22">
        <v>2</v>
      </c>
      <c r="BA274" s="38">
        <v>99</v>
      </c>
      <c r="BB274" s="22">
        <v>99</v>
      </c>
      <c r="BC274" s="22">
        <v>99</v>
      </c>
      <c r="BD274" s="22">
        <v>99</v>
      </c>
      <c r="BE274" s="37">
        <v>99</v>
      </c>
      <c r="BF274" s="22">
        <v>1</v>
      </c>
      <c r="BG274" s="22">
        <v>0</v>
      </c>
      <c r="BH274" s="22">
        <v>1</v>
      </c>
      <c r="BI274" s="22">
        <v>999</v>
      </c>
      <c r="BJ274" s="22">
        <v>9</v>
      </c>
    </row>
    <row r="275" spans="1:62" ht="13">
      <c r="A275" s="18" t="s">
        <v>221</v>
      </c>
      <c r="B275" s="22"/>
      <c r="C275" s="22"/>
      <c r="D275" s="22"/>
      <c r="E275" s="22">
        <v>2</v>
      </c>
      <c r="F275" s="22">
        <v>2</v>
      </c>
      <c r="G275" s="28">
        <v>19</v>
      </c>
      <c r="H275" s="28">
        <v>3</v>
      </c>
      <c r="I275" s="30">
        <v>1957</v>
      </c>
      <c r="J275" s="34">
        <f t="shared" si="0"/>
        <v>20898</v>
      </c>
      <c r="K275" s="35" t="s">
        <v>221</v>
      </c>
      <c r="L275" s="18"/>
      <c r="M275" s="30">
        <v>99</v>
      </c>
      <c r="N275" s="52"/>
      <c r="O275" s="52"/>
      <c r="P275" s="25" t="s">
        <v>1400</v>
      </c>
      <c r="Q275" s="25" t="s">
        <v>3111</v>
      </c>
      <c r="R275" s="25">
        <v>32.696879799999998</v>
      </c>
      <c r="S275" s="25">
        <v>35.323705699999998</v>
      </c>
      <c r="T275" s="22">
        <v>1</v>
      </c>
      <c r="U275" s="22">
        <v>1</v>
      </c>
      <c r="V275" s="22">
        <v>3</v>
      </c>
      <c r="W275" s="22">
        <v>1</v>
      </c>
      <c r="X275" s="22">
        <v>2</v>
      </c>
      <c r="Y275" s="18"/>
      <c r="Z275" s="22">
        <v>5</v>
      </c>
      <c r="AA275" s="22">
        <v>99</v>
      </c>
      <c r="AB275" s="2" t="s">
        <v>3112</v>
      </c>
      <c r="AC275" s="22">
        <v>6</v>
      </c>
      <c r="AD275" s="22">
        <v>2</v>
      </c>
      <c r="AE275" s="18" t="s">
        <v>221</v>
      </c>
      <c r="AF275" s="22">
        <v>99</v>
      </c>
      <c r="AG275" s="18"/>
      <c r="AH275" s="22">
        <v>99</v>
      </c>
      <c r="AI275" s="57"/>
      <c r="AJ275" s="18"/>
      <c r="AK275" s="22">
        <v>99</v>
      </c>
      <c r="AL275" s="22">
        <v>99</v>
      </c>
      <c r="AM275" s="22">
        <v>99</v>
      </c>
      <c r="AN275" s="22">
        <v>99</v>
      </c>
      <c r="AO275" s="22">
        <v>99</v>
      </c>
      <c r="AP275" s="22">
        <v>99</v>
      </c>
      <c r="AQ275" s="18" t="s">
        <v>221</v>
      </c>
      <c r="AR275" s="18" t="s">
        <v>221</v>
      </c>
      <c r="AS275" s="18"/>
      <c r="AT275" s="18"/>
      <c r="AU275" s="22">
        <v>3</v>
      </c>
      <c r="AV275" s="22">
        <v>3</v>
      </c>
      <c r="AW275" s="22">
        <v>4</v>
      </c>
      <c r="AX275" s="37">
        <v>4</v>
      </c>
      <c r="AY275" s="22">
        <v>4</v>
      </c>
      <c r="AZ275" s="22">
        <v>2</v>
      </c>
      <c r="BA275" s="38">
        <v>99</v>
      </c>
      <c r="BB275" s="22">
        <v>99</v>
      </c>
      <c r="BC275" s="22">
        <v>99</v>
      </c>
      <c r="BD275" s="22">
        <v>99</v>
      </c>
      <c r="BE275" s="37">
        <v>99</v>
      </c>
      <c r="BF275" s="22">
        <v>1</v>
      </c>
      <c r="BG275" s="22">
        <v>0</v>
      </c>
      <c r="BH275" s="22">
        <v>1</v>
      </c>
      <c r="BI275" s="22">
        <v>999</v>
      </c>
      <c r="BJ275" s="22">
        <v>9</v>
      </c>
    </row>
    <row r="276" spans="1:62" ht="13">
      <c r="A276" s="22" t="s">
        <v>3114</v>
      </c>
      <c r="B276" s="22"/>
      <c r="C276" s="22"/>
      <c r="D276" s="22"/>
      <c r="E276" s="22">
        <v>1</v>
      </c>
      <c r="F276" s="22">
        <v>1</v>
      </c>
      <c r="G276" s="28">
        <v>11</v>
      </c>
      <c r="H276" s="28">
        <v>4</v>
      </c>
      <c r="I276" s="30">
        <v>1957</v>
      </c>
      <c r="J276" s="34">
        <f t="shared" si="0"/>
        <v>20921</v>
      </c>
      <c r="K276" s="39" t="s">
        <v>1056</v>
      </c>
      <c r="L276" s="25" t="s">
        <v>1401</v>
      </c>
      <c r="M276" s="30">
        <v>1</v>
      </c>
      <c r="N276" s="17" t="s">
        <v>233</v>
      </c>
      <c r="O276" s="17"/>
      <c r="P276" s="25" t="s">
        <v>32</v>
      </c>
      <c r="Q276" s="25" t="s">
        <v>346</v>
      </c>
      <c r="R276" s="25">
        <v>31.768319000000002</v>
      </c>
      <c r="S276" s="25">
        <v>35.213709999999999</v>
      </c>
      <c r="T276" s="22">
        <v>2</v>
      </c>
      <c r="U276" s="22">
        <v>1</v>
      </c>
      <c r="V276" s="22">
        <v>1</v>
      </c>
      <c r="W276" s="22">
        <v>3</v>
      </c>
      <c r="X276" s="22">
        <v>2</v>
      </c>
      <c r="Y276" s="18"/>
      <c r="Z276" s="22">
        <v>5</v>
      </c>
      <c r="AA276" s="22">
        <v>1</v>
      </c>
      <c r="AB276" s="18" t="s">
        <v>221</v>
      </c>
      <c r="AC276" s="22">
        <v>6</v>
      </c>
      <c r="AD276" s="22">
        <v>2</v>
      </c>
      <c r="AE276" s="18" t="s">
        <v>221</v>
      </c>
      <c r="AF276" s="22">
        <v>99</v>
      </c>
      <c r="AG276" s="18"/>
      <c r="AH276" s="22">
        <v>99</v>
      </c>
      <c r="AI276" s="57"/>
      <c r="AJ276" s="18"/>
      <c r="AK276" s="22">
        <v>99</v>
      </c>
      <c r="AL276" s="22">
        <v>99</v>
      </c>
      <c r="AM276" s="22">
        <v>99</v>
      </c>
      <c r="AN276" s="22">
        <v>99</v>
      </c>
      <c r="AO276" s="22">
        <v>99</v>
      </c>
      <c r="AP276" s="22">
        <v>99</v>
      </c>
      <c r="AQ276" s="22" t="s">
        <v>3116</v>
      </c>
      <c r="AR276" s="2" t="s">
        <v>3006</v>
      </c>
      <c r="AS276" s="22">
        <v>99</v>
      </c>
      <c r="AT276" s="22">
        <v>6</v>
      </c>
      <c r="AU276" s="22">
        <v>3</v>
      </c>
      <c r="AV276" s="22">
        <v>3</v>
      </c>
      <c r="AW276" s="22">
        <v>4</v>
      </c>
      <c r="AX276" s="37">
        <v>4</v>
      </c>
      <c r="AY276" s="22">
        <v>4</v>
      </c>
      <c r="AZ276" s="22">
        <v>2</v>
      </c>
      <c r="BA276" s="38">
        <v>99</v>
      </c>
      <c r="BB276" s="22">
        <v>99</v>
      </c>
      <c r="BC276" s="22">
        <v>99</v>
      </c>
      <c r="BD276" s="22">
        <v>99</v>
      </c>
      <c r="BE276" s="37">
        <v>99</v>
      </c>
      <c r="BF276" s="22">
        <v>0</v>
      </c>
      <c r="BG276" s="22">
        <v>1</v>
      </c>
      <c r="BH276" s="22">
        <v>1</v>
      </c>
      <c r="BI276" s="22">
        <v>2</v>
      </c>
      <c r="BJ276" s="22">
        <v>8</v>
      </c>
    </row>
    <row r="277" spans="1:62" ht="13">
      <c r="A277" s="22" t="s">
        <v>3117</v>
      </c>
      <c r="B277" s="22"/>
      <c r="C277" s="22"/>
      <c r="D277" s="22"/>
      <c r="E277" s="22">
        <v>1</v>
      </c>
      <c r="F277" s="22">
        <v>1</v>
      </c>
      <c r="G277" s="28">
        <v>12</v>
      </c>
      <c r="H277" s="28">
        <v>4</v>
      </c>
      <c r="I277" s="30">
        <v>1957</v>
      </c>
      <c r="J277" s="34">
        <f t="shared" si="0"/>
        <v>20922</v>
      </c>
      <c r="K277" s="39" t="s">
        <v>1337</v>
      </c>
      <c r="L277" s="25" t="s">
        <v>1404</v>
      </c>
      <c r="M277" s="30">
        <v>99</v>
      </c>
      <c r="N277" s="52"/>
      <c r="O277" s="52"/>
      <c r="P277" s="25" t="s">
        <v>1405</v>
      </c>
      <c r="Q277" s="25" t="s">
        <v>1495</v>
      </c>
      <c r="R277" s="105"/>
      <c r="S277" s="105"/>
      <c r="T277" s="22">
        <v>1</v>
      </c>
      <c r="U277" s="22">
        <v>1</v>
      </c>
      <c r="V277" s="18"/>
      <c r="W277" s="18"/>
      <c r="X277" s="22">
        <v>2</v>
      </c>
      <c r="Y277" s="18"/>
      <c r="Z277" s="22">
        <v>5</v>
      </c>
      <c r="AA277" s="22">
        <v>99</v>
      </c>
      <c r="AB277" s="18" t="s">
        <v>221</v>
      </c>
      <c r="AC277" s="22">
        <v>99</v>
      </c>
      <c r="AD277" s="22">
        <v>2</v>
      </c>
      <c r="AE277" s="18" t="s">
        <v>221</v>
      </c>
      <c r="AF277" s="22">
        <v>99</v>
      </c>
      <c r="AG277" s="18"/>
      <c r="AH277" s="22">
        <v>99</v>
      </c>
      <c r="AI277" s="57"/>
      <c r="AJ277" s="18"/>
      <c r="AK277" s="22">
        <v>99</v>
      </c>
      <c r="AL277" s="22">
        <v>99</v>
      </c>
      <c r="AM277" s="22">
        <v>99</v>
      </c>
      <c r="AN277" s="22">
        <v>99</v>
      </c>
      <c r="AO277" s="22">
        <v>99</v>
      </c>
      <c r="AP277" s="22">
        <v>99</v>
      </c>
      <c r="AQ277" s="22" t="s">
        <v>3118</v>
      </c>
      <c r="AR277" s="2" t="s">
        <v>790</v>
      </c>
      <c r="AS277" s="22">
        <v>8</v>
      </c>
      <c r="AT277" s="22">
        <v>6</v>
      </c>
      <c r="AU277" s="22">
        <v>3</v>
      </c>
      <c r="AV277" s="22">
        <v>3</v>
      </c>
      <c r="AW277" s="22">
        <v>4</v>
      </c>
      <c r="AX277" s="37">
        <v>4</v>
      </c>
      <c r="AY277" s="22">
        <v>4</v>
      </c>
      <c r="AZ277" s="22">
        <v>2</v>
      </c>
      <c r="BA277" s="38">
        <v>99</v>
      </c>
      <c r="BB277" s="22">
        <v>99</v>
      </c>
      <c r="BC277" s="22">
        <v>99</v>
      </c>
      <c r="BD277" s="22">
        <v>99</v>
      </c>
      <c r="BE277" s="37">
        <v>99</v>
      </c>
      <c r="BF277" s="22">
        <v>0</v>
      </c>
      <c r="BG277" s="22">
        <v>4</v>
      </c>
      <c r="BH277" s="22">
        <v>4</v>
      </c>
      <c r="BI277" s="22">
        <v>999</v>
      </c>
      <c r="BJ277" s="22">
        <v>99</v>
      </c>
    </row>
    <row r="278" spans="1:62" ht="13">
      <c r="A278" s="22" t="s">
        <v>3119</v>
      </c>
      <c r="B278" s="22"/>
      <c r="C278" s="22"/>
      <c r="D278" s="22"/>
      <c r="E278" s="22">
        <v>1</v>
      </c>
      <c r="F278" s="22">
        <v>1</v>
      </c>
      <c r="G278" s="28">
        <v>25</v>
      </c>
      <c r="H278" s="28">
        <v>4</v>
      </c>
      <c r="I278" s="30">
        <v>1957</v>
      </c>
      <c r="J278" s="34">
        <f t="shared" si="0"/>
        <v>20935</v>
      </c>
      <c r="K278" s="39" t="s">
        <v>328</v>
      </c>
      <c r="L278" s="25" t="s">
        <v>1407</v>
      </c>
      <c r="M278" s="30">
        <v>1</v>
      </c>
      <c r="N278" s="17" t="s">
        <v>233</v>
      </c>
      <c r="O278" s="17"/>
      <c r="P278" s="25" t="s">
        <v>1042</v>
      </c>
      <c r="Q278" s="25" t="s">
        <v>1064</v>
      </c>
      <c r="R278" s="25">
        <v>32.723787000000002</v>
      </c>
      <c r="S278" s="25">
        <v>35.565241999999998</v>
      </c>
      <c r="T278" s="22">
        <v>2</v>
      </c>
      <c r="U278" s="22">
        <v>2</v>
      </c>
      <c r="V278" s="22">
        <v>1</v>
      </c>
      <c r="W278" s="22">
        <v>2</v>
      </c>
      <c r="X278" s="22">
        <v>1</v>
      </c>
      <c r="Y278" s="18"/>
      <c r="Z278" s="22">
        <v>5</v>
      </c>
      <c r="AA278" s="22">
        <v>99</v>
      </c>
      <c r="AB278" s="18" t="s">
        <v>221</v>
      </c>
      <c r="AC278" s="22">
        <v>6</v>
      </c>
      <c r="AD278" s="22">
        <v>2</v>
      </c>
      <c r="AE278" s="18" t="s">
        <v>221</v>
      </c>
      <c r="AF278" s="22">
        <v>99</v>
      </c>
      <c r="AG278" s="18"/>
      <c r="AH278" s="22">
        <v>99</v>
      </c>
      <c r="AI278" s="57"/>
      <c r="AJ278" s="18"/>
      <c r="AK278" s="22">
        <v>99</v>
      </c>
      <c r="AL278" s="22">
        <v>99</v>
      </c>
      <c r="AM278" s="22">
        <v>99</v>
      </c>
      <c r="AN278" s="22">
        <v>99</v>
      </c>
      <c r="AO278" s="22">
        <v>99</v>
      </c>
      <c r="AP278" s="22">
        <v>99</v>
      </c>
      <c r="AQ278" s="18" t="s">
        <v>221</v>
      </c>
      <c r="AR278" s="18" t="s">
        <v>221</v>
      </c>
      <c r="AS278" s="18"/>
      <c r="AT278" s="18"/>
      <c r="AU278" s="22">
        <v>3</v>
      </c>
      <c r="AV278" s="22">
        <v>3</v>
      </c>
      <c r="AW278" s="22">
        <v>4</v>
      </c>
      <c r="AX278" s="37">
        <v>4</v>
      </c>
      <c r="AY278" s="22">
        <v>4</v>
      </c>
      <c r="AZ278" s="22">
        <v>2</v>
      </c>
      <c r="BA278" s="38">
        <v>99</v>
      </c>
      <c r="BB278" s="22">
        <v>99</v>
      </c>
      <c r="BC278" s="22">
        <v>99</v>
      </c>
      <c r="BD278" s="22">
        <v>99</v>
      </c>
      <c r="BE278" s="37">
        <v>99</v>
      </c>
      <c r="BF278" s="22">
        <v>0</v>
      </c>
      <c r="BG278" s="22">
        <v>0</v>
      </c>
      <c r="BH278" s="22">
        <v>0</v>
      </c>
      <c r="BI278" s="22">
        <v>999</v>
      </c>
      <c r="BJ278" s="22">
        <v>7</v>
      </c>
    </row>
    <row r="279" spans="1:62" ht="13">
      <c r="A279" s="22" t="s">
        <v>3127</v>
      </c>
      <c r="B279" s="22"/>
      <c r="C279" s="22"/>
      <c r="D279" s="22"/>
      <c r="E279" s="22">
        <v>2</v>
      </c>
      <c r="F279" s="22">
        <v>1</v>
      </c>
      <c r="G279" s="28">
        <v>21</v>
      </c>
      <c r="H279" s="28">
        <v>5</v>
      </c>
      <c r="I279" s="30">
        <v>1957</v>
      </c>
      <c r="J279" s="34">
        <f t="shared" si="0"/>
        <v>20961</v>
      </c>
      <c r="K279" s="11" t="s">
        <v>3128</v>
      </c>
      <c r="L279" s="25" t="s">
        <v>1410</v>
      </c>
      <c r="M279" s="30">
        <v>7</v>
      </c>
      <c r="N279" s="17" t="s">
        <v>447</v>
      </c>
      <c r="O279" s="17"/>
      <c r="P279" s="18"/>
      <c r="Q279" s="41" t="s">
        <v>582</v>
      </c>
      <c r="R279" s="124"/>
      <c r="S279" s="124"/>
      <c r="T279" s="22">
        <v>2</v>
      </c>
      <c r="U279" s="22">
        <v>1</v>
      </c>
      <c r="V279" s="22">
        <v>3</v>
      </c>
      <c r="W279" s="22">
        <v>2</v>
      </c>
      <c r="X279" s="22">
        <v>5</v>
      </c>
      <c r="Y279" s="18"/>
      <c r="Z279" s="22">
        <v>5</v>
      </c>
      <c r="AA279" s="22">
        <v>99</v>
      </c>
      <c r="AB279" s="18" t="s">
        <v>221</v>
      </c>
      <c r="AC279" s="22">
        <v>6</v>
      </c>
      <c r="AD279" s="22">
        <v>2</v>
      </c>
      <c r="AE279" s="18" t="s">
        <v>221</v>
      </c>
      <c r="AF279" s="22">
        <v>99</v>
      </c>
      <c r="AG279" s="18"/>
      <c r="AH279" s="22">
        <v>99</v>
      </c>
      <c r="AI279" s="57"/>
      <c r="AJ279" s="18"/>
      <c r="AK279" s="22">
        <v>99</v>
      </c>
      <c r="AL279" s="22">
        <v>99</v>
      </c>
      <c r="AM279" s="22">
        <v>99</v>
      </c>
      <c r="AN279" s="22">
        <v>99</v>
      </c>
      <c r="AO279" s="22">
        <v>99</v>
      </c>
      <c r="AP279" s="22">
        <v>99</v>
      </c>
      <c r="AQ279" s="18" t="s">
        <v>221</v>
      </c>
      <c r="AR279" s="18" t="s">
        <v>221</v>
      </c>
      <c r="AS279" s="18"/>
      <c r="AT279" s="18"/>
      <c r="AU279" s="22">
        <v>3</v>
      </c>
      <c r="AV279" s="22">
        <v>3</v>
      </c>
      <c r="AW279" s="22">
        <v>4</v>
      </c>
      <c r="AX279" s="37">
        <v>4</v>
      </c>
      <c r="AY279" s="22">
        <v>4</v>
      </c>
      <c r="AZ279" s="22">
        <v>2</v>
      </c>
      <c r="BA279" s="38">
        <v>99</v>
      </c>
      <c r="BB279" s="22">
        <v>99</v>
      </c>
      <c r="BC279" s="22">
        <v>99</v>
      </c>
      <c r="BD279" s="22">
        <v>99</v>
      </c>
      <c r="BE279" s="37">
        <v>99</v>
      </c>
      <c r="BF279" s="22">
        <v>999</v>
      </c>
      <c r="BG279" s="22">
        <v>999</v>
      </c>
      <c r="BH279" s="22">
        <v>999</v>
      </c>
      <c r="BI279" s="22">
        <v>999</v>
      </c>
      <c r="BJ279" s="22">
        <v>8</v>
      </c>
    </row>
    <row r="280" spans="1:62" ht="13">
      <c r="A280" s="22" t="s">
        <v>3129</v>
      </c>
      <c r="B280" s="22"/>
      <c r="C280" s="22"/>
      <c r="D280" s="22"/>
      <c r="E280" s="22">
        <v>1</v>
      </c>
      <c r="F280" s="22">
        <v>1</v>
      </c>
      <c r="G280" s="28">
        <v>14</v>
      </c>
      <c r="H280" s="28">
        <v>6</v>
      </c>
      <c r="I280" s="30">
        <v>1957</v>
      </c>
      <c r="J280" s="34">
        <f t="shared" si="0"/>
        <v>20985</v>
      </c>
      <c r="K280" s="39" t="s">
        <v>830</v>
      </c>
      <c r="L280" s="25" t="s">
        <v>1414</v>
      </c>
      <c r="M280" s="30">
        <v>1</v>
      </c>
      <c r="N280" s="17" t="s">
        <v>233</v>
      </c>
      <c r="O280" s="17"/>
      <c r="P280" s="25" t="s">
        <v>32</v>
      </c>
      <c r="Q280" s="25" t="s">
        <v>346</v>
      </c>
      <c r="R280" s="25">
        <v>31.768319000000002</v>
      </c>
      <c r="S280" s="25">
        <v>35.213709999999999</v>
      </c>
      <c r="T280" s="22">
        <v>2</v>
      </c>
      <c r="U280" s="22">
        <v>1</v>
      </c>
      <c r="V280" s="22">
        <v>1</v>
      </c>
      <c r="W280" s="22">
        <v>3</v>
      </c>
      <c r="X280" s="22">
        <v>2</v>
      </c>
      <c r="Y280" s="18"/>
      <c r="Z280" s="22">
        <v>5</v>
      </c>
      <c r="AA280" s="22">
        <v>99</v>
      </c>
      <c r="AB280" s="18" t="s">
        <v>221</v>
      </c>
      <c r="AC280" s="22">
        <v>6</v>
      </c>
      <c r="AD280" s="22">
        <v>2</v>
      </c>
      <c r="AE280" s="18" t="s">
        <v>221</v>
      </c>
      <c r="AF280" s="22">
        <v>99</v>
      </c>
      <c r="AG280" s="18"/>
      <c r="AH280" s="22">
        <v>99</v>
      </c>
      <c r="AI280" s="57"/>
      <c r="AJ280" s="18"/>
      <c r="AK280" s="22">
        <v>99</v>
      </c>
      <c r="AL280" s="22">
        <v>99</v>
      </c>
      <c r="AM280" s="22">
        <v>99</v>
      </c>
      <c r="AN280" s="22">
        <v>99</v>
      </c>
      <c r="AO280" s="22">
        <v>99</v>
      </c>
      <c r="AP280" s="22">
        <v>99</v>
      </c>
      <c r="AQ280" s="22" t="s">
        <v>3131</v>
      </c>
      <c r="AR280" s="2" t="s">
        <v>921</v>
      </c>
      <c r="AS280" s="22">
        <v>3</v>
      </c>
      <c r="AT280" s="22">
        <v>99</v>
      </c>
      <c r="AU280" s="22">
        <v>3</v>
      </c>
      <c r="AV280" s="22">
        <v>3</v>
      </c>
      <c r="AW280" s="22">
        <v>4</v>
      </c>
      <c r="AX280" s="37">
        <v>4</v>
      </c>
      <c r="AY280" s="22">
        <v>4</v>
      </c>
      <c r="AZ280" s="22">
        <v>2</v>
      </c>
      <c r="BA280" s="38">
        <v>99</v>
      </c>
      <c r="BB280" s="22">
        <v>99</v>
      </c>
      <c r="BC280" s="22">
        <v>99</v>
      </c>
      <c r="BD280" s="22">
        <v>99</v>
      </c>
      <c r="BE280" s="37">
        <v>99</v>
      </c>
      <c r="BF280" s="22">
        <v>0</v>
      </c>
      <c r="BG280" s="22">
        <v>2</v>
      </c>
      <c r="BH280" s="22">
        <v>2</v>
      </c>
      <c r="BI280" s="22">
        <v>999</v>
      </c>
      <c r="BJ280" s="22">
        <v>3</v>
      </c>
    </row>
    <row r="281" spans="1:62" ht="13">
      <c r="A281" s="22" t="s">
        <v>3132</v>
      </c>
      <c r="B281" s="22"/>
      <c r="C281" s="22"/>
      <c r="D281" s="22"/>
      <c r="E281" s="22">
        <v>1</v>
      </c>
      <c r="F281" s="22">
        <v>1</v>
      </c>
      <c r="G281" s="28">
        <v>16</v>
      </c>
      <c r="H281" s="28">
        <v>6</v>
      </c>
      <c r="I281" s="30">
        <v>1957</v>
      </c>
      <c r="J281" s="34">
        <f t="shared" si="0"/>
        <v>20987</v>
      </c>
      <c r="K281" s="11" t="s">
        <v>1537</v>
      </c>
      <c r="L281" s="25" t="s">
        <v>1416</v>
      </c>
      <c r="M281" s="30">
        <v>1</v>
      </c>
      <c r="N281" s="17" t="s">
        <v>233</v>
      </c>
      <c r="O281" s="17"/>
      <c r="P281" s="25" t="s">
        <v>1417</v>
      </c>
      <c r="Q281" s="25" t="s">
        <v>1506</v>
      </c>
      <c r="R281" s="25">
        <v>32.085299900000003</v>
      </c>
      <c r="S281" s="25">
        <v>34.781767599999903</v>
      </c>
      <c r="T281" s="22">
        <v>2</v>
      </c>
      <c r="U281" s="22">
        <v>2</v>
      </c>
      <c r="V281" s="22">
        <v>1</v>
      </c>
      <c r="W281" s="22">
        <v>3</v>
      </c>
      <c r="X281" s="22">
        <v>2</v>
      </c>
      <c r="Y281" s="18"/>
      <c r="Z281" s="22">
        <v>99</v>
      </c>
      <c r="AA281" s="22">
        <v>99</v>
      </c>
      <c r="AB281" s="18" t="s">
        <v>221</v>
      </c>
      <c r="AC281" s="22">
        <v>6</v>
      </c>
      <c r="AD281" s="22">
        <v>2</v>
      </c>
      <c r="AE281" s="18" t="s">
        <v>221</v>
      </c>
      <c r="AF281" s="22">
        <v>99</v>
      </c>
      <c r="AG281" s="18"/>
      <c r="AH281" s="22">
        <v>99</v>
      </c>
      <c r="AI281" s="57"/>
      <c r="AJ281" s="18"/>
      <c r="AK281" s="22">
        <v>99</v>
      </c>
      <c r="AL281" s="22">
        <v>99</v>
      </c>
      <c r="AM281" s="22">
        <v>99</v>
      </c>
      <c r="AN281" s="22">
        <v>99</v>
      </c>
      <c r="AO281" s="22">
        <v>99</v>
      </c>
      <c r="AP281" s="22">
        <v>99</v>
      </c>
      <c r="AQ281" s="18" t="s">
        <v>221</v>
      </c>
      <c r="AR281" s="18" t="s">
        <v>221</v>
      </c>
      <c r="AS281" s="18"/>
      <c r="AT281" s="18"/>
      <c r="AU281" s="22">
        <v>3</v>
      </c>
      <c r="AV281" s="22">
        <v>3</v>
      </c>
      <c r="AW281" s="22">
        <v>4</v>
      </c>
      <c r="AX281" s="37">
        <v>4</v>
      </c>
      <c r="AY281" s="22">
        <v>4</v>
      </c>
      <c r="AZ281" s="22">
        <v>2</v>
      </c>
      <c r="BA281" s="38">
        <v>99</v>
      </c>
      <c r="BB281" s="22">
        <v>99</v>
      </c>
      <c r="BC281" s="22">
        <v>99</v>
      </c>
      <c r="BD281" s="22">
        <v>99</v>
      </c>
      <c r="BE281" s="37">
        <v>99</v>
      </c>
      <c r="BF281" s="22">
        <v>999</v>
      </c>
      <c r="BG281" s="22">
        <v>999</v>
      </c>
      <c r="BH281" s="22">
        <v>999</v>
      </c>
      <c r="BI281" s="22">
        <v>999</v>
      </c>
      <c r="BJ281" s="22">
        <v>7</v>
      </c>
    </row>
    <row r="282" spans="1:62" ht="13">
      <c r="A282" s="22" t="s">
        <v>3134</v>
      </c>
      <c r="B282" s="22"/>
      <c r="C282" s="22"/>
      <c r="D282" s="22"/>
      <c r="E282" s="22">
        <v>1</v>
      </c>
      <c r="F282" s="22">
        <v>2</v>
      </c>
      <c r="G282" s="28">
        <v>19</v>
      </c>
      <c r="H282" s="28">
        <v>6</v>
      </c>
      <c r="I282" s="30">
        <v>1957</v>
      </c>
      <c r="J282" s="34">
        <f t="shared" si="0"/>
        <v>20990</v>
      </c>
      <c r="K282" s="11" t="s">
        <v>1733</v>
      </c>
      <c r="L282" s="25" t="s">
        <v>1418</v>
      </c>
      <c r="M282" s="30">
        <v>14</v>
      </c>
      <c r="N282" s="52"/>
      <c r="O282" s="52"/>
      <c r="P282" s="18"/>
      <c r="Q282" s="41" t="s">
        <v>582</v>
      </c>
      <c r="R282" s="124"/>
      <c r="S282" s="124"/>
      <c r="T282" s="22">
        <v>3</v>
      </c>
      <c r="U282" s="22">
        <v>1</v>
      </c>
      <c r="V282" s="22">
        <v>5</v>
      </c>
      <c r="W282" s="22">
        <v>2</v>
      </c>
      <c r="X282" s="22">
        <v>2</v>
      </c>
      <c r="Y282" s="18"/>
      <c r="Z282" s="22">
        <v>1</v>
      </c>
      <c r="AA282" s="22">
        <v>1</v>
      </c>
      <c r="AB282" s="2" t="s">
        <v>3137</v>
      </c>
      <c r="AC282" s="22">
        <v>6</v>
      </c>
      <c r="AD282" s="22">
        <v>2</v>
      </c>
      <c r="AE282" s="18" t="s">
        <v>221</v>
      </c>
      <c r="AF282" s="22">
        <v>99</v>
      </c>
      <c r="AG282" s="18"/>
      <c r="AH282" s="22">
        <v>99</v>
      </c>
      <c r="AI282" s="57"/>
      <c r="AJ282" s="18"/>
      <c r="AK282" s="22">
        <v>99</v>
      </c>
      <c r="AL282" s="22">
        <v>99</v>
      </c>
      <c r="AM282" s="22">
        <v>99</v>
      </c>
      <c r="AN282" s="22">
        <v>2</v>
      </c>
      <c r="AO282" s="22">
        <v>99</v>
      </c>
      <c r="AP282" s="22">
        <v>99</v>
      </c>
      <c r="AQ282" s="22" t="s">
        <v>3138</v>
      </c>
      <c r="AR282" s="2" t="s">
        <v>3076</v>
      </c>
      <c r="AS282" s="22">
        <v>4</v>
      </c>
      <c r="AT282" s="22">
        <v>6</v>
      </c>
      <c r="AU282" s="22">
        <v>3</v>
      </c>
      <c r="AV282" s="22">
        <v>3</v>
      </c>
      <c r="AW282" s="22">
        <v>4</v>
      </c>
      <c r="AX282" s="37">
        <v>4</v>
      </c>
      <c r="AY282" s="22">
        <v>4</v>
      </c>
      <c r="AZ282" s="22">
        <v>2</v>
      </c>
      <c r="BA282" s="38">
        <v>99</v>
      </c>
      <c r="BB282" s="22">
        <v>99</v>
      </c>
      <c r="BC282" s="22">
        <v>99</v>
      </c>
      <c r="BD282" s="22">
        <v>99</v>
      </c>
      <c r="BE282" s="37">
        <v>99</v>
      </c>
      <c r="BF282" s="22">
        <v>3</v>
      </c>
      <c r="BG282" s="22">
        <v>1</v>
      </c>
      <c r="BH282" s="22">
        <v>4</v>
      </c>
      <c r="BI282" s="22">
        <v>999</v>
      </c>
      <c r="BJ282" s="22">
        <v>8</v>
      </c>
    </row>
    <row r="283" spans="1:62" ht="13">
      <c r="A283" s="22" t="s">
        <v>3140</v>
      </c>
      <c r="B283" s="22"/>
      <c r="C283" s="22"/>
      <c r="D283" s="22"/>
      <c r="E283" s="22">
        <v>1</v>
      </c>
      <c r="F283" s="22">
        <v>1</v>
      </c>
      <c r="G283" s="28">
        <v>20</v>
      </c>
      <c r="H283" s="28">
        <v>6</v>
      </c>
      <c r="I283" s="30">
        <v>1957</v>
      </c>
      <c r="J283" s="34">
        <f t="shared" si="0"/>
        <v>20991</v>
      </c>
      <c r="K283" s="11" t="s">
        <v>3062</v>
      </c>
      <c r="L283" s="25" t="s">
        <v>1421</v>
      </c>
      <c r="M283" s="30">
        <v>1</v>
      </c>
      <c r="N283" s="17" t="s">
        <v>233</v>
      </c>
      <c r="O283" s="17"/>
      <c r="P283" s="25" t="s">
        <v>32</v>
      </c>
      <c r="Q283" s="25" t="s">
        <v>346</v>
      </c>
      <c r="R283" s="25">
        <v>31.768319000000002</v>
      </c>
      <c r="S283" s="25">
        <v>35.213709999999999</v>
      </c>
      <c r="T283" s="22">
        <v>2</v>
      </c>
      <c r="U283" s="22">
        <v>2</v>
      </c>
      <c r="V283" s="22">
        <v>1</v>
      </c>
      <c r="W283" s="22">
        <v>3</v>
      </c>
      <c r="X283" s="22">
        <v>2</v>
      </c>
      <c r="Y283" s="18"/>
      <c r="Z283" s="22">
        <v>99</v>
      </c>
      <c r="AA283" s="22">
        <v>1</v>
      </c>
      <c r="AB283" s="18" t="s">
        <v>221</v>
      </c>
      <c r="AC283" s="22">
        <v>14</v>
      </c>
      <c r="AD283" s="22">
        <v>2</v>
      </c>
      <c r="AE283" s="18" t="s">
        <v>221</v>
      </c>
      <c r="AF283" s="22">
        <v>99</v>
      </c>
      <c r="AG283" s="18"/>
      <c r="AH283" s="22">
        <v>99</v>
      </c>
      <c r="AI283" s="57"/>
      <c r="AJ283" s="18"/>
      <c r="AK283" s="22">
        <v>99</v>
      </c>
      <c r="AL283" s="22">
        <v>99</v>
      </c>
      <c r="AM283" s="22">
        <v>99</v>
      </c>
      <c r="AN283" s="22">
        <v>99</v>
      </c>
      <c r="AO283" s="22">
        <v>99</v>
      </c>
      <c r="AP283" s="22">
        <v>99</v>
      </c>
      <c r="AQ283" s="22" t="s">
        <v>3141</v>
      </c>
      <c r="AR283" s="18" t="s">
        <v>221</v>
      </c>
      <c r="AS283" s="22">
        <v>1</v>
      </c>
      <c r="AT283" s="22">
        <v>3</v>
      </c>
      <c r="AU283" s="22">
        <v>3</v>
      </c>
      <c r="AV283" s="22">
        <v>3</v>
      </c>
      <c r="AW283" s="22">
        <v>4</v>
      </c>
      <c r="AX283" s="37">
        <v>4</v>
      </c>
      <c r="AY283" s="22">
        <v>4</v>
      </c>
      <c r="AZ283" s="22">
        <v>2</v>
      </c>
      <c r="BA283" s="38">
        <v>99</v>
      </c>
      <c r="BB283" s="22">
        <v>99</v>
      </c>
      <c r="BC283" s="22">
        <v>99</v>
      </c>
      <c r="BD283" s="22">
        <v>99</v>
      </c>
      <c r="BE283" s="37">
        <v>99</v>
      </c>
      <c r="BF283" s="22">
        <v>1</v>
      </c>
      <c r="BG283" s="22">
        <v>0</v>
      </c>
      <c r="BH283" s="22">
        <v>1</v>
      </c>
      <c r="BI283" s="22">
        <v>999</v>
      </c>
      <c r="BJ283" s="22">
        <v>8</v>
      </c>
    </row>
    <row r="284" spans="1:62" ht="13">
      <c r="A284" s="22" t="s">
        <v>3144</v>
      </c>
      <c r="B284" s="22"/>
      <c r="C284" s="22"/>
      <c r="D284" s="22"/>
      <c r="E284" s="22">
        <v>2</v>
      </c>
      <c r="F284" s="22">
        <v>2</v>
      </c>
      <c r="G284" s="28">
        <v>24</v>
      </c>
      <c r="H284" s="28">
        <v>6</v>
      </c>
      <c r="I284" s="30">
        <v>1957</v>
      </c>
      <c r="J284" s="34">
        <f t="shared" si="0"/>
        <v>20995</v>
      </c>
      <c r="K284" s="11" t="s">
        <v>802</v>
      </c>
      <c r="L284" s="25" t="s">
        <v>1422</v>
      </c>
      <c r="M284" s="30">
        <v>1</v>
      </c>
      <c r="N284" s="17" t="s">
        <v>233</v>
      </c>
      <c r="O284" s="17"/>
      <c r="P284" s="25" t="s">
        <v>800</v>
      </c>
      <c r="Q284" s="25" t="s">
        <v>859</v>
      </c>
      <c r="R284" s="25">
        <v>33.087634000000001</v>
      </c>
      <c r="S284" s="25">
        <v>35.173430000000003</v>
      </c>
      <c r="T284" s="22">
        <v>2</v>
      </c>
      <c r="U284" s="22">
        <v>1</v>
      </c>
      <c r="V284" s="22">
        <v>1</v>
      </c>
      <c r="W284" s="22">
        <v>3</v>
      </c>
      <c r="X284" s="22">
        <v>2</v>
      </c>
      <c r="Y284" s="18"/>
      <c r="Z284" s="22">
        <v>99</v>
      </c>
      <c r="AA284" s="22">
        <v>99</v>
      </c>
      <c r="AB284" s="18" t="s">
        <v>221</v>
      </c>
      <c r="AC284" s="22">
        <v>6</v>
      </c>
      <c r="AD284" s="22">
        <v>2</v>
      </c>
      <c r="AE284" s="18" t="s">
        <v>221</v>
      </c>
      <c r="AF284" s="22">
        <v>99</v>
      </c>
      <c r="AG284" s="18"/>
      <c r="AH284" s="22">
        <v>99</v>
      </c>
      <c r="AI284" s="57"/>
      <c r="AJ284" s="18"/>
      <c r="AK284" s="22">
        <v>99</v>
      </c>
      <c r="AL284" s="22">
        <v>99</v>
      </c>
      <c r="AM284" s="22">
        <v>99</v>
      </c>
      <c r="AN284" s="22">
        <v>99</v>
      </c>
      <c r="AO284" s="22">
        <v>99</v>
      </c>
      <c r="AP284" s="22">
        <v>99</v>
      </c>
      <c r="AQ284" s="22" t="s">
        <v>3145</v>
      </c>
      <c r="AR284" s="2" t="s">
        <v>1281</v>
      </c>
      <c r="AS284" s="22">
        <v>1</v>
      </c>
      <c r="AT284" s="22">
        <v>6</v>
      </c>
      <c r="AU284" s="22">
        <v>3</v>
      </c>
      <c r="AV284" s="22">
        <v>3</v>
      </c>
      <c r="AW284" s="22">
        <v>4</v>
      </c>
      <c r="AX284" s="37">
        <v>4</v>
      </c>
      <c r="AY284" s="22">
        <v>4</v>
      </c>
      <c r="AZ284" s="22">
        <v>2</v>
      </c>
      <c r="BA284" s="38">
        <v>99</v>
      </c>
      <c r="BB284" s="22">
        <v>99</v>
      </c>
      <c r="BC284" s="22">
        <v>99</v>
      </c>
      <c r="BD284" s="22">
        <v>99</v>
      </c>
      <c r="BE284" s="37">
        <v>99</v>
      </c>
      <c r="BF284" s="22">
        <v>0</v>
      </c>
      <c r="BG284" s="22">
        <v>1</v>
      </c>
      <c r="BH284" s="22">
        <v>1</v>
      </c>
      <c r="BI284" s="22">
        <v>999</v>
      </c>
      <c r="BJ284" s="22">
        <v>8</v>
      </c>
    </row>
    <row r="285" spans="1:62" ht="13">
      <c r="A285" s="22" t="s">
        <v>3146</v>
      </c>
      <c r="B285" s="22"/>
      <c r="C285" s="22"/>
      <c r="D285" s="22"/>
      <c r="E285" s="22">
        <v>2</v>
      </c>
      <c r="F285" s="22">
        <v>2</v>
      </c>
      <c r="G285" s="28">
        <v>9</v>
      </c>
      <c r="H285" s="28">
        <v>7</v>
      </c>
      <c r="I285" s="30">
        <v>1957</v>
      </c>
      <c r="J285" s="34">
        <f t="shared" si="0"/>
        <v>21010</v>
      </c>
      <c r="K285" s="11" t="s">
        <v>1747</v>
      </c>
      <c r="L285" s="25" t="s">
        <v>1425</v>
      </c>
      <c r="M285" s="30">
        <v>1</v>
      </c>
      <c r="N285" s="17" t="s">
        <v>233</v>
      </c>
      <c r="O285" s="17"/>
      <c r="P285" s="25" t="s">
        <v>1426</v>
      </c>
      <c r="Q285" s="25" t="s">
        <v>1514</v>
      </c>
      <c r="R285" s="25">
        <v>32.708765</v>
      </c>
      <c r="S285" s="25">
        <v>35.503777999999997</v>
      </c>
      <c r="T285" s="22">
        <v>2</v>
      </c>
      <c r="U285" s="22">
        <v>2</v>
      </c>
      <c r="V285" s="22">
        <v>1</v>
      </c>
      <c r="W285" s="22">
        <v>2</v>
      </c>
      <c r="X285" s="22">
        <v>2</v>
      </c>
      <c r="Y285" s="18"/>
      <c r="Z285" s="22">
        <v>99</v>
      </c>
      <c r="AA285" s="22">
        <v>99</v>
      </c>
      <c r="AB285" s="18" t="s">
        <v>221</v>
      </c>
      <c r="AC285" s="22">
        <v>14</v>
      </c>
      <c r="AD285" s="22">
        <v>2</v>
      </c>
      <c r="AE285" s="18" t="s">
        <v>221</v>
      </c>
      <c r="AF285" s="22">
        <v>99</v>
      </c>
      <c r="AG285" s="18"/>
      <c r="AH285" s="22">
        <v>99</v>
      </c>
      <c r="AI285" s="57"/>
      <c r="AJ285" s="18"/>
      <c r="AK285" s="22">
        <v>99</v>
      </c>
      <c r="AL285" s="22">
        <v>99</v>
      </c>
      <c r="AM285" s="22">
        <v>99</v>
      </c>
      <c r="AN285" s="22">
        <v>99</v>
      </c>
      <c r="AO285" s="22">
        <v>99</v>
      </c>
      <c r="AP285" s="22">
        <v>99</v>
      </c>
      <c r="AQ285" s="18" t="s">
        <v>221</v>
      </c>
      <c r="AR285" s="18" t="s">
        <v>221</v>
      </c>
      <c r="AS285" s="22">
        <v>99</v>
      </c>
      <c r="AT285" s="22">
        <v>99</v>
      </c>
      <c r="AU285" s="22">
        <v>3</v>
      </c>
      <c r="AV285" s="22">
        <v>3</v>
      </c>
      <c r="AW285" s="22">
        <v>4</v>
      </c>
      <c r="AX285" s="37">
        <v>4</v>
      </c>
      <c r="AY285" s="22">
        <v>4</v>
      </c>
      <c r="AZ285" s="22">
        <v>2</v>
      </c>
      <c r="BA285" s="38">
        <v>99</v>
      </c>
      <c r="BB285" s="22">
        <v>99</v>
      </c>
      <c r="BC285" s="22">
        <v>99</v>
      </c>
      <c r="BD285" s="22">
        <v>99</v>
      </c>
      <c r="BE285" s="37">
        <v>99</v>
      </c>
      <c r="BF285" s="22">
        <v>2</v>
      </c>
      <c r="BG285" s="22">
        <v>0</v>
      </c>
      <c r="BH285" s="22">
        <v>2</v>
      </c>
      <c r="BI285" s="22">
        <v>999</v>
      </c>
      <c r="BJ285" s="22">
        <v>8</v>
      </c>
    </row>
    <row r="286" spans="1:62" ht="13">
      <c r="A286" s="22" t="s">
        <v>3152</v>
      </c>
      <c r="B286" s="22"/>
      <c r="C286" s="22"/>
      <c r="D286" s="22"/>
      <c r="E286" s="22">
        <v>1</v>
      </c>
      <c r="F286" s="22">
        <v>1</v>
      </c>
      <c r="G286" s="28">
        <v>11</v>
      </c>
      <c r="H286" s="28">
        <v>7</v>
      </c>
      <c r="I286" s="30">
        <v>1957</v>
      </c>
      <c r="J286" s="34">
        <f t="shared" si="0"/>
        <v>21012</v>
      </c>
      <c r="K286" s="11" t="s">
        <v>734</v>
      </c>
      <c r="L286" s="25" t="s">
        <v>1427</v>
      </c>
      <c r="M286" s="30">
        <v>1</v>
      </c>
      <c r="N286" s="17" t="s">
        <v>233</v>
      </c>
      <c r="O286" s="17"/>
      <c r="P286" s="25" t="s">
        <v>1428</v>
      </c>
      <c r="Q286" s="25" t="s">
        <v>1518</v>
      </c>
      <c r="R286" s="105"/>
      <c r="S286" s="105"/>
      <c r="T286" s="22">
        <v>2</v>
      </c>
      <c r="U286" s="22">
        <v>1</v>
      </c>
      <c r="V286" s="22">
        <v>99</v>
      </c>
      <c r="W286" s="22">
        <v>2</v>
      </c>
      <c r="X286" s="22">
        <v>2</v>
      </c>
      <c r="Y286" s="18"/>
      <c r="Z286" s="22">
        <v>99</v>
      </c>
      <c r="AA286" s="22">
        <v>99</v>
      </c>
      <c r="AB286" s="18" t="s">
        <v>221</v>
      </c>
      <c r="AC286" s="22">
        <v>6</v>
      </c>
      <c r="AD286" s="22">
        <v>2</v>
      </c>
      <c r="AE286" s="18" t="s">
        <v>221</v>
      </c>
      <c r="AF286" s="22">
        <v>99</v>
      </c>
      <c r="AG286" s="18"/>
      <c r="AH286" s="22">
        <v>99</v>
      </c>
      <c r="AI286" s="57"/>
      <c r="AJ286" s="18"/>
      <c r="AK286" s="22">
        <v>99</v>
      </c>
      <c r="AL286" s="22">
        <v>99</v>
      </c>
      <c r="AM286" s="22">
        <v>99</v>
      </c>
      <c r="AN286" s="22">
        <v>99</v>
      </c>
      <c r="AO286" s="22">
        <v>99</v>
      </c>
      <c r="AP286" s="22">
        <v>99</v>
      </c>
      <c r="AQ286" s="22" t="s">
        <v>3159</v>
      </c>
      <c r="AR286" s="18" t="s">
        <v>221</v>
      </c>
      <c r="AS286" s="22">
        <v>4</v>
      </c>
      <c r="AT286" s="22">
        <v>3</v>
      </c>
      <c r="AU286" s="22">
        <v>3</v>
      </c>
      <c r="AV286" s="22">
        <v>3</v>
      </c>
      <c r="AW286" s="22">
        <v>4</v>
      </c>
      <c r="AX286" s="37">
        <v>4</v>
      </c>
      <c r="AY286" s="22">
        <v>4</v>
      </c>
      <c r="AZ286" s="22">
        <v>2</v>
      </c>
      <c r="BA286" s="38">
        <v>99</v>
      </c>
      <c r="BB286" s="22">
        <v>99</v>
      </c>
      <c r="BC286" s="22">
        <v>99</v>
      </c>
      <c r="BD286" s="22">
        <v>99</v>
      </c>
      <c r="BE286" s="37">
        <v>99</v>
      </c>
      <c r="BF286" s="22">
        <v>1</v>
      </c>
      <c r="BG286" s="22">
        <v>0</v>
      </c>
      <c r="BH286" s="22">
        <v>1</v>
      </c>
      <c r="BI286" s="22">
        <v>999</v>
      </c>
      <c r="BJ286" s="22">
        <v>8</v>
      </c>
    </row>
    <row r="287" spans="1:62" ht="13">
      <c r="A287" s="22" t="s">
        <v>3163</v>
      </c>
      <c r="B287" s="22"/>
      <c r="C287" s="22"/>
      <c r="D287" s="22"/>
      <c r="E287" s="22">
        <v>1</v>
      </c>
      <c r="F287" s="22">
        <v>1</v>
      </c>
      <c r="G287" s="28">
        <v>27</v>
      </c>
      <c r="H287" s="28">
        <v>7</v>
      </c>
      <c r="I287" s="30">
        <v>1957</v>
      </c>
      <c r="J287" s="34">
        <f t="shared" si="0"/>
        <v>21028</v>
      </c>
      <c r="K287" s="39" t="s">
        <v>328</v>
      </c>
      <c r="L287" s="25" t="s">
        <v>1432</v>
      </c>
      <c r="M287" s="30">
        <v>1</v>
      </c>
      <c r="N287" s="17" t="s">
        <v>233</v>
      </c>
      <c r="O287" s="17"/>
      <c r="P287" s="25" t="s">
        <v>1433</v>
      </c>
      <c r="Q287" s="25" t="s">
        <v>1523</v>
      </c>
      <c r="R287" s="105"/>
      <c r="S287" s="105"/>
      <c r="T287" s="22">
        <v>2</v>
      </c>
      <c r="U287" s="22">
        <v>2</v>
      </c>
      <c r="V287" s="22">
        <v>1</v>
      </c>
      <c r="W287" s="22">
        <v>3</v>
      </c>
      <c r="X287" s="22">
        <v>2</v>
      </c>
      <c r="Y287" s="18"/>
      <c r="Z287" s="22">
        <v>99</v>
      </c>
      <c r="AA287" s="22">
        <v>99</v>
      </c>
      <c r="AB287" s="2" t="s">
        <v>2217</v>
      </c>
      <c r="AC287" s="22">
        <v>6</v>
      </c>
      <c r="AD287" s="22">
        <v>2</v>
      </c>
      <c r="AE287" s="18" t="s">
        <v>221</v>
      </c>
      <c r="AF287" s="22">
        <v>99</v>
      </c>
      <c r="AG287" s="18"/>
      <c r="AH287" s="22">
        <v>99</v>
      </c>
      <c r="AI287" s="57"/>
      <c r="AJ287" s="18"/>
      <c r="AK287" s="22">
        <v>99</v>
      </c>
      <c r="AL287" s="22">
        <v>99</v>
      </c>
      <c r="AM287" s="22">
        <v>99</v>
      </c>
      <c r="AN287" s="22">
        <v>99</v>
      </c>
      <c r="AO287" s="22">
        <v>99</v>
      </c>
      <c r="AP287" s="22">
        <v>99</v>
      </c>
      <c r="AQ287" s="18" t="s">
        <v>221</v>
      </c>
      <c r="AR287" s="18" t="s">
        <v>221</v>
      </c>
      <c r="AS287" s="22">
        <v>1</v>
      </c>
      <c r="AT287" s="22">
        <v>6</v>
      </c>
      <c r="AU287" s="22">
        <v>3</v>
      </c>
      <c r="AV287" s="22">
        <v>3</v>
      </c>
      <c r="AW287" s="22">
        <v>4</v>
      </c>
      <c r="AX287" s="37">
        <v>4</v>
      </c>
      <c r="AY287" s="22">
        <v>4</v>
      </c>
      <c r="AZ287" s="22">
        <v>2</v>
      </c>
      <c r="BA287" s="38">
        <v>99</v>
      </c>
      <c r="BB287" s="22">
        <v>99</v>
      </c>
      <c r="BC287" s="22">
        <v>99</v>
      </c>
      <c r="BD287" s="22">
        <v>99</v>
      </c>
      <c r="BE287" s="37">
        <v>99</v>
      </c>
      <c r="BF287" s="22">
        <v>0</v>
      </c>
      <c r="BG287" s="22">
        <v>1</v>
      </c>
      <c r="BH287" s="22">
        <v>1</v>
      </c>
      <c r="BI287" s="22">
        <v>999</v>
      </c>
      <c r="BJ287" s="22">
        <v>8</v>
      </c>
    </row>
    <row r="288" spans="1:62" ht="13">
      <c r="A288" s="22" t="s">
        <v>3167</v>
      </c>
      <c r="B288" s="22"/>
      <c r="C288" s="22"/>
      <c r="D288" s="22"/>
      <c r="E288" s="22">
        <v>1</v>
      </c>
      <c r="F288" s="22">
        <v>1</v>
      </c>
      <c r="G288" s="28">
        <v>28</v>
      </c>
      <c r="H288" s="28">
        <v>7</v>
      </c>
      <c r="I288" s="30">
        <v>1957</v>
      </c>
      <c r="J288" s="34">
        <f t="shared" si="0"/>
        <v>21029</v>
      </c>
      <c r="K288" s="35" t="s">
        <v>221</v>
      </c>
      <c r="L288" s="25" t="s">
        <v>1437</v>
      </c>
      <c r="M288" s="30">
        <v>1</v>
      </c>
      <c r="N288" s="17" t="s">
        <v>233</v>
      </c>
      <c r="O288" s="17"/>
      <c r="P288" s="25" t="s">
        <v>1438</v>
      </c>
      <c r="Q288" s="25" t="s">
        <v>1532</v>
      </c>
      <c r="R288" s="25">
        <v>32.073495999999999</v>
      </c>
      <c r="S288" s="25">
        <v>34.804875000000003</v>
      </c>
      <c r="T288" s="22">
        <v>2</v>
      </c>
      <c r="U288" s="22">
        <v>1</v>
      </c>
      <c r="V288" s="22">
        <v>1</v>
      </c>
      <c r="W288" s="22">
        <v>3</v>
      </c>
      <c r="X288" s="22">
        <v>2</v>
      </c>
      <c r="Y288" s="18"/>
      <c r="Z288" s="22">
        <v>1</v>
      </c>
      <c r="AA288" s="22">
        <v>2</v>
      </c>
      <c r="AB288" s="2" t="s">
        <v>524</v>
      </c>
      <c r="AC288" s="22">
        <v>6</v>
      </c>
      <c r="AD288" s="22">
        <v>2</v>
      </c>
      <c r="AE288" s="18" t="s">
        <v>221</v>
      </c>
      <c r="AF288" s="22">
        <v>99</v>
      </c>
      <c r="AG288" s="18"/>
      <c r="AH288" s="22">
        <v>99</v>
      </c>
      <c r="AI288" s="57"/>
      <c r="AJ288" s="18"/>
      <c r="AK288" s="22">
        <v>99</v>
      </c>
      <c r="AL288" s="22">
        <v>99</v>
      </c>
      <c r="AM288" s="22">
        <v>99</v>
      </c>
      <c r="AN288" s="22">
        <v>99</v>
      </c>
      <c r="AO288" s="22">
        <v>99</v>
      </c>
      <c r="AP288" s="22">
        <v>99</v>
      </c>
      <c r="AQ288" s="22" t="s">
        <v>3168</v>
      </c>
      <c r="AR288" s="2" t="s">
        <v>737</v>
      </c>
      <c r="AS288" s="22">
        <v>1</v>
      </c>
      <c r="AT288" s="22">
        <v>6</v>
      </c>
      <c r="AU288" s="22">
        <v>3</v>
      </c>
      <c r="AV288" s="22">
        <v>3</v>
      </c>
      <c r="AW288" s="22">
        <v>4</v>
      </c>
      <c r="AX288" s="37">
        <v>4</v>
      </c>
      <c r="AY288" s="22">
        <v>4</v>
      </c>
      <c r="AZ288" s="22">
        <v>2</v>
      </c>
      <c r="BA288" s="38">
        <v>99</v>
      </c>
      <c r="BB288" s="22">
        <v>99</v>
      </c>
      <c r="BC288" s="22">
        <v>99</v>
      </c>
      <c r="BD288" s="22">
        <v>99</v>
      </c>
      <c r="BE288" s="37">
        <v>99</v>
      </c>
      <c r="BF288" s="22">
        <v>7</v>
      </c>
      <c r="BG288" s="22">
        <v>1</v>
      </c>
      <c r="BH288" s="22">
        <v>8</v>
      </c>
      <c r="BI288" s="22">
        <v>999</v>
      </c>
      <c r="BJ288" s="22">
        <v>8</v>
      </c>
    </row>
    <row r="289" spans="1:62" ht="13">
      <c r="A289" s="22" t="s">
        <v>3169</v>
      </c>
      <c r="B289" s="22"/>
      <c r="C289" s="22"/>
      <c r="D289" s="22"/>
      <c r="E289" s="22">
        <v>1</v>
      </c>
      <c r="F289" s="22">
        <v>1</v>
      </c>
      <c r="G289" s="28">
        <v>7</v>
      </c>
      <c r="H289" s="28">
        <v>9</v>
      </c>
      <c r="I289" s="30">
        <v>1957</v>
      </c>
      <c r="J289" s="34">
        <f t="shared" si="0"/>
        <v>21070</v>
      </c>
      <c r="K289" s="39" t="s">
        <v>328</v>
      </c>
      <c r="L289" s="25" t="s">
        <v>1440</v>
      </c>
      <c r="M289" s="30">
        <v>1</v>
      </c>
      <c r="N289" s="17" t="s">
        <v>233</v>
      </c>
      <c r="O289" s="17"/>
      <c r="P289" s="25" t="s">
        <v>430</v>
      </c>
      <c r="Q289" s="25" t="s">
        <v>1536</v>
      </c>
      <c r="R289" s="25">
        <v>31.518459</v>
      </c>
      <c r="S289" s="25">
        <v>34.580544000000003</v>
      </c>
      <c r="T289" s="22">
        <v>1</v>
      </c>
      <c r="U289" s="22">
        <v>1</v>
      </c>
      <c r="V289" s="22">
        <v>1</v>
      </c>
      <c r="W289" s="22">
        <v>3</v>
      </c>
      <c r="X289" s="22">
        <v>2</v>
      </c>
      <c r="Y289" s="18"/>
      <c r="Z289" s="22">
        <v>99</v>
      </c>
      <c r="AA289" s="22">
        <v>99</v>
      </c>
      <c r="AB289" s="18" t="s">
        <v>221</v>
      </c>
      <c r="AC289" s="22">
        <v>6</v>
      </c>
      <c r="AD289" s="22">
        <v>2</v>
      </c>
      <c r="AE289" s="18" t="s">
        <v>221</v>
      </c>
      <c r="AF289" s="22">
        <v>99</v>
      </c>
      <c r="AG289" s="18"/>
      <c r="AH289" s="22">
        <v>99</v>
      </c>
      <c r="AI289" s="57"/>
      <c r="AJ289" s="18"/>
      <c r="AK289" s="22">
        <v>99</v>
      </c>
      <c r="AL289" s="22">
        <v>99</v>
      </c>
      <c r="AM289" s="22">
        <v>99</v>
      </c>
      <c r="AN289" s="22">
        <v>99</v>
      </c>
      <c r="AO289" s="22">
        <v>99</v>
      </c>
      <c r="AP289" s="22">
        <v>99</v>
      </c>
      <c r="AQ289" s="18" t="s">
        <v>221</v>
      </c>
      <c r="AR289" s="18" t="s">
        <v>221</v>
      </c>
      <c r="AS289" s="22">
        <v>99</v>
      </c>
      <c r="AT289" s="22">
        <v>3</v>
      </c>
      <c r="AU289" s="22">
        <v>3</v>
      </c>
      <c r="AV289" s="22">
        <v>3</v>
      </c>
      <c r="AW289" s="22">
        <v>4</v>
      </c>
      <c r="AX289" s="37">
        <v>4</v>
      </c>
      <c r="AY289" s="22">
        <v>4</v>
      </c>
      <c r="AZ289" s="22">
        <v>2</v>
      </c>
      <c r="BA289" s="38">
        <v>99</v>
      </c>
      <c r="BB289" s="22">
        <v>99</v>
      </c>
      <c r="BC289" s="22">
        <v>99</v>
      </c>
      <c r="BD289" s="22">
        <v>99</v>
      </c>
      <c r="BE289" s="37">
        <v>99</v>
      </c>
      <c r="BF289" s="22">
        <v>1</v>
      </c>
      <c r="BG289" s="22">
        <v>0</v>
      </c>
      <c r="BH289" s="22">
        <v>1</v>
      </c>
      <c r="BI289" s="22">
        <v>999</v>
      </c>
      <c r="BJ289" s="22">
        <v>9</v>
      </c>
    </row>
    <row r="290" spans="1:62" ht="13">
      <c r="A290" s="22" t="s">
        <v>3170</v>
      </c>
      <c r="B290" s="22"/>
      <c r="C290" s="22"/>
      <c r="D290" s="22"/>
      <c r="E290" s="22">
        <v>2</v>
      </c>
      <c r="F290" s="22">
        <v>2</v>
      </c>
      <c r="G290" s="28">
        <v>10</v>
      </c>
      <c r="H290" s="28">
        <v>9</v>
      </c>
      <c r="I290" s="30">
        <v>1957</v>
      </c>
      <c r="J290" s="34">
        <f t="shared" si="0"/>
        <v>21073</v>
      </c>
      <c r="K290" s="39" t="s">
        <v>328</v>
      </c>
      <c r="L290" s="25" t="s">
        <v>1442</v>
      </c>
      <c r="M290" s="30">
        <v>1</v>
      </c>
      <c r="N290" s="17" t="s">
        <v>233</v>
      </c>
      <c r="O290" s="17"/>
      <c r="P290" s="25" t="s">
        <v>1443</v>
      </c>
      <c r="Q290" s="25" t="s">
        <v>1538</v>
      </c>
      <c r="R290" s="25">
        <v>30.585163999999999</v>
      </c>
      <c r="S290" s="25">
        <v>36.238413999999999</v>
      </c>
      <c r="T290" s="22">
        <v>2</v>
      </c>
      <c r="U290" s="22">
        <v>1</v>
      </c>
      <c r="V290" s="22">
        <v>1</v>
      </c>
      <c r="W290" s="22">
        <v>3</v>
      </c>
      <c r="X290" s="22">
        <v>2</v>
      </c>
      <c r="Y290" s="18"/>
      <c r="Z290" s="22">
        <v>99</v>
      </c>
      <c r="AA290" s="22">
        <v>99</v>
      </c>
      <c r="AB290" s="18" t="s">
        <v>221</v>
      </c>
      <c r="AC290" s="22">
        <v>99</v>
      </c>
      <c r="AD290" s="22">
        <v>2</v>
      </c>
      <c r="AE290" s="18" t="s">
        <v>221</v>
      </c>
      <c r="AF290" s="22">
        <v>99</v>
      </c>
      <c r="AG290" s="18"/>
      <c r="AH290" s="22">
        <v>99</v>
      </c>
      <c r="AI290" s="57"/>
      <c r="AJ290" s="18"/>
      <c r="AK290" s="22">
        <v>99</v>
      </c>
      <c r="AL290" s="22">
        <v>99</v>
      </c>
      <c r="AM290" s="22">
        <v>99</v>
      </c>
      <c r="AN290" s="22">
        <v>99</v>
      </c>
      <c r="AO290" s="22">
        <v>99</v>
      </c>
      <c r="AP290" s="22">
        <v>99</v>
      </c>
      <c r="AQ290" s="18" t="s">
        <v>221</v>
      </c>
      <c r="AR290" s="18" t="s">
        <v>221</v>
      </c>
      <c r="AS290" s="18"/>
      <c r="AT290" s="18"/>
      <c r="AU290" s="22">
        <v>3</v>
      </c>
      <c r="AV290" s="22">
        <v>3</v>
      </c>
      <c r="AW290" s="22">
        <v>4</v>
      </c>
      <c r="AX290" s="37">
        <v>4</v>
      </c>
      <c r="AY290" s="22">
        <v>4</v>
      </c>
      <c r="AZ290" s="22">
        <v>2</v>
      </c>
      <c r="BA290" s="38">
        <v>99</v>
      </c>
      <c r="BB290" s="22">
        <v>99</v>
      </c>
      <c r="BC290" s="22">
        <v>99</v>
      </c>
      <c r="BD290" s="22">
        <v>99</v>
      </c>
      <c r="BE290" s="37">
        <v>99</v>
      </c>
      <c r="BF290" s="22">
        <v>999</v>
      </c>
      <c r="BG290" s="22">
        <v>999</v>
      </c>
      <c r="BH290" s="22">
        <v>999</v>
      </c>
      <c r="BI290" s="22">
        <v>999</v>
      </c>
      <c r="BJ290" s="22">
        <v>7</v>
      </c>
    </row>
    <row r="291" spans="1:62" ht="13">
      <c r="A291" s="22" t="s">
        <v>3171</v>
      </c>
      <c r="B291" s="22"/>
      <c r="C291" s="22"/>
      <c r="D291" s="22"/>
      <c r="E291" s="22">
        <v>2</v>
      </c>
      <c r="F291" s="22">
        <v>1</v>
      </c>
      <c r="G291" s="28">
        <v>22</v>
      </c>
      <c r="H291" s="28">
        <v>9</v>
      </c>
      <c r="I291" s="30">
        <v>1957</v>
      </c>
      <c r="J291" s="34">
        <f t="shared" si="0"/>
        <v>21085</v>
      </c>
      <c r="K291" s="11" t="s">
        <v>524</v>
      </c>
      <c r="L291" s="25" t="s">
        <v>1444</v>
      </c>
      <c r="M291" s="30">
        <v>1</v>
      </c>
      <c r="N291" s="17" t="s">
        <v>233</v>
      </c>
      <c r="O291" s="17"/>
      <c r="P291" s="25" t="s">
        <v>1445</v>
      </c>
      <c r="Q291" s="25" t="s">
        <v>1539</v>
      </c>
      <c r="R291" s="25">
        <v>31.773572999999999</v>
      </c>
      <c r="S291" s="25">
        <v>35.074446999999999</v>
      </c>
      <c r="T291" s="22">
        <v>2</v>
      </c>
      <c r="U291" s="22">
        <v>2</v>
      </c>
      <c r="V291" s="22">
        <v>1</v>
      </c>
      <c r="W291" s="22">
        <v>2</v>
      </c>
      <c r="X291" s="22">
        <v>2</v>
      </c>
      <c r="Y291" s="18"/>
      <c r="Z291" s="22">
        <v>99</v>
      </c>
      <c r="AA291" s="22">
        <v>99</v>
      </c>
      <c r="AB291" s="18" t="s">
        <v>221</v>
      </c>
      <c r="AC291" s="22">
        <v>99</v>
      </c>
      <c r="AD291" s="22">
        <v>2</v>
      </c>
      <c r="AE291" s="18" t="s">
        <v>221</v>
      </c>
      <c r="AF291" s="22">
        <v>99</v>
      </c>
      <c r="AG291" s="18"/>
      <c r="AH291" s="22">
        <v>99</v>
      </c>
      <c r="AI291" s="57"/>
      <c r="AJ291" s="18"/>
      <c r="AK291" s="22">
        <v>99</v>
      </c>
      <c r="AL291" s="22">
        <v>99</v>
      </c>
      <c r="AM291" s="22">
        <v>99</v>
      </c>
      <c r="AN291" s="22">
        <v>99</v>
      </c>
      <c r="AO291" s="22">
        <v>99</v>
      </c>
      <c r="AP291" s="22">
        <v>99</v>
      </c>
      <c r="AQ291" s="18" t="s">
        <v>221</v>
      </c>
      <c r="AR291" s="18" t="s">
        <v>221</v>
      </c>
      <c r="AS291" s="18"/>
      <c r="AT291" s="18"/>
      <c r="AU291" s="22">
        <v>3</v>
      </c>
      <c r="AV291" s="22">
        <v>3</v>
      </c>
      <c r="AW291" s="22">
        <v>4</v>
      </c>
      <c r="AX291" s="37">
        <v>4</v>
      </c>
      <c r="AY291" s="22">
        <v>4</v>
      </c>
      <c r="AZ291" s="22">
        <v>2</v>
      </c>
      <c r="BA291" s="38">
        <v>99</v>
      </c>
      <c r="BB291" s="22">
        <v>99</v>
      </c>
      <c r="BC291" s="22">
        <v>99</v>
      </c>
      <c r="BD291" s="22">
        <v>99</v>
      </c>
      <c r="BE291" s="37">
        <v>99</v>
      </c>
      <c r="BF291" s="22">
        <v>0</v>
      </c>
      <c r="BG291" s="22">
        <v>0</v>
      </c>
      <c r="BH291" s="22">
        <v>0</v>
      </c>
      <c r="BI291" s="22">
        <v>999</v>
      </c>
      <c r="BJ291" s="22">
        <v>10</v>
      </c>
    </row>
    <row r="292" spans="1:62" ht="13">
      <c r="A292" s="18" t="s">
        <v>221</v>
      </c>
      <c r="B292" s="22"/>
      <c r="C292" s="22"/>
      <c r="D292" s="22"/>
      <c r="E292" s="22">
        <v>2</v>
      </c>
      <c r="F292" s="22">
        <v>1</v>
      </c>
      <c r="G292" s="28">
        <v>22</v>
      </c>
      <c r="H292" s="28">
        <v>9</v>
      </c>
      <c r="I292" s="30">
        <v>1957</v>
      </c>
      <c r="J292" s="34">
        <f t="shared" si="0"/>
        <v>21085</v>
      </c>
      <c r="K292" s="11" t="s">
        <v>524</v>
      </c>
      <c r="L292" s="18"/>
      <c r="M292" s="30">
        <v>1</v>
      </c>
      <c r="N292" s="17" t="s">
        <v>233</v>
      </c>
      <c r="O292" s="17"/>
      <c r="P292" s="25" t="s">
        <v>1446</v>
      </c>
      <c r="Q292" s="25" t="s">
        <v>3172</v>
      </c>
      <c r="R292" s="25">
        <v>32.071968900000002</v>
      </c>
      <c r="S292" s="25">
        <v>34.820601099999998</v>
      </c>
      <c r="T292" s="22">
        <v>2</v>
      </c>
      <c r="U292" s="22">
        <v>2</v>
      </c>
      <c r="V292" s="22">
        <v>1</v>
      </c>
      <c r="W292" s="22">
        <v>4</v>
      </c>
      <c r="X292" s="22">
        <v>2</v>
      </c>
      <c r="Y292" s="18"/>
      <c r="Z292" s="22">
        <v>99</v>
      </c>
      <c r="AA292" s="22">
        <v>1</v>
      </c>
      <c r="AB292" s="18" t="s">
        <v>221</v>
      </c>
      <c r="AC292" s="22">
        <v>6</v>
      </c>
      <c r="AD292" s="22">
        <v>2</v>
      </c>
      <c r="AE292" s="18" t="s">
        <v>221</v>
      </c>
      <c r="AF292" s="22">
        <v>99</v>
      </c>
      <c r="AG292" s="18"/>
      <c r="AH292" s="22">
        <v>99</v>
      </c>
      <c r="AI292" s="57"/>
      <c r="AJ292" s="18"/>
      <c r="AK292" s="22">
        <v>99</v>
      </c>
      <c r="AL292" s="22">
        <v>99</v>
      </c>
      <c r="AM292" s="22">
        <v>99</v>
      </c>
      <c r="AN292" s="22">
        <v>99</v>
      </c>
      <c r="AO292" s="22">
        <v>99</v>
      </c>
      <c r="AP292" s="22">
        <v>99</v>
      </c>
      <c r="AQ292" s="22" t="s">
        <v>3173</v>
      </c>
      <c r="AR292" s="18" t="s">
        <v>221</v>
      </c>
      <c r="AS292" s="22">
        <v>1</v>
      </c>
      <c r="AT292" s="22">
        <v>3</v>
      </c>
      <c r="AU292" s="22">
        <v>3</v>
      </c>
      <c r="AV292" s="22">
        <v>3</v>
      </c>
      <c r="AW292" s="22">
        <v>4</v>
      </c>
      <c r="AX292" s="37">
        <v>4</v>
      </c>
      <c r="AY292" s="22">
        <v>4</v>
      </c>
      <c r="AZ292" s="22">
        <v>2</v>
      </c>
      <c r="BA292" s="38">
        <v>99</v>
      </c>
      <c r="BB292" s="22">
        <v>99</v>
      </c>
      <c r="BC292" s="22">
        <v>99</v>
      </c>
      <c r="BD292" s="22">
        <v>99</v>
      </c>
      <c r="BE292" s="37">
        <v>99</v>
      </c>
      <c r="BF292" s="22">
        <v>1</v>
      </c>
      <c r="BG292" s="22">
        <v>0</v>
      </c>
      <c r="BH292" s="22">
        <v>1</v>
      </c>
      <c r="BI292" s="22">
        <v>999</v>
      </c>
      <c r="BJ292" s="22">
        <v>8</v>
      </c>
    </row>
    <row r="293" spans="1:62" ht="13">
      <c r="A293" s="22" t="s">
        <v>3174</v>
      </c>
      <c r="B293" s="22"/>
      <c r="C293" s="22"/>
      <c r="D293" s="22"/>
      <c r="E293" s="22">
        <v>2</v>
      </c>
      <c r="F293" s="22">
        <v>1</v>
      </c>
      <c r="G293" s="28">
        <v>22</v>
      </c>
      <c r="H293" s="28">
        <v>10</v>
      </c>
      <c r="I293" s="30">
        <v>1957</v>
      </c>
      <c r="J293" s="34">
        <f t="shared" si="0"/>
        <v>21115</v>
      </c>
      <c r="K293" s="11" t="s">
        <v>3175</v>
      </c>
      <c r="L293" s="25" t="s">
        <v>1447</v>
      </c>
      <c r="M293" s="30">
        <v>1</v>
      </c>
      <c r="N293" s="17" t="s">
        <v>233</v>
      </c>
      <c r="O293" s="17"/>
      <c r="P293" s="25" t="s">
        <v>1448</v>
      </c>
      <c r="Q293" s="25" t="s">
        <v>1540</v>
      </c>
      <c r="R293" s="105"/>
      <c r="S293" s="105"/>
      <c r="T293" s="22">
        <v>2</v>
      </c>
      <c r="U293" s="22">
        <v>1</v>
      </c>
      <c r="V293" s="22">
        <v>1</v>
      </c>
      <c r="W293" s="22">
        <v>2</v>
      </c>
      <c r="X293" s="22">
        <v>2</v>
      </c>
      <c r="Y293" s="18"/>
      <c r="Z293" s="22">
        <v>99</v>
      </c>
      <c r="AA293" s="22">
        <v>1</v>
      </c>
      <c r="AB293" s="2" t="s">
        <v>3176</v>
      </c>
      <c r="AC293" s="22">
        <v>6</v>
      </c>
      <c r="AD293" s="22">
        <v>2</v>
      </c>
      <c r="AE293" s="18" t="s">
        <v>221</v>
      </c>
      <c r="AF293" s="22">
        <v>99</v>
      </c>
      <c r="AG293" s="18"/>
      <c r="AH293" s="22">
        <v>99</v>
      </c>
      <c r="AI293" s="57"/>
      <c r="AJ293" s="18"/>
      <c r="AK293" s="22">
        <v>99</v>
      </c>
      <c r="AL293" s="22">
        <v>99</v>
      </c>
      <c r="AM293" s="22">
        <v>99</v>
      </c>
      <c r="AN293" s="22">
        <v>99</v>
      </c>
      <c r="AO293" s="22">
        <v>99</v>
      </c>
      <c r="AP293" s="22">
        <v>99</v>
      </c>
      <c r="AQ293" s="18" t="s">
        <v>221</v>
      </c>
      <c r="AR293" s="18" t="s">
        <v>221</v>
      </c>
      <c r="AS293" s="18"/>
      <c r="AT293" s="18"/>
      <c r="AU293" s="22">
        <v>3</v>
      </c>
      <c r="AV293" s="22">
        <v>3</v>
      </c>
      <c r="AW293" s="22">
        <v>4</v>
      </c>
      <c r="AX293" s="37">
        <v>4</v>
      </c>
      <c r="AY293" s="22">
        <v>4</v>
      </c>
      <c r="AZ293" s="22">
        <v>2</v>
      </c>
      <c r="BA293" s="38">
        <v>99</v>
      </c>
      <c r="BB293" s="22">
        <v>99</v>
      </c>
      <c r="BC293" s="22">
        <v>99</v>
      </c>
      <c r="BD293" s="22">
        <v>99</v>
      </c>
      <c r="BE293" s="37">
        <v>99</v>
      </c>
      <c r="BF293" s="22">
        <v>999</v>
      </c>
      <c r="BG293" s="22">
        <v>999</v>
      </c>
      <c r="BH293" s="22">
        <v>999</v>
      </c>
      <c r="BI293" s="22">
        <v>999</v>
      </c>
      <c r="BJ293" s="22">
        <v>9</v>
      </c>
    </row>
    <row r="294" spans="1:62" ht="13">
      <c r="A294" s="22" t="s">
        <v>3177</v>
      </c>
      <c r="B294" s="22"/>
      <c r="C294" s="22"/>
      <c r="D294" s="22"/>
      <c r="E294" s="22">
        <v>2</v>
      </c>
      <c r="F294" s="22">
        <v>1</v>
      </c>
      <c r="G294" s="28">
        <v>27</v>
      </c>
      <c r="H294" s="28">
        <v>10</v>
      </c>
      <c r="I294" s="30">
        <v>1957</v>
      </c>
      <c r="J294" s="34">
        <f t="shared" si="0"/>
        <v>21120</v>
      </c>
      <c r="K294" s="39" t="s">
        <v>614</v>
      </c>
      <c r="L294" s="25" t="s">
        <v>1450</v>
      </c>
      <c r="M294" s="30">
        <v>1</v>
      </c>
      <c r="N294" s="17" t="s">
        <v>233</v>
      </c>
      <c r="O294" s="17"/>
      <c r="P294" s="25" t="s">
        <v>1451</v>
      </c>
      <c r="Q294" s="25" t="s">
        <v>1541</v>
      </c>
      <c r="R294" s="25">
        <v>31.681642</v>
      </c>
      <c r="S294" s="25">
        <v>34.565176000000001</v>
      </c>
      <c r="T294" s="22">
        <v>2</v>
      </c>
      <c r="U294" s="22">
        <v>2</v>
      </c>
      <c r="V294" s="22">
        <v>5</v>
      </c>
      <c r="W294" s="22">
        <v>3</v>
      </c>
      <c r="X294" s="22">
        <v>2</v>
      </c>
      <c r="Y294" s="18"/>
      <c r="Z294" s="22">
        <v>99</v>
      </c>
      <c r="AA294" s="22">
        <v>99</v>
      </c>
      <c r="AB294" s="18" t="s">
        <v>221</v>
      </c>
      <c r="AC294" s="22">
        <v>9</v>
      </c>
      <c r="AD294" s="22">
        <v>2</v>
      </c>
      <c r="AE294" s="18" t="s">
        <v>221</v>
      </c>
      <c r="AF294" s="22">
        <v>99</v>
      </c>
      <c r="AG294" s="18"/>
      <c r="AH294" s="22">
        <v>99</v>
      </c>
      <c r="AI294" s="57"/>
      <c r="AJ294" s="18"/>
      <c r="AK294" s="22">
        <v>99</v>
      </c>
      <c r="AL294" s="22">
        <v>99</v>
      </c>
      <c r="AM294" s="22">
        <v>99</v>
      </c>
      <c r="AN294" s="22">
        <v>99</v>
      </c>
      <c r="AO294" s="22">
        <v>99</v>
      </c>
      <c r="AP294" s="22">
        <v>99</v>
      </c>
      <c r="AQ294" s="18" t="s">
        <v>221</v>
      </c>
      <c r="AR294" s="18" t="s">
        <v>221</v>
      </c>
      <c r="AS294" s="18"/>
      <c r="AT294" s="18"/>
      <c r="AU294" s="22">
        <v>3</v>
      </c>
      <c r="AV294" s="22">
        <v>3</v>
      </c>
      <c r="AW294" s="22">
        <v>4</v>
      </c>
      <c r="AX294" s="37">
        <v>4</v>
      </c>
      <c r="AY294" s="22">
        <v>4</v>
      </c>
      <c r="AZ294" s="22">
        <v>2</v>
      </c>
      <c r="BA294" s="38">
        <v>99</v>
      </c>
      <c r="BB294" s="22">
        <v>99</v>
      </c>
      <c r="BC294" s="22">
        <v>99</v>
      </c>
      <c r="BD294" s="22">
        <v>99</v>
      </c>
      <c r="BE294" s="37">
        <v>99</v>
      </c>
      <c r="BF294" s="22">
        <v>999</v>
      </c>
      <c r="BG294" s="22">
        <v>999</v>
      </c>
      <c r="BH294" s="22">
        <v>999</v>
      </c>
      <c r="BI294" s="22">
        <v>999</v>
      </c>
      <c r="BJ294" s="22">
        <v>10</v>
      </c>
    </row>
    <row r="295" spans="1:62" ht="13">
      <c r="A295" s="22" t="s">
        <v>3178</v>
      </c>
      <c r="B295" s="22"/>
      <c r="C295" s="22"/>
      <c r="D295" s="22"/>
      <c r="E295" s="22">
        <v>2</v>
      </c>
      <c r="F295" s="22">
        <v>1</v>
      </c>
      <c r="G295" s="28">
        <v>6</v>
      </c>
      <c r="H295" s="28">
        <v>11</v>
      </c>
      <c r="I295" s="30">
        <v>1957</v>
      </c>
      <c r="J295" s="34">
        <f t="shared" si="0"/>
        <v>21130</v>
      </c>
      <c r="K295" s="11" t="s">
        <v>2911</v>
      </c>
      <c r="L295" s="25" t="s">
        <v>1452</v>
      </c>
      <c r="M295" s="30">
        <v>1</v>
      </c>
      <c r="N295" s="17" t="s">
        <v>233</v>
      </c>
      <c r="O295" s="17"/>
      <c r="P295" s="25" t="s">
        <v>1453</v>
      </c>
      <c r="Q295" s="25" t="s">
        <v>1543</v>
      </c>
      <c r="R295" s="105"/>
      <c r="S295" s="105"/>
      <c r="T295" s="22">
        <v>2</v>
      </c>
      <c r="U295" s="22">
        <v>2</v>
      </c>
      <c r="V295" s="22">
        <v>5</v>
      </c>
      <c r="W295" s="22">
        <v>3</v>
      </c>
      <c r="X295" s="22">
        <v>2</v>
      </c>
      <c r="Y295" s="18"/>
      <c r="Z295" s="22">
        <v>99</v>
      </c>
      <c r="AA295" s="22">
        <v>1</v>
      </c>
      <c r="AB295" s="2" t="s">
        <v>3179</v>
      </c>
      <c r="AC295" s="22">
        <v>6</v>
      </c>
      <c r="AD295" s="22">
        <v>2</v>
      </c>
      <c r="AE295" s="18" t="s">
        <v>221</v>
      </c>
      <c r="AF295" s="22">
        <v>99</v>
      </c>
      <c r="AG295" s="18"/>
      <c r="AH295" s="22">
        <v>99</v>
      </c>
      <c r="AI295" s="57"/>
      <c r="AJ295" s="18"/>
      <c r="AK295" s="22">
        <v>99</v>
      </c>
      <c r="AL295" s="22">
        <v>99</v>
      </c>
      <c r="AM295" s="22">
        <v>99</v>
      </c>
      <c r="AN295" s="22">
        <v>99</v>
      </c>
      <c r="AO295" s="22">
        <v>99</v>
      </c>
      <c r="AP295" s="22">
        <v>99</v>
      </c>
      <c r="AQ295" s="18" t="s">
        <v>221</v>
      </c>
      <c r="AR295" s="18" t="s">
        <v>221</v>
      </c>
      <c r="AS295" s="22">
        <v>1</v>
      </c>
      <c r="AT295" s="22">
        <v>2</v>
      </c>
      <c r="AU295" s="22">
        <v>3</v>
      </c>
      <c r="AV295" s="22">
        <v>3</v>
      </c>
      <c r="AW295" s="22">
        <v>4</v>
      </c>
      <c r="AX295" s="37">
        <v>4</v>
      </c>
      <c r="AY295" s="22">
        <v>4</v>
      </c>
      <c r="AZ295" s="22">
        <v>2</v>
      </c>
      <c r="BA295" s="38">
        <v>99</v>
      </c>
      <c r="BB295" s="22">
        <v>99</v>
      </c>
      <c r="BC295" s="22">
        <v>99</v>
      </c>
      <c r="BD295" s="22">
        <v>99</v>
      </c>
      <c r="BE295" s="37">
        <v>99</v>
      </c>
      <c r="BF295" s="22">
        <v>2</v>
      </c>
      <c r="BG295" s="22">
        <v>0</v>
      </c>
      <c r="BH295" s="22">
        <v>2</v>
      </c>
      <c r="BI295" s="22">
        <v>999</v>
      </c>
      <c r="BJ295" s="22">
        <v>99</v>
      </c>
    </row>
    <row r="296" spans="1:62" ht="13">
      <c r="A296" s="22" t="s">
        <v>3180</v>
      </c>
      <c r="B296" s="22"/>
      <c r="C296" s="22"/>
      <c r="D296" s="22"/>
      <c r="E296" s="22">
        <v>1</v>
      </c>
      <c r="F296" s="22">
        <v>1</v>
      </c>
      <c r="G296" s="28">
        <v>23</v>
      </c>
      <c r="H296" s="28">
        <v>11</v>
      </c>
      <c r="I296" s="30">
        <v>1957</v>
      </c>
      <c r="J296" s="34">
        <f t="shared" si="0"/>
        <v>21147</v>
      </c>
      <c r="K296" s="39" t="s">
        <v>328</v>
      </c>
      <c r="L296" s="25" t="s">
        <v>1457</v>
      </c>
      <c r="M296" s="30">
        <v>3</v>
      </c>
      <c r="N296" s="17" t="s">
        <v>552</v>
      </c>
      <c r="O296" s="17"/>
      <c r="P296" s="25" t="s">
        <v>1458</v>
      </c>
      <c r="Q296" s="25" t="s">
        <v>1552</v>
      </c>
      <c r="R296" s="105"/>
      <c r="S296" s="105"/>
      <c r="T296" s="18"/>
      <c r="U296" s="22">
        <v>1</v>
      </c>
      <c r="V296" s="22">
        <v>1</v>
      </c>
      <c r="W296" s="22">
        <v>4</v>
      </c>
      <c r="X296" s="22">
        <v>2</v>
      </c>
      <c r="Y296" s="18"/>
      <c r="Z296" s="22">
        <v>99</v>
      </c>
      <c r="AA296" s="22">
        <v>1</v>
      </c>
      <c r="AB296" s="18" t="s">
        <v>221</v>
      </c>
      <c r="AC296" s="22">
        <v>14</v>
      </c>
      <c r="AD296" s="22">
        <v>2</v>
      </c>
      <c r="AE296" s="18" t="s">
        <v>221</v>
      </c>
      <c r="AF296" s="22">
        <v>99</v>
      </c>
      <c r="AG296" s="18"/>
      <c r="AH296" s="22">
        <v>99</v>
      </c>
      <c r="AI296" s="57"/>
      <c r="AJ296" s="18"/>
      <c r="AK296" s="22">
        <v>99</v>
      </c>
      <c r="AL296" s="22">
        <v>99</v>
      </c>
      <c r="AM296" s="22">
        <v>99</v>
      </c>
      <c r="AN296" s="22">
        <v>99</v>
      </c>
      <c r="AO296" s="22">
        <v>99</v>
      </c>
      <c r="AP296" s="22">
        <v>99</v>
      </c>
      <c r="AQ296" s="18" t="s">
        <v>221</v>
      </c>
      <c r="AR296" s="18" t="s">
        <v>221</v>
      </c>
      <c r="AS296" s="22">
        <v>1</v>
      </c>
      <c r="AT296" s="22">
        <v>2</v>
      </c>
      <c r="AU296" s="22">
        <v>3</v>
      </c>
      <c r="AV296" s="22">
        <v>3</v>
      </c>
      <c r="AW296" s="22">
        <v>4</v>
      </c>
      <c r="AX296" s="37">
        <v>4</v>
      </c>
      <c r="AY296" s="22">
        <v>4</v>
      </c>
      <c r="AZ296" s="22">
        <v>2</v>
      </c>
      <c r="BA296" s="38">
        <v>99</v>
      </c>
      <c r="BB296" s="22">
        <v>99</v>
      </c>
      <c r="BC296" s="22">
        <v>99</v>
      </c>
      <c r="BD296" s="22">
        <v>99</v>
      </c>
      <c r="BE296" s="37">
        <v>99</v>
      </c>
      <c r="BF296" s="22">
        <v>1</v>
      </c>
      <c r="BG296" s="22">
        <v>0</v>
      </c>
      <c r="BH296" s="22">
        <v>1</v>
      </c>
      <c r="BI296" s="22">
        <v>0</v>
      </c>
      <c r="BJ296" s="22">
        <v>9</v>
      </c>
    </row>
    <row r="297" spans="1:62" ht="13">
      <c r="A297" s="22" t="s">
        <v>3181</v>
      </c>
      <c r="B297" s="22"/>
      <c r="C297" s="22"/>
      <c r="D297" s="22"/>
      <c r="E297" s="22">
        <v>2</v>
      </c>
      <c r="F297" s="22">
        <v>2</v>
      </c>
      <c r="G297" s="28">
        <v>23</v>
      </c>
      <c r="H297" s="28">
        <v>11</v>
      </c>
      <c r="I297" s="30">
        <v>1957</v>
      </c>
      <c r="J297" s="34">
        <f t="shared" si="0"/>
        <v>21147</v>
      </c>
      <c r="K297" s="11" t="s">
        <v>2911</v>
      </c>
      <c r="L297" s="25" t="s">
        <v>1459</v>
      </c>
      <c r="M297" s="30">
        <v>11</v>
      </c>
      <c r="N297" s="17" t="s">
        <v>726</v>
      </c>
      <c r="O297" s="17"/>
      <c r="P297" s="18"/>
      <c r="Q297" s="41" t="s">
        <v>582</v>
      </c>
      <c r="R297" s="124"/>
      <c r="S297" s="124"/>
      <c r="T297" s="22">
        <v>2</v>
      </c>
      <c r="U297" s="22">
        <v>2</v>
      </c>
      <c r="V297" s="22">
        <v>1</v>
      </c>
      <c r="W297" s="22">
        <v>2</v>
      </c>
      <c r="X297" s="22">
        <v>2</v>
      </c>
      <c r="Y297" s="18"/>
      <c r="Z297" s="22">
        <v>99</v>
      </c>
      <c r="AA297" s="22">
        <v>1</v>
      </c>
      <c r="AB297" s="18" t="s">
        <v>221</v>
      </c>
      <c r="AC297" s="22">
        <v>6</v>
      </c>
      <c r="AD297" s="22">
        <v>2</v>
      </c>
      <c r="AE297" s="18" t="s">
        <v>221</v>
      </c>
      <c r="AF297" s="22">
        <v>99</v>
      </c>
      <c r="AG297" s="18"/>
      <c r="AH297" s="22">
        <v>99</v>
      </c>
      <c r="AI297" s="57"/>
      <c r="AJ297" s="18"/>
      <c r="AK297" s="22">
        <v>99</v>
      </c>
      <c r="AL297" s="22">
        <v>99</v>
      </c>
      <c r="AM297" s="22">
        <v>99</v>
      </c>
      <c r="AN297" s="22">
        <v>99</v>
      </c>
      <c r="AO297" s="22">
        <v>99</v>
      </c>
      <c r="AP297" s="22">
        <v>99</v>
      </c>
      <c r="AQ297" s="22" t="s">
        <v>3182</v>
      </c>
      <c r="AR297" s="18" t="s">
        <v>221</v>
      </c>
      <c r="AS297" s="22">
        <v>99</v>
      </c>
      <c r="AT297" s="22">
        <v>6</v>
      </c>
      <c r="AU297" s="22">
        <v>3</v>
      </c>
      <c r="AV297" s="22">
        <v>3</v>
      </c>
      <c r="AW297" s="22">
        <v>4</v>
      </c>
      <c r="AX297" s="37">
        <v>4</v>
      </c>
      <c r="AY297" s="22">
        <v>4</v>
      </c>
      <c r="AZ297" s="22">
        <v>2</v>
      </c>
      <c r="BA297" s="38">
        <v>99</v>
      </c>
      <c r="BB297" s="22">
        <v>99</v>
      </c>
      <c r="BC297" s="22">
        <v>99</v>
      </c>
      <c r="BD297" s="22">
        <v>99</v>
      </c>
      <c r="BE297" s="37">
        <v>99</v>
      </c>
      <c r="BF297" s="22">
        <v>1</v>
      </c>
      <c r="BG297" s="22">
        <v>1</v>
      </c>
      <c r="BH297" s="22">
        <v>2</v>
      </c>
      <c r="BI297" s="22">
        <v>999</v>
      </c>
      <c r="BJ297" s="22">
        <v>3</v>
      </c>
    </row>
    <row r="298" spans="1:62" ht="13">
      <c r="A298" s="22" t="s">
        <v>3183</v>
      </c>
      <c r="B298" s="22"/>
      <c r="C298" s="22"/>
      <c r="D298" s="22"/>
      <c r="E298" s="22">
        <v>2</v>
      </c>
      <c r="F298" s="22">
        <v>2</v>
      </c>
      <c r="G298" s="28">
        <v>24</v>
      </c>
      <c r="H298" s="28">
        <v>11</v>
      </c>
      <c r="I298" s="30">
        <v>1957</v>
      </c>
      <c r="J298" s="34">
        <f t="shared" si="0"/>
        <v>21148</v>
      </c>
      <c r="K298" s="11" t="s">
        <v>3179</v>
      </c>
      <c r="L298" s="25" t="s">
        <v>1460</v>
      </c>
      <c r="M298" s="30">
        <v>1</v>
      </c>
      <c r="N298" s="17" t="s">
        <v>233</v>
      </c>
      <c r="O298" s="17"/>
      <c r="P298" s="25" t="s">
        <v>32</v>
      </c>
      <c r="Q298" s="25" t="s">
        <v>346</v>
      </c>
      <c r="R298" s="25">
        <v>31.768319000000002</v>
      </c>
      <c r="S298" s="25">
        <v>35.213709999999999</v>
      </c>
      <c r="T298" s="22">
        <v>2</v>
      </c>
      <c r="U298" s="22">
        <v>2</v>
      </c>
      <c r="V298" s="22">
        <v>5</v>
      </c>
      <c r="W298" s="22">
        <v>2</v>
      </c>
      <c r="X298" s="22">
        <v>2</v>
      </c>
      <c r="Y298" s="18"/>
      <c r="Z298" s="22">
        <v>99</v>
      </c>
      <c r="AA298" s="22">
        <v>2</v>
      </c>
      <c r="AB298" s="18" t="s">
        <v>221</v>
      </c>
      <c r="AC298" s="22">
        <v>99</v>
      </c>
      <c r="AD298" s="22">
        <v>2</v>
      </c>
      <c r="AE298" s="18" t="s">
        <v>221</v>
      </c>
      <c r="AF298" s="22">
        <v>99</v>
      </c>
      <c r="AG298" s="18"/>
      <c r="AH298" s="22">
        <v>99</v>
      </c>
      <c r="AI298" s="57"/>
      <c r="AJ298" s="18"/>
      <c r="AK298" s="22">
        <v>99</v>
      </c>
      <c r="AL298" s="22">
        <v>99</v>
      </c>
      <c r="AM298" s="22">
        <v>99</v>
      </c>
      <c r="AN298" s="22">
        <v>99</v>
      </c>
      <c r="AO298" s="22">
        <v>99</v>
      </c>
      <c r="AP298" s="22">
        <v>99</v>
      </c>
      <c r="AQ298" s="18" t="s">
        <v>221</v>
      </c>
      <c r="AR298" s="18" t="s">
        <v>221</v>
      </c>
      <c r="AS298" s="18"/>
      <c r="AT298" s="18"/>
      <c r="AU298" s="22">
        <v>3</v>
      </c>
      <c r="AV298" s="22">
        <v>3</v>
      </c>
      <c r="AW298" s="22">
        <v>4</v>
      </c>
      <c r="AX298" s="37">
        <v>4</v>
      </c>
      <c r="AY298" s="22">
        <v>4</v>
      </c>
      <c r="AZ298" s="22">
        <v>2</v>
      </c>
      <c r="BA298" s="38">
        <v>99</v>
      </c>
      <c r="BB298" s="22">
        <v>99</v>
      </c>
      <c r="BC298" s="22">
        <v>99</v>
      </c>
      <c r="BD298" s="22">
        <v>99</v>
      </c>
      <c r="BE298" s="37">
        <v>99</v>
      </c>
      <c r="BF298" s="22">
        <v>0</v>
      </c>
      <c r="BG298" s="22">
        <v>0</v>
      </c>
      <c r="BH298" s="22">
        <v>0</v>
      </c>
      <c r="BI298" s="22">
        <v>999</v>
      </c>
      <c r="BJ298" s="22">
        <v>12</v>
      </c>
    </row>
    <row r="299" spans="1:62" ht="13">
      <c r="A299" s="22" t="s">
        <v>3184</v>
      </c>
      <c r="B299" s="22"/>
      <c r="C299" s="22"/>
      <c r="D299" s="22"/>
      <c r="E299" s="22">
        <v>2</v>
      </c>
      <c r="F299" s="22">
        <v>1</v>
      </c>
      <c r="G299" s="28">
        <v>26</v>
      </c>
      <c r="H299" s="28">
        <v>11</v>
      </c>
      <c r="I299" s="30">
        <v>1957</v>
      </c>
      <c r="J299" s="34">
        <f t="shared" si="0"/>
        <v>21150</v>
      </c>
      <c r="K299" s="39" t="s">
        <v>830</v>
      </c>
      <c r="L299" s="25" t="s">
        <v>1462</v>
      </c>
      <c r="M299" s="30">
        <v>1</v>
      </c>
      <c r="N299" s="17" t="s">
        <v>233</v>
      </c>
      <c r="O299" s="17"/>
      <c r="P299" s="25" t="s">
        <v>1463</v>
      </c>
      <c r="Q299" s="25" t="s">
        <v>1560</v>
      </c>
      <c r="R299" s="105"/>
      <c r="S299" s="105"/>
      <c r="T299" s="22">
        <v>2</v>
      </c>
      <c r="U299" s="22">
        <v>2</v>
      </c>
      <c r="V299" s="22">
        <v>5</v>
      </c>
      <c r="W299" s="22">
        <v>3</v>
      </c>
      <c r="X299" s="22">
        <v>2</v>
      </c>
      <c r="Y299" s="18"/>
      <c r="Z299" s="22">
        <v>5</v>
      </c>
      <c r="AA299" s="22">
        <v>1</v>
      </c>
      <c r="AB299" s="18" t="s">
        <v>221</v>
      </c>
      <c r="AC299" s="22">
        <v>6</v>
      </c>
      <c r="AD299" s="22">
        <v>2</v>
      </c>
      <c r="AE299" s="22" t="s">
        <v>3185</v>
      </c>
      <c r="AF299" s="22">
        <v>99</v>
      </c>
      <c r="AG299" s="18"/>
      <c r="AH299" s="22">
        <v>99</v>
      </c>
      <c r="AI299" s="57"/>
      <c r="AJ299" s="18"/>
      <c r="AK299" s="22">
        <v>99</v>
      </c>
      <c r="AL299" s="22">
        <v>99</v>
      </c>
      <c r="AM299" s="22">
        <v>99</v>
      </c>
      <c r="AN299" s="22">
        <v>99</v>
      </c>
      <c r="AO299" s="22">
        <v>99</v>
      </c>
      <c r="AP299" s="22">
        <v>99</v>
      </c>
      <c r="AQ299" s="22" t="s">
        <v>3186</v>
      </c>
      <c r="AR299" s="2" t="s">
        <v>730</v>
      </c>
      <c r="AS299" s="22">
        <v>1</v>
      </c>
      <c r="AT299" s="22">
        <v>6</v>
      </c>
      <c r="AU299" s="22">
        <v>3</v>
      </c>
      <c r="AV299" s="22">
        <v>3</v>
      </c>
      <c r="AW299" s="22">
        <v>4</v>
      </c>
      <c r="AX299" s="37">
        <v>4</v>
      </c>
      <c r="AY299" s="22">
        <v>4</v>
      </c>
      <c r="AZ299" s="22">
        <v>2</v>
      </c>
      <c r="BA299" s="38">
        <v>99</v>
      </c>
      <c r="BB299" s="22">
        <v>99</v>
      </c>
      <c r="BC299" s="22">
        <v>99</v>
      </c>
      <c r="BD299" s="22">
        <v>99</v>
      </c>
      <c r="BE299" s="37">
        <v>99</v>
      </c>
      <c r="BF299" s="22">
        <v>0</v>
      </c>
      <c r="BG299" s="22">
        <v>1</v>
      </c>
      <c r="BH299" s="22">
        <v>1</v>
      </c>
      <c r="BI299" s="22">
        <v>999</v>
      </c>
      <c r="BJ299" s="22">
        <v>99</v>
      </c>
    </row>
    <row r="300" spans="1:62" ht="13">
      <c r="A300" s="22" t="s">
        <v>3187</v>
      </c>
      <c r="B300" s="22"/>
      <c r="C300" s="22"/>
      <c r="D300" s="22"/>
      <c r="E300" s="22">
        <v>1</v>
      </c>
      <c r="F300" s="22">
        <v>1</v>
      </c>
      <c r="G300" s="28">
        <v>28</v>
      </c>
      <c r="H300" s="28">
        <v>11</v>
      </c>
      <c r="I300" s="30">
        <v>1957</v>
      </c>
      <c r="J300" s="34">
        <f t="shared" si="0"/>
        <v>21152</v>
      </c>
      <c r="K300" s="39" t="s">
        <v>614</v>
      </c>
      <c r="L300" s="25" t="s">
        <v>1465</v>
      </c>
      <c r="M300" s="30">
        <v>1</v>
      </c>
      <c r="N300" s="17" t="s">
        <v>233</v>
      </c>
      <c r="O300" s="17"/>
      <c r="P300" s="25" t="s">
        <v>1466</v>
      </c>
      <c r="Q300" s="25" t="s">
        <v>1564</v>
      </c>
      <c r="R300" s="105"/>
      <c r="S300" s="105"/>
      <c r="T300" s="22">
        <v>2</v>
      </c>
      <c r="U300" s="22">
        <v>2</v>
      </c>
      <c r="V300" s="22">
        <v>5</v>
      </c>
      <c r="W300" s="22">
        <v>4</v>
      </c>
      <c r="X300" s="22">
        <v>2</v>
      </c>
      <c r="Y300" s="18"/>
      <c r="Z300" s="22">
        <v>5</v>
      </c>
      <c r="AA300" s="22">
        <v>99</v>
      </c>
      <c r="AB300" s="18" t="s">
        <v>221</v>
      </c>
      <c r="AC300" s="22">
        <v>6</v>
      </c>
      <c r="AD300" s="22">
        <v>2</v>
      </c>
      <c r="AE300" s="18" t="s">
        <v>221</v>
      </c>
      <c r="AF300" s="22">
        <v>99</v>
      </c>
      <c r="AG300" s="18"/>
      <c r="AH300" s="22">
        <v>99</v>
      </c>
      <c r="AI300" s="57"/>
      <c r="AJ300" s="18"/>
      <c r="AK300" s="22">
        <v>99</v>
      </c>
      <c r="AL300" s="22">
        <v>99</v>
      </c>
      <c r="AM300" s="22">
        <v>99</v>
      </c>
      <c r="AN300" s="22">
        <v>99</v>
      </c>
      <c r="AO300" s="22">
        <v>99</v>
      </c>
      <c r="AP300" s="22">
        <v>99</v>
      </c>
      <c r="AQ300" s="18" t="s">
        <v>221</v>
      </c>
      <c r="AR300" s="18" t="s">
        <v>221</v>
      </c>
      <c r="AS300" s="18"/>
      <c r="AT300" s="18"/>
      <c r="AU300" s="22">
        <v>3</v>
      </c>
      <c r="AV300" s="22">
        <v>3</v>
      </c>
      <c r="AW300" s="22">
        <v>4</v>
      </c>
      <c r="AX300" s="37">
        <v>4</v>
      </c>
      <c r="AY300" s="22">
        <v>4</v>
      </c>
      <c r="AZ300" s="22">
        <v>2</v>
      </c>
      <c r="BA300" s="38">
        <v>99</v>
      </c>
      <c r="BB300" s="22">
        <v>99</v>
      </c>
      <c r="BC300" s="22">
        <v>99</v>
      </c>
      <c r="BD300" s="22">
        <v>99</v>
      </c>
      <c r="BE300" s="37">
        <v>99</v>
      </c>
      <c r="BF300" s="22">
        <v>0</v>
      </c>
      <c r="BG300" s="22">
        <v>0</v>
      </c>
      <c r="BH300" s="22">
        <v>0</v>
      </c>
      <c r="BI300" s="22">
        <v>999</v>
      </c>
      <c r="BJ300" s="22">
        <v>12</v>
      </c>
    </row>
    <row r="301" spans="1:62" ht="13">
      <c r="A301" s="22" t="s">
        <v>3188</v>
      </c>
      <c r="B301" s="22"/>
      <c r="C301" s="22"/>
      <c r="D301" s="22"/>
      <c r="E301" s="22">
        <v>2</v>
      </c>
      <c r="F301" s="22">
        <v>1</v>
      </c>
      <c r="G301" s="28">
        <v>30</v>
      </c>
      <c r="H301" s="28">
        <v>11</v>
      </c>
      <c r="I301" s="30">
        <v>1957</v>
      </c>
      <c r="J301" s="34">
        <f t="shared" si="0"/>
        <v>21154</v>
      </c>
      <c r="K301" s="11" t="s">
        <v>685</v>
      </c>
      <c r="L301" s="25" t="s">
        <v>1468</v>
      </c>
      <c r="M301" s="30">
        <v>99</v>
      </c>
      <c r="N301" s="52"/>
      <c r="O301" s="52"/>
      <c r="P301" s="25" t="s">
        <v>563</v>
      </c>
      <c r="Q301" s="25" t="s">
        <v>625</v>
      </c>
      <c r="R301" s="25">
        <v>31.419462500000002</v>
      </c>
      <c r="S301" s="25">
        <v>34.568954900000001</v>
      </c>
      <c r="T301" s="22">
        <v>1</v>
      </c>
      <c r="U301" s="22">
        <v>2</v>
      </c>
      <c r="V301" s="18"/>
      <c r="W301" s="22">
        <v>3</v>
      </c>
      <c r="X301" s="22">
        <v>2</v>
      </c>
      <c r="Y301" s="18"/>
      <c r="Z301" s="22">
        <v>5</v>
      </c>
      <c r="AA301" s="22">
        <v>1</v>
      </c>
      <c r="AB301" s="2" t="s">
        <v>685</v>
      </c>
      <c r="AC301" s="22">
        <v>6</v>
      </c>
      <c r="AD301" s="22">
        <v>2</v>
      </c>
      <c r="AE301" s="18" t="s">
        <v>221</v>
      </c>
      <c r="AF301" s="22">
        <v>99</v>
      </c>
      <c r="AG301" s="18"/>
      <c r="AH301" s="22">
        <v>99</v>
      </c>
      <c r="AI301" s="57"/>
      <c r="AJ301" s="18"/>
      <c r="AK301" s="22">
        <v>99</v>
      </c>
      <c r="AL301" s="22">
        <v>99</v>
      </c>
      <c r="AM301" s="22">
        <v>99</v>
      </c>
      <c r="AN301" s="22">
        <v>99</v>
      </c>
      <c r="AO301" s="22">
        <v>99</v>
      </c>
      <c r="AP301" s="22">
        <v>99</v>
      </c>
      <c r="AQ301" s="18" t="s">
        <v>221</v>
      </c>
      <c r="AR301" s="18" t="s">
        <v>221</v>
      </c>
      <c r="AS301" s="18"/>
      <c r="AT301" s="18"/>
      <c r="AU301" s="22">
        <v>3</v>
      </c>
      <c r="AV301" s="22">
        <v>3</v>
      </c>
      <c r="AW301" s="22">
        <v>4</v>
      </c>
      <c r="AX301" s="37">
        <v>4</v>
      </c>
      <c r="AY301" s="22">
        <v>4</v>
      </c>
      <c r="AZ301" s="22">
        <v>2</v>
      </c>
      <c r="BA301" s="38">
        <v>99</v>
      </c>
      <c r="BB301" s="22">
        <v>99</v>
      </c>
      <c r="BC301" s="22">
        <v>99</v>
      </c>
      <c r="BD301" s="22">
        <v>99</v>
      </c>
      <c r="BE301" s="37">
        <v>99</v>
      </c>
      <c r="BF301" s="22">
        <v>999</v>
      </c>
      <c r="BG301" s="22">
        <v>999</v>
      </c>
      <c r="BH301" s="22">
        <v>999</v>
      </c>
      <c r="BI301" s="22">
        <v>999</v>
      </c>
      <c r="BJ301" s="22">
        <v>99</v>
      </c>
    </row>
    <row r="302" spans="1:62" ht="13">
      <c r="A302" s="22" t="s">
        <v>3189</v>
      </c>
      <c r="B302" s="22"/>
      <c r="C302" s="22"/>
      <c r="D302" s="22"/>
      <c r="E302" s="22">
        <v>1</v>
      </c>
      <c r="F302" s="22">
        <v>1</v>
      </c>
      <c r="G302" s="28">
        <v>11</v>
      </c>
      <c r="H302" s="28">
        <v>12</v>
      </c>
      <c r="I302" s="30">
        <v>1957</v>
      </c>
      <c r="J302" s="34">
        <f t="shared" si="0"/>
        <v>21165</v>
      </c>
      <c r="K302" s="39" t="s">
        <v>328</v>
      </c>
      <c r="L302" s="25" t="s">
        <v>1470</v>
      </c>
      <c r="M302" s="51"/>
      <c r="N302" s="52"/>
      <c r="O302" s="52"/>
      <c r="P302" s="25" t="s">
        <v>889</v>
      </c>
      <c r="Q302" s="25" t="s">
        <v>913</v>
      </c>
      <c r="R302" s="25">
        <v>32.630552199999997</v>
      </c>
      <c r="S302" s="25">
        <v>51.299747199999999</v>
      </c>
      <c r="T302" s="22">
        <v>2</v>
      </c>
      <c r="U302" s="22">
        <v>2</v>
      </c>
      <c r="V302" s="18"/>
      <c r="W302" s="18"/>
      <c r="X302" s="22">
        <v>2</v>
      </c>
      <c r="Y302" s="18"/>
      <c r="Z302" s="22">
        <v>99</v>
      </c>
      <c r="AA302" s="22">
        <v>1</v>
      </c>
      <c r="AB302" s="2" t="s">
        <v>1294</v>
      </c>
      <c r="AC302" s="22">
        <v>6</v>
      </c>
      <c r="AD302" s="22">
        <v>2</v>
      </c>
      <c r="AE302" s="18" t="s">
        <v>221</v>
      </c>
      <c r="AF302" s="22">
        <v>99</v>
      </c>
      <c r="AG302" s="18"/>
      <c r="AH302" s="22">
        <v>99</v>
      </c>
      <c r="AI302" s="57"/>
      <c r="AJ302" s="18"/>
      <c r="AK302" s="22">
        <v>99</v>
      </c>
      <c r="AL302" s="22">
        <v>99</v>
      </c>
      <c r="AM302" s="22">
        <v>99</v>
      </c>
      <c r="AN302" s="22">
        <v>99</v>
      </c>
      <c r="AO302" s="22">
        <v>99</v>
      </c>
      <c r="AP302" s="22">
        <v>99</v>
      </c>
      <c r="AQ302" s="18" t="s">
        <v>221</v>
      </c>
      <c r="AR302" s="18" t="s">
        <v>221</v>
      </c>
      <c r="AS302" s="18"/>
      <c r="AT302" s="18"/>
      <c r="AU302" s="22">
        <v>3</v>
      </c>
      <c r="AV302" s="22">
        <v>3</v>
      </c>
      <c r="AW302" s="22">
        <v>4</v>
      </c>
      <c r="AX302" s="37">
        <v>4</v>
      </c>
      <c r="AY302" s="22">
        <v>4</v>
      </c>
      <c r="AZ302" s="22">
        <v>2</v>
      </c>
      <c r="BA302" s="38">
        <v>99</v>
      </c>
      <c r="BB302" s="22">
        <v>99</v>
      </c>
      <c r="BC302" s="22">
        <v>99</v>
      </c>
      <c r="BD302" s="22">
        <v>99</v>
      </c>
      <c r="BE302" s="37">
        <v>99</v>
      </c>
      <c r="BF302" s="22">
        <v>999</v>
      </c>
      <c r="BG302" s="22">
        <v>999</v>
      </c>
      <c r="BH302" s="22">
        <v>999</v>
      </c>
      <c r="BI302" s="22">
        <v>999</v>
      </c>
      <c r="BJ302" s="22">
        <v>7</v>
      </c>
    </row>
    <row r="303" spans="1:62" ht="13">
      <c r="A303" s="22" t="s">
        <v>3190</v>
      </c>
      <c r="B303" s="22"/>
      <c r="C303" s="22"/>
      <c r="D303" s="22"/>
      <c r="E303" s="22">
        <v>1</v>
      </c>
      <c r="F303" s="22">
        <v>1</v>
      </c>
      <c r="G303" s="28">
        <v>8</v>
      </c>
      <c r="H303" s="28">
        <v>1</v>
      </c>
      <c r="I303" s="30">
        <v>1958</v>
      </c>
      <c r="J303" s="34">
        <f t="shared" si="0"/>
        <v>21193</v>
      </c>
      <c r="K303" s="35" t="s">
        <v>221</v>
      </c>
      <c r="L303" s="25" t="s">
        <v>1472</v>
      </c>
      <c r="M303" s="30">
        <v>1</v>
      </c>
      <c r="N303" s="17" t="s">
        <v>233</v>
      </c>
      <c r="O303" s="17"/>
      <c r="P303" s="25" t="s">
        <v>1473</v>
      </c>
      <c r="Q303" s="25" t="s">
        <v>1574</v>
      </c>
      <c r="R303" s="105"/>
      <c r="S303" s="105"/>
      <c r="T303" s="22">
        <v>2</v>
      </c>
      <c r="U303" s="22">
        <v>2</v>
      </c>
      <c r="V303" s="22">
        <v>5</v>
      </c>
      <c r="W303" s="22">
        <v>2</v>
      </c>
      <c r="X303" s="22">
        <v>2</v>
      </c>
      <c r="Y303" s="18"/>
      <c r="Z303" s="22">
        <v>99</v>
      </c>
      <c r="AA303" s="22">
        <v>99</v>
      </c>
      <c r="AB303" s="2" t="s">
        <v>2217</v>
      </c>
      <c r="AC303" s="22">
        <v>6</v>
      </c>
      <c r="AD303" s="22">
        <v>2</v>
      </c>
      <c r="AE303" s="18" t="s">
        <v>221</v>
      </c>
      <c r="AF303" s="22">
        <v>99</v>
      </c>
      <c r="AG303" s="18"/>
      <c r="AH303" s="22">
        <v>99</v>
      </c>
      <c r="AI303" s="57"/>
      <c r="AJ303" s="18"/>
      <c r="AK303" s="22">
        <v>99</v>
      </c>
      <c r="AL303" s="22">
        <v>99</v>
      </c>
      <c r="AM303" s="22">
        <v>99</v>
      </c>
      <c r="AN303" s="22">
        <v>99</v>
      </c>
      <c r="AO303" s="22">
        <v>99</v>
      </c>
      <c r="AP303" s="22">
        <v>99</v>
      </c>
      <c r="AQ303" s="22" t="s">
        <v>3191</v>
      </c>
      <c r="AR303" s="18" t="s">
        <v>221</v>
      </c>
      <c r="AS303" s="22">
        <v>99</v>
      </c>
      <c r="AT303" s="22">
        <v>2</v>
      </c>
      <c r="AU303" s="22">
        <v>3</v>
      </c>
      <c r="AV303" s="22">
        <v>3</v>
      </c>
      <c r="AW303" s="22">
        <v>4</v>
      </c>
      <c r="AX303" s="37">
        <v>4</v>
      </c>
      <c r="AY303" s="22">
        <v>4</v>
      </c>
      <c r="AZ303" s="22">
        <v>2</v>
      </c>
      <c r="BA303" s="38">
        <v>99</v>
      </c>
      <c r="BB303" s="22">
        <v>99</v>
      </c>
      <c r="BC303" s="22">
        <v>99</v>
      </c>
      <c r="BD303" s="22">
        <v>99</v>
      </c>
      <c r="BE303" s="37">
        <v>99</v>
      </c>
      <c r="BF303" s="22">
        <v>1</v>
      </c>
      <c r="BG303" s="22">
        <v>0</v>
      </c>
      <c r="BH303" s="22">
        <v>1</v>
      </c>
      <c r="BI303" s="22">
        <v>999</v>
      </c>
      <c r="BJ303" s="22">
        <v>8</v>
      </c>
    </row>
    <row r="304" spans="1:62" ht="13">
      <c r="A304" s="22" t="s">
        <v>3192</v>
      </c>
      <c r="B304" s="22"/>
      <c r="C304" s="22"/>
      <c r="D304" s="22"/>
      <c r="E304" s="22">
        <v>1</v>
      </c>
      <c r="F304" s="22">
        <v>1</v>
      </c>
      <c r="G304" s="28">
        <v>18</v>
      </c>
      <c r="H304" s="28">
        <v>1</v>
      </c>
      <c r="I304" s="30">
        <v>1958</v>
      </c>
      <c r="J304" s="34">
        <f t="shared" si="0"/>
        <v>21203</v>
      </c>
      <c r="K304" s="35" t="s">
        <v>221</v>
      </c>
      <c r="L304" s="25" t="s">
        <v>1477</v>
      </c>
      <c r="M304" s="30">
        <v>1</v>
      </c>
      <c r="N304" s="17" t="s">
        <v>233</v>
      </c>
      <c r="O304" s="17"/>
      <c r="P304" s="25" t="s">
        <v>1478</v>
      </c>
      <c r="Q304" s="25" t="s">
        <v>1580</v>
      </c>
      <c r="R304" s="25">
        <v>31.767764</v>
      </c>
      <c r="S304" s="25">
        <v>35.160212999999999</v>
      </c>
      <c r="T304" s="22">
        <v>2</v>
      </c>
      <c r="U304" s="22">
        <v>2</v>
      </c>
      <c r="V304" s="22">
        <v>5</v>
      </c>
      <c r="W304" s="22">
        <v>2</v>
      </c>
      <c r="X304" s="22">
        <v>2</v>
      </c>
      <c r="Y304" s="18"/>
      <c r="Z304" s="22">
        <v>5</v>
      </c>
      <c r="AA304" s="22">
        <v>1</v>
      </c>
      <c r="AB304" s="18" t="s">
        <v>221</v>
      </c>
      <c r="AC304" s="22">
        <v>6</v>
      </c>
      <c r="AD304" s="22">
        <v>2</v>
      </c>
      <c r="AE304" s="18" t="s">
        <v>221</v>
      </c>
      <c r="AF304" s="18"/>
      <c r="AG304" s="18"/>
      <c r="AH304" s="18"/>
      <c r="AI304" s="57"/>
      <c r="AJ304" s="18"/>
      <c r="AK304" s="18"/>
      <c r="AL304" s="18"/>
      <c r="AM304" s="18"/>
      <c r="AN304" s="22">
        <v>2</v>
      </c>
      <c r="AO304" s="18"/>
      <c r="AP304" s="18"/>
      <c r="AQ304" s="18" t="s">
        <v>221</v>
      </c>
      <c r="AR304" s="18" t="s">
        <v>221</v>
      </c>
      <c r="AS304" s="18"/>
      <c r="AT304" s="18"/>
      <c r="AU304" s="18"/>
      <c r="AV304" s="18"/>
      <c r="AW304" s="18"/>
      <c r="AX304" s="89"/>
      <c r="AY304" s="18"/>
      <c r="AZ304" s="18"/>
      <c r="BA304" s="88"/>
      <c r="BB304" s="18"/>
      <c r="BC304" s="18"/>
      <c r="BD304" s="18"/>
      <c r="BE304" s="89"/>
      <c r="BF304" s="22">
        <v>1</v>
      </c>
      <c r="BG304" s="22">
        <v>0</v>
      </c>
      <c r="BH304" s="22">
        <v>1</v>
      </c>
      <c r="BI304" s="22">
        <v>999</v>
      </c>
      <c r="BJ304" s="22">
        <v>8</v>
      </c>
    </row>
    <row r="305" spans="1:62" ht="13">
      <c r="A305" s="22" t="s">
        <v>3193</v>
      </c>
      <c r="B305" s="22"/>
      <c r="C305" s="22"/>
      <c r="D305" s="22"/>
      <c r="E305" s="22">
        <v>1</v>
      </c>
      <c r="F305" s="22">
        <v>1</v>
      </c>
      <c r="G305" s="28">
        <v>22</v>
      </c>
      <c r="H305" s="28">
        <v>1</v>
      </c>
      <c r="I305" s="30">
        <v>1958</v>
      </c>
      <c r="J305" s="34">
        <f t="shared" si="0"/>
        <v>21207</v>
      </c>
      <c r="K305" s="11" t="s">
        <v>1225</v>
      </c>
      <c r="L305" s="25" t="s">
        <v>1480</v>
      </c>
      <c r="M305" s="30">
        <v>1</v>
      </c>
      <c r="N305" s="17" t="s">
        <v>233</v>
      </c>
      <c r="O305" s="17"/>
      <c r="P305" s="25" t="s">
        <v>1481</v>
      </c>
      <c r="Q305" s="25" t="s">
        <v>1584</v>
      </c>
      <c r="R305" s="25">
        <v>31.7712726</v>
      </c>
      <c r="S305" s="25">
        <v>35.228941499999998</v>
      </c>
      <c r="T305" s="22">
        <v>2</v>
      </c>
      <c r="U305" s="22">
        <v>2</v>
      </c>
      <c r="V305" s="22">
        <v>5</v>
      </c>
      <c r="W305" s="22">
        <v>2</v>
      </c>
      <c r="X305" s="22">
        <v>2</v>
      </c>
      <c r="Y305" s="18"/>
      <c r="Z305" s="22">
        <v>99</v>
      </c>
      <c r="AA305" s="22">
        <v>99</v>
      </c>
      <c r="AB305" s="18" t="s">
        <v>221</v>
      </c>
      <c r="AC305" s="22">
        <v>9</v>
      </c>
      <c r="AD305" s="22">
        <v>2</v>
      </c>
      <c r="AE305" s="18" t="s">
        <v>221</v>
      </c>
      <c r="AF305" s="22">
        <v>99</v>
      </c>
      <c r="AG305" s="18"/>
      <c r="AH305" s="22">
        <v>99</v>
      </c>
      <c r="AI305" s="57"/>
      <c r="AJ305" s="18"/>
      <c r="AK305" s="22">
        <v>99</v>
      </c>
      <c r="AL305" s="22">
        <v>99</v>
      </c>
      <c r="AM305" s="22">
        <v>99</v>
      </c>
      <c r="AN305" s="22">
        <v>99</v>
      </c>
      <c r="AO305" s="22">
        <v>99</v>
      </c>
      <c r="AP305" s="22">
        <v>99</v>
      </c>
      <c r="AQ305" s="18" t="s">
        <v>221</v>
      </c>
      <c r="AR305" s="18" t="s">
        <v>221</v>
      </c>
      <c r="AS305" s="18"/>
      <c r="AT305" s="18"/>
      <c r="AU305" s="22">
        <v>3</v>
      </c>
      <c r="AV305" s="22">
        <v>3</v>
      </c>
      <c r="AW305" s="22">
        <v>4</v>
      </c>
      <c r="AX305" s="37">
        <v>4</v>
      </c>
      <c r="AY305" s="22">
        <v>4</v>
      </c>
      <c r="AZ305" s="22">
        <v>2</v>
      </c>
      <c r="BA305" s="38">
        <v>99</v>
      </c>
      <c r="BB305" s="22">
        <v>99</v>
      </c>
      <c r="BC305" s="22">
        <v>99</v>
      </c>
      <c r="BD305" s="22">
        <v>99</v>
      </c>
      <c r="BE305" s="37">
        <v>99</v>
      </c>
      <c r="BF305" s="22">
        <v>999</v>
      </c>
      <c r="BG305" s="22">
        <v>999</v>
      </c>
      <c r="BH305" s="22">
        <v>999</v>
      </c>
      <c r="BI305" s="22">
        <v>999</v>
      </c>
      <c r="BJ305" s="22">
        <v>99</v>
      </c>
    </row>
    <row r="306" spans="1:62" ht="13">
      <c r="A306" s="22" t="s">
        <v>3194</v>
      </c>
      <c r="B306" s="22"/>
      <c r="C306" s="22"/>
      <c r="D306" s="22"/>
      <c r="E306" s="22">
        <v>1</v>
      </c>
      <c r="F306" s="22">
        <v>1</v>
      </c>
      <c r="G306" s="28">
        <v>28</v>
      </c>
      <c r="H306" s="28">
        <v>1</v>
      </c>
      <c r="I306" s="30">
        <v>1958</v>
      </c>
      <c r="J306" s="34">
        <f t="shared" si="0"/>
        <v>21213</v>
      </c>
      <c r="K306" s="11" t="s">
        <v>3195</v>
      </c>
      <c r="L306" s="25" t="s">
        <v>1482</v>
      </c>
      <c r="M306" s="30">
        <v>1</v>
      </c>
      <c r="N306" s="17" t="s">
        <v>233</v>
      </c>
      <c r="O306" s="17"/>
      <c r="P306" s="25" t="s">
        <v>1483</v>
      </c>
      <c r="Q306" s="25" t="s">
        <v>1588</v>
      </c>
      <c r="R306" s="105"/>
      <c r="S306" s="105"/>
      <c r="T306" s="22">
        <v>2</v>
      </c>
      <c r="U306" s="22">
        <v>2</v>
      </c>
      <c r="V306" s="22">
        <v>2</v>
      </c>
      <c r="W306" s="22">
        <v>4</v>
      </c>
      <c r="X306" s="22">
        <v>2</v>
      </c>
      <c r="Y306" s="18"/>
      <c r="Z306" s="22">
        <v>5</v>
      </c>
      <c r="AA306" s="22">
        <v>3</v>
      </c>
      <c r="AB306" s="18" t="s">
        <v>221</v>
      </c>
      <c r="AC306" s="22">
        <v>6</v>
      </c>
      <c r="AD306" s="22">
        <v>2</v>
      </c>
      <c r="AE306" s="18" t="s">
        <v>221</v>
      </c>
      <c r="AF306" s="22">
        <v>99</v>
      </c>
      <c r="AG306" s="18"/>
      <c r="AH306" s="22">
        <v>99</v>
      </c>
      <c r="AI306" s="28">
        <v>99</v>
      </c>
      <c r="AJ306" s="18"/>
      <c r="AK306" s="22">
        <v>99</v>
      </c>
      <c r="AL306" s="22">
        <v>99</v>
      </c>
      <c r="AM306" s="22">
        <v>99</v>
      </c>
      <c r="AN306" s="22">
        <v>2</v>
      </c>
      <c r="AO306" s="22">
        <v>99</v>
      </c>
      <c r="AP306" s="22">
        <v>99</v>
      </c>
      <c r="AQ306" s="22" t="s">
        <v>1049</v>
      </c>
      <c r="AR306" s="18" t="s">
        <v>221</v>
      </c>
      <c r="AS306" s="22">
        <v>99</v>
      </c>
      <c r="AT306" s="22">
        <v>99</v>
      </c>
      <c r="AU306" s="22">
        <v>3</v>
      </c>
      <c r="AV306" s="22">
        <v>3</v>
      </c>
      <c r="AW306" s="22">
        <v>4</v>
      </c>
      <c r="AX306" s="37">
        <v>4</v>
      </c>
      <c r="AY306" s="22">
        <v>4</v>
      </c>
      <c r="AZ306" s="22">
        <v>2</v>
      </c>
      <c r="BA306" s="38">
        <v>99</v>
      </c>
      <c r="BB306" s="22">
        <v>99</v>
      </c>
      <c r="BC306" s="22">
        <v>99</v>
      </c>
      <c r="BD306" s="22">
        <v>99</v>
      </c>
      <c r="BE306" s="37">
        <v>99</v>
      </c>
      <c r="BF306" s="22">
        <v>0</v>
      </c>
      <c r="BG306" s="22">
        <v>0</v>
      </c>
      <c r="BH306" s="22">
        <v>0</v>
      </c>
      <c r="BI306" s="22">
        <v>999</v>
      </c>
      <c r="BJ306" s="22">
        <v>8</v>
      </c>
    </row>
    <row r="307" spans="1:62" ht="13">
      <c r="A307" s="18" t="s">
        <v>221</v>
      </c>
      <c r="B307" s="22"/>
      <c r="C307" s="22"/>
      <c r="D307" s="22"/>
      <c r="E307" s="22">
        <v>1</v>
      </c>
      <c r="F307" s="22">
        <v>1</v>
      </c>
      <c r="G307" s="28">
        <v>4</v>
      </c>
      <c r="H307" s="28">
        <v>2</v>
      </c>
      <c r="I307" s="30">
        <v>1958</v>
      </c>
      <c r="J307" s="34">
        <f t="shared" si="0"/>
        <v>21220</v>
      </c>
      <c r="K307" s="39" t="s">
        <v>830</v>
      </c>
      <c r="L307" s="18"/>
      <c r="M307" s="30">
        <v>1</v>
      </c>
      <c r="N307" s="17" t="s">
        <v>233</v>
      </c>
      <c r="O307" s="17"/>
      <c r="P307" s="25" t="s">
        <v>264</v>
      </c>
      <c r="Q307" s="25" t="s">
        <v>1685</v>
      </c>
      <c r="R307" s="105"/>
      <c r="S307" s="105"/>
      <c r="T307" s="22">
        <v>2</v>
      </c>
      <c r="U307" s="22">
        <v>2</v>
      </c>
      <c r="V307" s="22">
        <v>2</v>
      </c>
      <c r="W307" s="22">
        <v>4</v>
      </c>
      <c r="X307" s="22">
        <v>2</v>
      </c>
      <c r="Y307" s="18"/>
      <c r="Z307" s="22">
        <v>5</v>
      </c>
      <c r="AA307" s="22">
        <v>3</v>
      </c>
      <c r="AB307" s="18" t="s">
        <v>221</v>
      </c>
      <c r="AC307" s="22">
        <v>6</v>
      </c>
      <c r="AD307" s="22">
        <v>2</v>
      </c>
      <c r="AE307" s="18" t="s">
        <v>221</v>
      </c>
      <c r="AF307" s="22">
        <v>99</v>
      </c>
      <c r="AG307" s="18"/>
      <c r="AH307" s="22">
        <v>99</v>
      </c>
      <c r="AI307" s="28">
        <v>99</v>
      </c>
      <c r="AJ307" s="18"/>
      <c r="AK307" s="22">
        <v>99</v>
      </c>
      <c r="AL307" s="22">
        <v>99</v>
      </c>
      <c r="AM307" s="22">
        <v>99</v>
      </c>
      <c r="AN307" s="22">
        <v>2</v>
      </c>
      <c r="AO307" s="22">
        <v>99</v>
      </c>
      <c r="AP307" s="22">
        <v>99</v>
      </c>
      <c r="AQ307" s="22" t="s">
        <v>1049</v>
      </c>
      <c r="AR307" s="18" t="s">
        <v>221</v>
      </c>
      <c r="AS307" s="22">
        <v>99</v>
      </c>
      <c r="AT307" s="22">
        <v>99</v>
      </c>
      <c r="AU307" s="22">
        <v>3</v>
      </c>
      <c r="AV307" s="22">
        <v>3</v>
      </c>
      <c r="AW307" s="22">
        <v>4</v>
      </c>
      <c r="AX307" s="37">
        <v>4</v>
      </c>
      <c r="AY307" s="22">
        <v>4</v>
      </c>
      <c r="AZ307" s="22">
        <v>2</v>
      </c>
      <c r="BA307" s="38">
        <v>99</v>
      </c>
      <c r="BB307" s="22">
        <v>99</v>
      </c>
      <c r="BC307" s="22">
        <v>99</v>
      </c>
      <c r="BD307" s="22">
        <v>99</v>
      </c>
      <c r="BE307" s="37">
        <v>99</v>
      </c>
      <c r="BF307" s="22">
        <v>0</v>
      </c>
      <c r="BG307" s="22">
        <v>0</v>
      </c>
      <c r="BH307" s="22">
        <v>0</v>
      </c>
      <c r="BI307" s="22">
        <v>999</v>
      </c>
      <c r="BJ307" s="22">
        <v>8</v>
      </c>
    </row>
    <row r="308" spans="1:62" ht="13">
      <c r="A308" s="22" t="s">
        <v>3196</v>
      </c>
      <c r="B308" s="22"/>
      <c r="C308" s="22"/>
      <c r="D308" s="22"/>
      <c r="E308" s="22">
        <v>1</v>
      </c>
      <c r="F308" s="22">
        <v>1</v>
      </c>
      <c r="G308" s="28">
        <v>4</v>
      </c>
      <c r="H308" s="28">
        <v>2</v>
      </c>
      <c r="I308" s="30">
        <v>1958</v>
      </c>
      <c r="J308" s="34">
        <f t="shared" si="0"/>
        <v>21220</v>
      </c>
      <c r="K308" s="39" t="s">
        <v>830</v>
      </c>
      <c r="L308" s="25" t="s">
        <v>1486</v>
      </c>
      <c r="M308" s="30">
        <v>1</v>
      </c>
      <c r="N308" s="17" t="s">
        <v>233</v>
      </c>
      <c r="O308" s="17"/>
      <c r="P308" s="25" t="s">
        <v>1487</v>
      </c>
      <c r="Q308" s="25" t="s">
        <v>1594</v>
      </c>
      <c r="R308" s="25">
        <v>39.889299200000004</v>
      </c>
      <c r="S308" s="25">
        <v>-75.455060899999907</v>
      </c>
      <c r="T308" s="22">
        <v>2</v>
      </c>
      <c r="U308" s="22">
        <v>2</v>
      </c>
      <c r="V308" s="22">
        <v>2</v>
      </c>
      <c r="W308" s="22">
        <v>3</v>
      </c>
      <c r="X308" s="22">
        <v>2</v>
      </c>
      <c r="Y308" s="18"/>
      <c r="Z308" s="22">
        <v>5</v>
      </c>
      <c r="AA308" s="22">
        <v>3</v>
      </c>
      <c r="AB308" s="18" t="s">
        <v>221</v>
      </c>
      <c r="AC308" s="22">
        <v>99</v>
      </c>
      <c r="AD308" s="22">
        <v>2</v>
      </c>
      <c r="AE308" s="18" t="s">
        <v>221</v>
      </c>
      <c r="AF308" s="22">
        <v>99</v>
      </c>
      <c r="AG308" s="18"/>
      <c r="AH308" s="22">
        <v>99</v>
      </c>
      <c r="AI308" s="28">
        <v>99</v>
      </c>
      <c r="AJ308" s="18"/>
      <c r="AK308" s="22">
        <v>99</v>
      </c>
      <c r="AL308" s="22">
        <v>99</v>
      </c>
      <c r="AM308" s="22">
        <v>99</v>
      </c>
      <c r="AN308" s="22">
        <v>2</v>
      </c>
      <c r="AO308" s="22">
        <v>99</v>
      </c>
      <c r="AP308" s="22">
        <v>99</v>
      </c>
      <c r="AQ308" s="22" t="s">
        <v>1049</v>
      </c>
      <c r="AR308" s="18" t="s">
        <v>221</v>
      </c>
      <c r="AS308" s="22">
        <v>99</v>
      </c>
      <c r="AT308" s="22">
        <v>99</v>
      </c>
      <c r="AU308" s="22">
        <v>3</v>
      </c>
      <c r="AV308" s="22">
        <v>3</v>
      </c>
      <c r="AW308" s="22">
        <v>4</v>
      </c>
      <c r="AX308" s="37">
        <v>4</v>
      </c>
      <c r="AY308" s="22">
        <v>4</v>
      </c>
      <c r="AZ308" s="22">
        <v>2</v>
      </c>
      <c r="BA308" s="38">
        <v>99</v>
      </c>
      <c r="BB308" s="22">
        <v>99</v>
      </c>
      <c r="BC308" s="22">
        <v>99</v>
      </c>
      <c r="BD308" s="22">
        <v>99</v>
      </c>
      <c r="BE308" s="37">
        <v>99</v>
      </c>
      <c r="BF308" s="22">
        <v>0</v>
      </c>
      <c r="BG308" s="22">
        <v>0</v>
      </c>
      <c r="BH308" s="22">
        <v>0</v>
      </c>
      <c r="BI308" s="22">
        <v>999</v>
      </c>
      <c r="BJ308" s="22">
        <v>8</v>
      </c>
    </row>
    <row r="309" spans="1:62" ht="13">
      <c r="A309" s="22" t="s">
        <v>3197</v>
      </c>
      <c r="B309" s="22"/>
      <c r="C309" s="22"/>
      <c r="D309" s="22"/>
      <c r="E309" s="22">
        <v>1</v>
      </c>
      <c r="F309" s="22">
        <v>1</v>
      </c>
      <c r="G309" s="28">
        <v>8</v>
      </c>
      <c r="H309" s="28">
        <v>2</v>
      </c>
      <c r="I309" s="30">
        <v>1958</v>
      </c>
      <c r="J309" s="34">
        <f t="shared" si="0"/>
        <v>21224</v>
      </c>
      <c r="K309" s="39" t="s">
        <v>614</v>
      </c>
      <c r="L309" s="25" t="s">
        <v>1488</v>
      </c>
      <c r="M309" s="30">
        <v>1</v>
      </c>
      <c r="N309" s="17" t="s">
        <v>233</v>
      </c>
      <c r="O309" s="17"/>
      <c r="P309" s="25" t="s">
        <v>1489</v>
      </c>
      <c r="Q309" s="25" t="s">
        <v>1597</v>
      </c>
      <c r="R309" s="105"/>
      <c r="S309" s="105"/>
      <c r="T309" s="22">
        <v>2</v>
      </c>
      <c r="U309" s="22">
        <v>2</v>
      </c>
      <c r="V309" s="22">
        <v>2</v>
      </c>
      <c r="W309" s="22">
        <v>3</v>
      </c>
      <c r="X309" s="22">
        <v>2</v>
      </c>
      <c r="Y309" s="18"/>
      <c r="Z309" s="22">
        <v>5</v>
      </c>
      <c r="AA309" s="22">
        <v>1</v>
      </c>
      <c r="AB309" s="2" t="s">
        <v>3198</v>
      </c>
      <c r="AC309" s="22">
        <v>6</v>
      </c>
      <c r="AD309" s="22">
        <v>2</v>
      </c>
      <c r="AE309" s="18" t="s">
        <v>221</v>
      </c>
      <c r="AF309" s="22">
        <v>99</v>
      </c>
      <c r="AG309" s="18"/>
      <c r="AH309" s="22">
        <v>99</v>
      </c>
      <c r="AI309" s="28">
        <v>99</v>
      </c>
      <c r="AJ309" s="18"/>
      <c r="AK309" s="22">
        <v>99</v>
      </c>
      <c r="AL309" s="22">
        <v>99</v>
      </c>
      <c r="AM309" s="22">
        <v>99</v>
      </c>
      <c r="AN309" s="22">
        <v>2</v>
      </c>
      <c r="AO309" s="22">
        <v>99</v>
      </c>
      <c r="AP309" s="22">
        <v>99</v>
      </c>
      <c r="AQ309" s="18" t="s">
        <v>221</v>
      </c>
      <c r="AR309" s="18" t="s">
        <v>221</v>
      </c>
      <c r="AS309" s="22">
        <v>99</v>
      </c>
      <c r="AT309" s="22">
        <v>6</v>
      </c>
      <c r="AU309" s="22">
        <v>3</v>
      </c>
      <c r="AV309" s="22">
        <v>3</v>
      </c>
      <c r="AW309" s="22">
        <v>4</v>
      </c>
      <c r="AX309" s="37">
        <v>4</v>
      </c>
      <c r="AY309" s="22">
        <v>4</v>
      </c>
      <c r="AZ309" s="22">
        <v>2</v>
      </c>
      <c r="BA309" s="38">
        <v>99</v>
      </c>
      <c r="BB309" s="22">
        <v>99</v>
      </c>
      <c r="BC309" s="22">
        <v>99</v>
      </c>
      <c r="BD309" s="22">
        <v>99</v>
      </c>
      <c r="BE309" s="37">
        <v>99</v>
      </c>
      <c r="BF309" s="22">
        <v>4</v>
      </c>
      <c r="BG309" s="22">
        <v>2</v>
      </c>
      <c r="BH309" s="22">
        <v>6</v>
      </c>
      <c r="BI309" s="22">
        <v>50</v>
      </c>
      <c r="BJ309" s="22">
        <v>8</v>
      </c>
    </row>
    <row r="310" spans="1:62" ht="13">
      <c r="A310" s="22" t="s">
        <v>3199</v>
      </c>
      <c r="B310" s="22"/>
      <c r="C310" s="22"/>
      <c r="D310" s="22"/>
      <c r="E310" s="22">
        <v>1</v>
      </c>
      <c r="F310" s="22">
        <v>1</v>
      </c>
      <c r="G310" s="28">
        <v>11</v>
      </c>
      <c r="H310" s="28">
        <v>2</v>
      </c>
      <c r="I310" s="30">
        <v>1958</v>
      </c>
      <c r="J310" s="34">
        <f t="shared" si="0"/>
        <v>21227</v>
      </c>
      <c r="K310" s="11" t="s">
        <v>1321</v>
      </c>
      <c r="L310" s="25" t="s">
        <v>1491</v>
      </c>
      <c r="M310" s="30">
        <v>1</v>
      </c>
      <c r="N310" s="17" t="s">
        <v>233</v>
      </c>
      <c r="O310" s="17"/>
      <c r="P310" s="25" t="s">
        <v>1492</v>
      </c>
      <c r="Q310" s="25" t="s">
        <v>1601</v>
      </c>
      <c r="R310" s="25">
        <v>44.231006999999998</v>
      </c>
      <c r="S310" s="25">
        <v>0.27258500000000002</v>
      </c>
      <c r="T310" s="22">
        <v>2</v>
      </c>
      <c r="U310" s="22">
        <v>2</v>
      </c>
      <c r="V310" s="22">
        <v>5</v>
      </c>
      <c r="W310" s="18"/>
      <c r="X310" s="22">
        <v>2</v>
      </c>
      <c r="Y310" s="18"/>
      <c r="Z310" s="22">
        <v>5</v>
      </c>
      <c r="AA310" s="22">
        <v>3</v>
      </c>
      <c r="AB310" s="18" t="s">
        <v>221</v>
      </c>
      <c r="AC310" s="22">
        <v>6</v>
      </c>
      <c r="AD310" s="22">
        <v>2</v>
      </c>
      <c r="AE310" s="18" t="s">
        <v>221</v>
      </c>
      <c r="AF310" s="22">
        <v>99</v>
      </c>
      <c r="AG310" s="18"/>
      <c r="AH310" s="22">
        <v>99</v>
      </c>
      <c r="AI310" s="28">
        <v>99</v>
      </c>
      <c r="AJ310" s="18"/>
      <c r="AK310" s="22">
        <v>99</v>
      </c>
      <c r="AL310" s="22">
        <v>99</v>
      </c>
      <c r="AM310" s="22">
        <v>99</v>
      </c>
      <c r="AN310" s="22">
        <v>2</v>
      </c>
      <c r="AO310" s="22">
        <v>99</v>
      </c>
      <c r="AP310" s="22">
        <v>99</v>
      </c>
      <c r="AQ310" s="22" t="s">
        <v>1049</v>
      </c>
      <c r="AR310" s="18" t="s">
        <v>221</v>
      </c>
      <c r="AS310" s="22">
        <v>99</v>
      </c>
      <c r="AT310" s="22">
        <v>6</v>
      </c>
      <c r="AU310" s="18"/>
      <c r="AV310" s="18"/>
      <c r="AW310" s="18"/>
      <c r="AX310" s="89"/>
      <c r="AY310" s="18"/>
      <c r="AZ310" s="18"/>
      <c r="BA310" s="88"/>
      <c r="BB310" s="18"/>
      <c r="BC310" s="18"/>
      <c r="BD310" s="18"/>
      <c r="BE310" s="89"/>
      <c r="BF310" s="22">
        <v>0</v>
      </c>
      <c r="BG310" s="22">
        <v>0</v>
      </c>
      <c r="BH310" s="22">
        <v>0</v>
      </c>
      <c r="BI310" s="22">
        <v>999</v>
      </c>
      <c r="BJ310" s="22">
        <v>13</v>
      </c>
    </row>
    <row r="311" spans="1:62" ht="13">
      <c r="A311" s="22" t="s">
        <v>3200</v>
      </c>
      <c r="B311" s="22"/>
      <c r="C311" s="22"/>
      <c r="D311" s="22"/>
      <c r="E311" s="22">
        <v>2</v>
      </c>
      <c r="F311" s="22">
        <v>1</v>
      </c>
      <c r="G311" s="28">
        <v>12</v>
      </c>
      <c r="H311" s="28">
        <v>2</v>
      </c>
      <c r="I311" s="30">
        <v>1958</v>
      </c>
      <c r="J311" s="34">
        <f t="shared" si="0"/>
        <v>21228</v>
      </c>
      <c r="K311" s="11" t="s">
        <v>1208</v>
      </c>
      <c r="L311" s="25" t="s">
        <v>1493</v>
      </c>
      <c r="M311" s="30">
        <v>3</v>
      </c>
      <c r="N311" s="17" t="s">
        <v>552</v>
      </c>
      <c r="O311" s="17"/>
      <c r="P311" s="25" t="s">
        <v>1494</v>
      </c>
      <c r="Q311" s="25" t="s">
        <v>1603</v>
      </c>
      <c r="R311" s="105"/>
      <c r="S311" s="105"/>
      <c r="T311" s="22">
        <v>2</v>
      </c>
      <c r="U311" s="22">
        <v>1</v>
      </c>
      <c r="V311" s="18"/>
      <c r="W311" s="22">
        <v>3</v>
      </c>
      <c r="X311" s="22">
        <v>2</v>
      </c>
      <c r="Y311" s="18"/>
      <c r="Z311" s="22">
        <v>5</v>
      </c>
      <c r="AA311" s="22">
        <v>3</v>
      </c>
      <c r="AB311" s="18" t="s">
        <v>221</v>
      </c>
      <c r="AC311" s="22">
        <v>7</v>
      </c>
      <c r="AD311" s="22">
        <v>2</v>
      </c>
      <c r="AE311" s="18" t="s">
        <v>221</v>
      </c>
      <c r="AF311" s="22">
        <v>99</v>
      </c>
      <c r="AG311" s="18"/>
      <c r="AH311" s="22">
        <v>99</v>
      </c>
      <c r="AI311" s="28">
        <v>99</v>
      </c>
      <c r="AJ311" s="18"/>
      <c r="AK311" s="22">
        <v>99</v>
      </c>
      <c r="AL311" s="22">
        <v>99</v>
      </c>
      <c r="AM311" s="22">
        <v>99</v>
      </c>
      <c r="AN311" s="22">
        <v>2</v>
      </c>
      <c r="AO311" s="22">
        <v>99</v>
      </c>
      <c r="AP311" s="22">
        <v>99</v>
      </c>
      <c r="AQ311" s="22" t="s">
        <v>1049</v>
      </c>
      <c r="AR311" s="18" t="s">
        <v>221</v>
      </c>
      <c r="AS311" s="22">
        <v>99</v>
      </c>
      <c r="AT311" s="22">
        <v>99</v>
      </c>
      <c r="AU311" s="22">
        <v>3</v>
      </c>
      <c r="AV311" s="22">
        <v>3</v>
      </c>
      <c r="AW311" s="22">
        <v>4</v>
      </c>
      <c r="AX311" s="37">
        <v>4</v>
      </c>
      <c r="AY311" s="22">
        <v>4</v>
      </c>
      <c r="AZ311" s="22">
        <v>2</v>
      </c>
      <c r="BA311" s="38">
        <v>99</v>
      </c>
      <c r="BB311" s="22">
        <v>99</v>
      </c>
      <c r="BC311" s="22">
        <v>99</v>
      </c>
      <c r="BD311" s="22">
        <v>99</v>
      </c>
      <c r="BE311" s="37">
        <v>99</v>
      </c>
      <c r="BF311" s="22">
        <v>0</v>
      </c>
      <c r="BG311" s="22">
        <v>0</v>
      </c>
      <c r="BH311" s="22">
        <v>0</v>
      </c>
      <c r="BI311" s="22">
        <v>999</v>
      </c>
      <c r="BJ311" s="22">
        <v>13</v>
      </c>
    </row>
    <row r="312" spans="1:62" ht="13">
      <c r="A312" s="22" t="s">
        <v>3201</v>
      </c>
      <c r="B312" s="22"/>
      <c r="C312" s="22"/>
      <c r="D312" s="22"/>
      <c r="E312" s="22">
        <v>1</v>
      </c>
      <c r="F312" s="22">
        <v>1</v>
      </c>
      <c r="G312" s="28">
        <v>18</v>
      </c>
      <c r="H312" s="28">
        <v>2</v>
      </c>
      <c r="I312" s="30">
        <v>1958</v>
      </c>
      <c r="J312" s="34">
        <f t="shared" si="0"/>
        <v>21234</v>
      </c>
      <c r="K312" s="11" t="s">
        <v>3179</v>
      </c>
      <c r="L312" s="25" t="s">
        <v>1496</v>
      </c>
      <c r="M312" s="30">
        <v>1</v>
      </c>
      <c r="N312" s="17" t="s">
        <v>233</v>
      </c>
      <c r="O312" s="17"/>
      <c r="P312" s="25" t="s">
        <v>1497</v>
      </c>
      <c r="Q312" s="25" t="s">
        <v>1608</v>
      </c>
      <c r="R312" s="25">
        <v>30.244449899999999</v>
      </c>
      <c r="S312" s="25">
        <v>-81.534375499999996</v>
      </c>
      <c r="T312" s="22">
        <v>2</v>
      </c>
      <c r="U312" s="22">
        <v>1</v>
      </c>
      <c r="V312" s="22">
        <v>99</v>
      </c>
      <c r="W312" s="22">
        <v>3</v>
      </c>
      <c r="X312" s="22">
        <v>2</v>
      </c>
      <c r="Y312" s="18"/>
      <c r="Z312" s="22">
        <v>5</v>
      </c>
      <c r="AA312" s="22">
        <v>1</v>
      </c>
      <c r="AB312" s="18" t="s">
        <v>221</v>
      </c>
      <c r="AC312" s="22">
        <v>6</v>
      </c>
      <c r="AD312" s="22">
        <v>2</v>
      </c>
      <c r="AE312" s="18" t="s">
        <v>221</v>
      </c>
      <c r="AF312" s="22">
        <v>99</v>
      </c>
      <c r="AG312" s="18"/>
      <c r="AH312" s="22">
        <v>99</v>
      </c>
      <c r="AI312" s="28">
        <v>99</v>
      </c>
      <c r="AJ312" s="18"/>
      <c r="AK312" s="22">
        <v>99</v>
      </c>
      <c r="AL312" s="22">
        <v>99</v>
      </c>
      <c r="AM312" s="22">
        <v>99</v>
      </c>
      <c r="AN312" s="22">
        <v>2</v>
      </c>
      <c r="AO312" s="22">
        <v>99</v>
      </c>
      <c r="AP312" s="22">
        <v>99</v>
      </c>
      <c r="AQ312" s="22" t="s">
        <v>1049</v>
      </c>
      <c r="AR312" s="18" t="s">
        <v>221</v>
      </c>
      <c r="AS312" s="22">
        <v>99</v>
      </c>
      <c r="AT312" s="22">
        <v>99</v>
      </c>
      <c r="AU312" s="22">
        <v>3</v>
      </c>
      <c r="AV312" s="22">
        <v>3</v>
      </c>
      <c r="AW312" s="22">
        <v>4</v>
      </c>
      <c r="AX312" s="37">
        <v>4</v>
      </c>
      <c r="AY312" s="22">
        <v>4</v>
      </c>
      <c r="AZ312" s="22">
        <v>2</v>
      </c>
      <c r="BA312" s="38">
        <v>99</v>
      </c>
      <c r="BB312" s="22">
        <v>99</v>
      </c>
      <c r="BC312" s="22">
        <v>99</v>
      </c>
      <c r="BD312" s="22">
        <v>99</v>
      </c>
      <c r="BE312" s="37">
        <v>99</v>
      </c>
      <c r="BF312" s="22">
        <v>0</v>
      </c>
      <c r="BG312" s="22">
        <v>0</v>
      </c>
      <c r="BH312" s="22">
        <v>0</v>
      </c>
      <c r="BI312" s="22">
        <v>999</v>
      </c>
      <c r="BJ312" s="22">
        <v>8</v>
      </c>
    </row>
    <row r="313" spans="1:62" ht="13">
      <c r="A313" s="22" t="s">
        <v>3202</v>
      </c>
      <c r="B313" s="22"/>
      <c r="C313" s="22"/>
      <c r="D313" s="22"/>
      <c r="E313" s="22">
        <v>1</v>
      </c>
      <c r="F313" s="22">
        <v>1</v>
      </c>
      <c r="G313" s="28">
        <v>16</v>
      </c>
      <c r="H313" s="28">
        <v>3</v>
      </c>
      <c r="I313" s="30">
        <v>1958</v>
      </c>
      <c r="J313" s="34">
        <f t="shared" si="0"/>
        <v>21260</v>
      </c>
      <c r="K313" s="11" t="s">
        <v>524</v>
      </c>
      <c r="L313" s="25" t="s">
        <v>1499</v>
      </c>
      <c r="M313" s="30">
        <v>1</v>
      </c>
      <c r="N313" s="17" t="s">
        <v>233</v>
      </c>
      <c r="O313" s="17"/>
      <c r="P313" s="25" t="s">
        <v>1500</v>
      </c>
      <c r="Q313" s="25" t="s">
        <v>1610</v>
      </c>
      <c r="R313" s="25">
        <v>32.4340458</v>
      </c>
      <c r="S313" s="25">
        <v>34.919651799999997</v>
      </c>
      <c r="T313" s="22">
        <v>2</v>
      </c>
      <c r="U313" s="22">
        <v>2</v>
      </c>
      <c r="V313" s="22">
        <v>99</v>
      </c>
      <c r="W313" s="22">
        <v>3</v>
      </c>
      <c r="X313" s="22">
        <v>2</v>
      </c>
      <c r="Y313" s="18"/>
      <c r="Z313" s="22">
        <v>3</v>
      </c>
      <c r="AA313" s="22">
        <v>1</v>
      </c>
      <c r="AB313" s="18" t="s">
        <v>221</v>
      </c>
      <c r="AC313" s="22">
        <v>6</v>
      </c>
      <c r="AD313" s="22">
        <v>2</v>
      </c>
      <c r="AE313" s="18" t="s">
        <v>221</v>
      </c>
      <c r="AF313" s="22">
        <v>1</v>
      </c>
      <c r="AG313" s="18"/>
      <c r="AH313" s="22">
        <v>99</v>
      </c>
      <c r="AI313" s="28">
        <v>99</v>
      </c>
      <c r="AJ313" s="18"/>
      <c r="AK313" s="22">
        <v>99</v>
      </c>
      <c r="AL313" s="22">
        <v>99</v>
      </c>
      <c r="AM313" s="22">
        <v>99</v>
      </c>
      <c r="AN313" s="22">
        <v>2</v>
      </c>
      <c r="AO313" s="22">
        <v>99</v>
      </c>
      <c r="AP313" s="22">
        <v>99</v>
      </c>
      <c r="AQ313" s="22" t="s">
        <v>1049</v>
      </c>
      <c r="AR313" s="18" t="s">
        <v>221</v>
      </c>
      <c r="AS313" s="22">
        <v>99</v>
      </c>
      <c r="AT313" s="22">
        <v>99</v>
      </c>
      <c r="AU313" s="22">
        <v>3</v>
      </c>
      <c r="AV313" s="22">
        <v>3</v>
      </c>
      <c r="AW313" s="22">
        <v>4</v>
      </c>
      <c r="AX313" s="37">
        <v>4</v>
      </c>
      <c r="AY313" s="22">
        <v>4</v>
      </c>
      <c r="AZ313" s="22">
        <v>2</v>
      </c>
      <c r="BA313" s="38">
        <v>99</v>
      </c>
      <c r="BB313" s="22">
        <v>99</v>
      </c>
      <c r="BC313" s="22">
        <v>99</v>
      </c>
      <c r="BD313" s="22">
        <v>99</v>
      </c>
      <c r="BE313" s="37">
        <v>99</v>
      </c>
      <c r="BF313" s="22">
        <v>0</v>
      </c>
      <c r="BG313" s="22">
        <v>0</v>
      </c>
      <c r="BH313" s="22">
        <v>0</v>
      </c>
      <c r="BI313" s="22">
        <v>5</v>
      </c>
      <c r="BJ313" s="22">
        <v>8</v>
      </c>
    </row>
    <row r="314" spans="1:62" ht="13">
      <c r="A314" s="22" t="s">
        <v>3203</v>
      </c>
      <c r="B314" s="22"/>
      <c r="C314" s="22"/>
      <c r="D314" s="22"/>
      <c r="E314" s="22">
        <v>1</v>
      </c>
      <c r="F314" s="22">
        <v>1</v>
      </c>
      <c r="G314" s="28">
        <v>24</v>
      </c>
      <c r="H314" s="28">
        <v>3</v>
      </c>
      <c r="I314" s="30">
        <v>1958</v>
      </c>
      <c r="J314" s="34">
        <f t="shared" si="0"/>
        <v>21268</v>
      </c>
      <c r="K314" s="39" t="s">
        <v>830</v>
      </c>
      <c r="L314" s="25" t="s">
        <v>1501</v>
      </c>
      <c r="M314" s="30">
        <v>1</v>
      </c>
      <c r="N314" s="17" t="s">
        <v>233</v>
      </c>
      <c r="O314" s="17"/>
      <c r="P314" s="25" t="s">
        <v>1502</v>
      </c>
      <c r="Q314" s="25" t="s">
        <v>1612</v>
      </c>
      <c r="R314" s="105"/>
      <c r="S314" s="105"/>
      <c r="T314" s="22">
        <v>1</v>
      </c>
      <c r="U314" s="22">
        <v>1</v>
      </c>
      <c r="V314" s="22">
        <v>99</v>
      </c>
      <c r="W314" s="22">
        <v>3</v>
      </c>
      <c r="X314" s="22">
        <v>2</v>
      </c>
      <c r="Y314" s="18"/>
      <c r="Z314" s="22">
        <v>5</v>
      </c>
      <c r="AA314" s="22">
        <v>1</v>
      </c>
      <c r="AB314" s="18" t="s">
        <v>221</v>
      </c>
      <c r="AC314" s="22">
        <v>99</v>
      </c>
      <c r="AD314" s="22">
        <v>2</v>
      </c>
      <c r="AE314" s="18" t="s">
        <v>221</v>
      </c>
      <c r="AF314" s="22">
        <v>1</v>
      </c>
      <c r="AG314" s="18"/>
      <c r="AH314" s="22">
        <v>99</v>
      </c>
      <c r="AI314" s="28">
        <v>99</v>
      </c>
      <c r="AJ314" s="18"/>
      <c r="AK314" s="22">
        <v>99</v>
      </c>
      <c r="AL314" s="22">
        <v>99</v>
      </c>
      <c r="AM314" s="22">
        <v>99</v>
      </c>
      <c r="AN314" s="22">
        <v>2</v>
      </c>
      <c r="AO314" s="22">
        <v>99</v>
      </c>
      <c r="AP314" s="22">
        <v>99</v>
      </c>
      <c r="AQ314" s="22" t="s">
        <v>3204</v>
      </c>
      <c r="AR314" s="2" t="s">
        <v>2998</v>
      </c>
      <c r="AS314" s="22">
        <v>3</v>
      </c>
      <c r="AT314" s="22">
        <v>6</v>
      </c>
      <c r="AU314" s="22">
        <v>3</v>
      </c>
      <c r="AV314" s="22">
        <v>3</v>
      </c>
      <c r="AW314" s="22">
        <v>4</v>
      </c>
      <c r="AX314" s="37">
        <v>4</v>
      </c>
      <c r="AY314" s="22">
        <v>4</v>
      </c>
      <c r="AZ314" s="22">
        <v>2</v>
      </c>
      <c r="BA314" s="38">
        <v>99</v>
      </c>
      <c r="BB314" s="22">
        <v>99</v>
      </c>
      <c r="BC314" s="22">
        <v>99</v>
      </c>
      <c r="BD314" s="22">
        <v>99</v>
      </c>
      <c r="BE314" s="37">
        <v>99</v>
      </c>
      <c r="BF314" s="22">
        <v>0</v>
      </c>
      <c r="BG314" s="22">
        <v>1</v>
      </c>
      <c r="BH314" s="22">
        <v>1</v>
      </c>
      <c r="BI314" s="22">
        <v>999</v>
      </c>
      <c r="BJ314" s="22">
        <v>8</v>
      </c>
    </row>
    <row r="315" spans="1:62" ht="13">
      <c r="A315" s="22" t="s">
        <v>3205</v>
      </c>
      <c r="B315" s="22"/>
      <c r="C315" s="22"/>
      <c r="D315" s="22"/>
      <c r="E315" s="22">
        <v>1</v>
      </c>
      <c r="F315" s="22">
        <v>1</v>
      </c>
      <c r="G315" s="28">
        <v>26</v>
      </c>
      <c r="H315" s="28">
        <v>3</v>
      </c>
      <c r="I315" s="30">
        <v>1958</v>
      </c>
      <c r="J315" s="34">
        <f t="shared" si="0"/>
        <v>21270</v>
      </c>
      <c r="K315" s="39" t="s">
        <v>328</v>
      </c>
      <c r="L315" s="25" t="s">
        <v>1504</v>
      </c>
      <c r="M315" s="30">
        <v>1</v>
      </c>
      <c r="N315" s="17" t="s">
        <v>233</v>
      </c>
      <c r="O315" s="17"/>
      <c r="P315" s="25" t="s">
        <v>949</v>
      </c>
      <c r="Q315" s="25" t="s">
        <v>951</v>
      </c>
      <c r="R315" s="25">
        <v>31.472679999999901</v>
      </c>
      <c r="S315" s="25">
        <v>34.497675000000001</v>
      </c>
      <c r="T315" s="22">
        <v>2</v>
      </c>
      <c r="U315" s="22">
        <v>1</v>
      </c>
      <c r="V315" s="22">
        <v>99</v>
      </c>
      <c r="W315" s="22">
        <v>99</v>
      </c>
      <c r="X315" s="22">
        <v>2</v>
      </c>
      <c r="Y315" s="18"/>
      <c r="Z315" s="22">
        <v>5</v>
      </c>
      <c r="AA315" s="22">
        <v>1</v>
      </c>
      <c r="AB315" s="2" t="s">
        <v>1294</v>
      </c>
      <c r="AC315" s="22">
        <v>99</v>
      </c>
      <c r="AD315" s="22">
        <v>2</v>
      </c>
      <c r="AE315" s="18" t="s">
        <v>221</v>
      </c>
      <c r="AF315" s="22">
        <v>1</v>
      </c>
      <c r="AG315" s="18"/>
      <c r="AH315" s="22">
        <v>99</v>
      </c>
      <c r="AI315" s="28">
        <v>99</v>
      </c>
      <c r="AJ315" s="18"/>
      <c r="AK315" s="22">
        <v>99</v>
      </c>
      <c r="AL315" s="22">
        <v>99</v>
      </c>
      <c r="AM315" s="22">
        <v>99</v>
      </c>
      <c r="AN315" s="22">
        <v>2</v>
      </c>
      <c r="AO315" s="22">
        <v>99</v>
      </c>
      <c r="AP315" s="22">
        <v>99</v>
      </c>
      <c r="AQ315" s="22" t="s">
        <v>1049</v>
      </c>
      <c r="AR315" s="18" t="s">
        <v>221</v>
      </c>
      <c r="AS315" s="22">
        <v>99</v>
      </c>
      <c r="AT315" s="22">
        <v>99</v>
      </c>
      <c r="AU315" s="22">
        <v>3</v>
      </c>
      <c r="AV315" s="22">
        <v>3</v>
      </c>
      <c r="AW315" s="22">
        <v>4</v>
      </c>
      <c r="AX315" s="37">
        <v>4</v>
      </c>
      <c r="AY315" s="22">
        <v>4</v>
      </c>
      <c r="AZ315" s="22">
        <v>2</v>
      </c>
      <c r="BA315" s="38">
        <v>99</v>
      </c>
      <c r="BB315" s="22">
        <v>99</v>
      </c>
      <c r="BC315" s="22">
        <v>99</v>
      </c>
      <c r="BD315" s="22">
        <v>99</v>
      </c>
      <c r="BE315" s="37">
        <v>99</v>
      </c>
      <c r="BF315" s="22">
        <v>0</v>
      </c>
      <c r="BG315" s="22">
        <v>0</v>
      </c>
      <c r="BH315" s="22">
        <v>0</v>
      </c>
      <c r="BI315" s="22">
        <v>999</v>
      </c>
      <c r="BJ315" s="22">
        <v>8</v>
      </c>
    </row>
    <row r="316" spans="1:62" ht="13">
      <c r="A316" s="22" t="s">
        <v>3206</v>
      </c>
      <c r="B316" s="22"/>
      <c r="C316" s="22"/>
      <c r="D316" s="22"/>
      <c r="E316" s="22">
        <v>3</v>
      </c>
      <c r="F316" s="22">
        <v>1</v>
      </c>
      <c r="G316" s="28">
        <v>31</v>
      </c>
      <c r="H316" s="28">
        <v>3</v>
      </c>
      <c r="I316" s="30">
        <v>1958</v>
      </c>
      <c r="J316" s="34">
        <f t="shared" si="0"/>
        <v>21275</v>
      </c>
      <c r="K316" s="39" t="s">
        <v>614</v>
      </c>
      <c r="L316" s="25" t="s">
        <v>1505</v>
      </c>
      <c r="M316" s="30">
        <v>1</v>
      </c>
      <c r="N316" s="17" t="s">
        <v>233</v>
      </c>
      <c r="O316" s="17"/>
      <c r="P316" s="25" t="s">
        <v>1507</v>
      </c>
      <c r="Q316" s="25" t="s">
        <v>3207</v>
      </c>
      <c r="R316" s="25">
        <v>25.5560443</v>
      </c>
      <c r="S316" s="25">
        <v>84.660330700000003</v>
      </c>
      <c r="T316" s="22">
        <v>99</v>
      </c>
      <c r="U316" s="22">
        <v>99</v>
      </c>
      <c r="V316" s="22">
        <v>99</v>
      </c>
      <c r="W316" s="22">
        <v>99</v>
      </c>
      <c r="X316" s="22">
        <v>99</v>
      </c>
      <c r="Y316" s="18"/>
      <c r="Z316" s="22">
        <v>5</v>
      </c>
      <c r="AA316" s="22">
        <v>1</v>
      </c>
      <c r="AB316" s="2" t="s">
        <v>2217</v>
      </c>
      <c r="AC316" s="22">
        <v>6</v>
      </c>
      <c r="AD316" s="22">
        <v>2</v>
      </c>
      <c r="AE316" s="18" t="s">
        <v>221</v>
      </c>
      <c r="AF316" s="22">
        <v>1</v>
      </c>
      <c r="AG316" s="18"/>
      <c r="AH316" s="22">
        <v>99</v>
      </c>
      <c r="AI316" s="28">
        <v>99</v>
      </c>
      <c r="AJ316" s="18"/>
      <c r="AK316" s="22">
        <v>18</v>
      </c>
      <c r="AL316" s="22">
        <v>99</v>
      </c>
      <c r="AM316" s="22">
        <v>99</v>
      </c>
      <c r="AN316" s="22">
        <v>2</v>
      </c>
      <c r="AO316" s="22">
        <v>99</v>
      </c>
      <c r="AP316" s="22">
        <v>99</v>
      </c>
      <c r="AQ316" s="22" t="s">
        <v>1049</v>
      </c>
      <c r="AR316" s="18" t="s">
        <v>221</v>
      </c>
      <c r="AS316" s="22">
        <v>99</v>
      </c>
      <c r="AT316" s="22">
        <v>99</v>
      </c>
      <c r="AU316" s="22">
        <v>3</v>
      </c>
      <c r="AV316" s="22">
        <v>3</v>
      </c>
      <c r="AW316" s="22">
        <v>4</v>
      </c>
      <c r="AX316" s="37">
        <v>4</v>
      </c>
      <c r="AY316" s="22">
        <v>4</v>
      </c>
      <c r="AZ316" s="22">
        <v>2</v>
      </c>
      <c r="BA316" s="38">
        <v>99</v>
      </c>
      <c r="BB316" s="22">
        <v>99</v>
      </c>
      <c r="BC316" s="22">
        <v>99</v>
      </c>
      <c r="BD316" s="22">
        <v>99</v>
      </c>
      <c r="BE316" s="37">
        <v>99</v>
      </c>
      <c r="BF316" s="22">
        <v>0</v>
      </c>
      <c r="BG316" s="22">
        <v>0</v>
      </c>
      <c r="BH316" s="22">
        <v>0</v>
      </c>
      <c r="BI316" s="22">
        <v>5</v>
      </c>
      <c r="BJ316" s="22">
        <v>8</v>
      </c>
    </row>
    <row r="317" spans="1:62" ht="13">
      <c r="A317" s="22" t="s">
        <v>3208</v>
      </c>
      <c r="B317" s="22"/>
      <c r="C317" s="22"/>
      <c r="D317" s="22"/>
      <c r="E317" s="22">
        <v>1</v>
      </c>
      <c r="F317" s="22">
        <v>1</v>
      </c>
      <c r="G317" s="28">
        <v>4</v>
      </c>
      <c r="H317" s="28">
        <v>4</v>
      </c>
      <c r="I317" s="30">
        <v>1958</v>
      </c>
      <c r="J317" s="34">
        <f t="shared" si="0"/>
        <v>21279</v>
      </c>
      <c r="K317" s="39" t="s">
        <v>614</v>
      </c>
      <c r="L317" s="25" t="s">
        <v>1508</v>
      </c>
      <c r="M317" s="30">
        <v>7</v>
      </c>
      <c r="N317" s="17" t="s">
        <v>447</v>
      </c>
      <c r="O317" s="17"/>
      <c r="P317" s="18"/>
      <c r="Q317" s="41" t="s">
        <v>582</v>
      </c>
      <c r="R317" s="124"/>
      <c r="S317" s="124"/>
      <c r="T317" s="22">
        <v>2</v>
      </c>
      <c r="U317" s="22">
        <v>2</v>
      </c>
      <c r="V317" s="22">
        <v>1</v>
      </c>
      <c r="W317" s="22">
        <v>3</v>
      </c>
      <c r="X317" s="22">
        <v>2</v>
      </c>
      <c r="Y317" s="18"/>
      <c r="Z317" s="22">
        <v>5</v>
      </c>
      <c r="AA317" s="22">
        <v>1</v>
      </c>
      <c r="AB317" s="18" t="s">
        <v>221</v>
      </c>
      <c r="AC317" s="22">
        <v>6</v>
      </c>
      <c r="AD317" s="22">
        <v>2</v>
      </c>
      <c r="AE317" s="18" t="s">
        <v>221</v>
      </c>
      <c r="AF317" s="22">
        <v>1</v>
      </c>
      <c r="AG317" s="18"/>
      <c r="AH317" s="22">
        <v>99</v>
      </c>
      <c r="AI317" s="28">
        <v>99</v>
      </c>
      <c r="AJ317" s="18"/>
      <c r="AK317" s="22">
        <v>18</v>
      </c>
      <c r="AL317" s="22">
        <v>99</v>
      </c>
      <c r="AM317" s="22">
        <v>99</v>
      </c>
      <c r="AN317" s="22">
        <v>2</v>
      </c>
      <c r="AO317" s="22">
        <v>99</v>
      </c>
      <c r="AP317" s="22">
        <v>99</v>
      </c>
      <c r="AQ317" s="22" t="s">
        <v>1049</v>
      </c>
      <c r="AR317" s="18" t="s">
        <v>221</v>
      </c>
      <c r="AS317" s="22">
        <v>99</v>
      </c>
      <c r="AT317" s="22">
        <v>99</v>
      </c>
      <c r="AU317" s="22">
        <v>3</v>
      </c>
      <c r="AV317" s="22">
        <v>3</v>
      </c>
      <c r="AW317" s="22">
        <v>4</v>
      </c>
      <c r="AX317" s="37">
        <v>4</v>
      </c>
      <c r="AY317" s="22">
        <v>4</v>
      </c>
      <c r="AZ317" s="22">
        <v>2</v>
      </c>
      <c r="BA317" s="38">
        <v>99</v>
      </c>
      <c r="BB317" s="22">
        <v>99</v>
      </c>
      <c r="BC317" s="22">
        <v>99</v>
      </c>
      <c r="BD317" s="22">
        <v>99</v>
      </c>
      <c r="BE317" s="37">
        <v>99</v>
      </c>
      <c r="BF317" s="22">
        <v>0</v>
      </c>
      <c r="BG317" s="22">
        <v>0</v>
      </c>
      <c r="BH317" s="22">
        <v>0</v>
      </c>
      <c r="BI317" s="22">
        <v>999</v>
      </c>
      <c r="BJ317" s="22">
        <v>8</v>
      </c>
    </row>
    <row r="318" spans="1:62" ht="13">
      <c r="A318" s="22" t="s">
        <v>3209</v>
      </c>
      <c r="B318" s="22"/>
      <c r="C318" s="22"/>
      <c r="D318" s="22"/>
      <c r="E318" s="22">
        <v>1</v>
      </c>
      <c r="F318" s="22">
        <v>1</v>
      </c>
      <c r="G318" s="28">
        <v>22</v>
      </c>
      <c r="H318" s="28">
        <v>4</v>
      </c>
      <c r="I318" s="30">
        <v>1958</v>
      </c>
      <c r="J318" s="34">
        <f t="shared" si="0"/>
        <v>21297</v>
      </c>
      <c r="K318" s="35" t="s">
        <v>221</v>
      </c>
      <c r="L318" s="25" t="s">
        <v>1509</v>
      </c>
      <c r="M318" s="30">
        <v>8</v>
      </c>
      <c r="N318" s="17" t="s">
        <v>711</v>
      </c>
      <c r="O318" s="17"/>
      <c r="P318" s="18"/>
      <c r="Q318" s="41" t="s">
        <v>582</v>
      </c>
      <c r="R318" s="124"/>
      <c r="S318" s="124"/>
      <c r="T318" s="22">
        <v>2</v>
      </c>
      <c r="U318" s="22">
        <v>2</v>
      </c>
      <c r="V318" s="22">
        <v>5</v>
      </c>
      <c r="W318" s="22">
        <v>2</v>
      </c>
      <c r="X318" s="22">
        <v>2</v>
      </c>
      <c r="Y318" s="18"/>
      <c r="Z318" s="22">
        <v>5</v>
      </c>
      <c r="AA318" s="22">
        <v>1</v>
      </c>
      <c r="AB318" s="18" t="s">
        <v>221</v>
      </c>
      <c r="AC318" s="22">
        <v>6</v>
      </c>
      <c r="AD318" s="22">
        <v>2</v>
      </c>
      <c r="AE318" s="18" t="s">
        <v>221</v>
      </c>
      <c r="AF318" s="22">
        <v>99</v>
      </c>
      <c r="AG318" s="18"/>
      <c r="AH318" s="22">
        <v>99</v>
      </c>
      <c r="AI318" s="28">
        <v>99</v>
      </c>
      <c r="AJ318" s="18"/>
      <c r="AK318" s="22">
        <v>18</v>
      </c>
      <c r="AL318" s="22">
        <v>99</v>
      </c>
      <c r="AM318" s="22">
        <v>99</v>
      </c>
      <c r="AN318" s="22">
        <v>2</v>
      </c>
      <c r="AO318" s="22">
        <v>99</v>
      </c>
      <c r="AP318" s="22">
        <v>99</v>
      </c>
      <c r="AQ318" s="22" t="s">
        <v>1049</v>
      </c>
      <c r="AR318" s="18" t="s">
        <v>221</v>
      </c>
      <c r="AS318" s="22">
        <v>99</v>
      </c>
      <c r="AT318" s="22">
        <v>99</v>
      </c>
      <c r="AU318" s="22">
        <v>3</v>
      </c>
      <c r="AV318" s="22">
        <v>3</v>
      </c>
      <c r="AW318" s="22">
        <v>4</v>
      </c>
      <c r="AX318" s="37">
        <v>4</v>
      </c>
      <c r="AY318" s="22">
        <v>4</v>
      </c>
      <c r="AZ318" s="22">
        <v>1</v>
      </c>
      <c r="BA318" s="38">
        <v>4</v>
      </c>
      <c r="BB318" s="22">
        <v>1</v>
      </c>
      <c r="BC318" s="22">
        <v>99</v>
      </c>
      <c r="BD318" s="22">
        <v>99</v>
      </c>
      <c r="BE318" s="37">
        <v>1</v>
      </c>
      <c r="BF318" s="22">
        <v>0</v>
      </c>
      <c r="BG318" s="22">
        <v>0</v>
      </c>
      <c r="BH318" s="22">
        <v>0</v>
      </c>
      <c r="BI318" s="22">
        <v>999</v>
      </c>
      <c r="BJ318" s="22">
        <v>8</v>
      </c>
    </row>
    <row r="319" spans="1:62" ht="13">
      <c r="A319" s="22" t="s">
        <v>3210</v>
      </c>
      <c r="B319" s="22"/>
      <c r="C319" s="22"/>
      <c r="D319" s="22"/>
      <c r="E319" s="22">
        <v>1</v>
      </c>
      <c r="F319" s="22">
        <v>1</v>
      </c>
      <c r="G319" s="28">
        <v>27</v>
      </c>
      <c r="H319" s="28">
        <v>5</v>
      </c>
      <c r="I319" s="30">
        <v>1958</v>
      </c>
      <c r="J319" s="34">
        <f t="shared" si="0"/>
        <v>21332</v>
      </c>
      <c r="K319" s="39" t="s">
        <v>328</v>
      </c>
      <c r="L319" s="25" t="s">
        <v>1510</v>
      </c>
      <c r="M319" s="30">
        <v>1</v>
      </c>
      <c r="N319" s="17" t="s">
        <v>233</v>
      </c>
      <c r="O319" s="17"/>
      <c r="P319" s="25" t="s">
        <v>1511</v>
      </c>
      <c r="Q319" s="25" t="s">
        <v>1623</v>
      </c>
      <c r="R319" s="105"/>
      <c r="S319" s="105"/>
      <c r="T319" s="22">
        <v>2</v>
      </c>
      <c r="U319" s="22">
        <v>1</v>
      </c>
      <c r="V319" s="22">
        <v>99</v>
      </c>
      <c r="W319" s="22">
        <v>2</v>
      </c>
      <c r="X319" s="22">
        <v>2</v>
      </c>
      <c r="Y319" s="18"/>
      <c r="Z319" s="22">
        <v>5</v>
      </c>
      <c r="AA319" s="22">
        <v>1</v>
      </c>
      <c r="AB319" s="2" t="s">
        <v>3176</v>
      </c>
      <c r="AC319" s="22">
        <v>7</v>
      </c>
      <c r="AD319" s="22">
        <v>2</v>
      </c>
      <c r="AE319" s="18" t="s">
        <v>221</v>
      </c>
      <c r="AF319" s="22">
        <v>99</v>
      </c>
      <c r="AG319" s="18"/>
      <c r="AH319" s="22">
        <v>99</v>
      </c>
      <c r="AI319" s="28">
        <v>99</v>
      </c>
      <c r="AJ319" s="18"/>
      <c r="AK319" s="22">
        <v>18</v>
      </c>
      <c r="AL319" s="22">
        <v>99</v>
      </c>
      <c r="AM319" s="22">
        <v>99</v>
      </c>
      <c r="AN319" s="22">
        <v>2</v>
      </c>
      <c r="AO319" s="22">
        <v>99</v>
      </c>
      <c r="AP319" s="22">
        <v>99</v>
      </c>
      <c r="AQ319" s="22" t="s">
        <v>3211</v>
      </c>
      <c r="AR319" s="18" t="s">
        <v>221</v>
      </c>
      <c r="AS319" s="22">
        <v>1</v>
      </c>
      <c r="AT319" s="22">
        <v>6</v>
      </c>
      <c r="AU319" s="22">
        <v>3</v>
      </c>
      <c r="AV319" s="22">
        <v>1</v>
      </c>
      <c r="AW319" s="22">
        <v>4</v>
      </c>
      <c r="AX319" s="37">
        <v>4</v>
      </c>
      <c r="AY319" s="22">
        <v>4</v>
      </c>
      <c r="AZ319" s="22">
        <v>2</v>
      </c>
      <c r="BA319" s="38">
        <v>99</v>
      </c>
      <c r="BB319" s="22">
        <v>99</v>
      </c>
      <c r="BC319" s="22">
        <v>99</v>
      </c>
      <c r="BD319" s="22">
        <v>99</v>
      </c>
      <c r="BE319" s="37">
        <v>99</v>
      </c>
      <c r="BF319" s="22">
        <v>0</v>
      </c>
      <c r="BG319" s="22">
        <v>1</v>
      </c>
      <c r="BH319" s="22">
        <v>1</v>
      </c>
      <c r="BI319" s="22">
        <v>999</v>
      </c>
      <c r="BJ319" s="22">
        <v>8</v>
      </c>
    </row>
    <row r="320" spans="1:62" ht="13">
      <c r="A320" s="22" t="s">
        <v>3212</v>
      </c>
      <c r="B320" s="22"/>
      <c r="C320" s="22"/>
      <c r="D320" s="22"/>
      <c r="E320" s="22">
        <v>1</v>
      </c>
      <c r="F320" s="22">
        <v>1</v>
      </c>
      <c r="G320" s="28">
        <v>31</v>
      </c>
      <c r="H320" s="28">
        <v>5</v>
      </c>
      <c r="I320" s="30">
        <v>1958</v>
      </c>
      <c r="J320" s="34">
        <f t="shared" si="0"/>
        <v>21336</v>
      </c>
      <c r="K320" s="39" t="s">
        <v>830</v>
      </c>
      <c r="L320" s="25" t="s">
        <v>1512</v>
      </c>
      <c r="M320" s="30">
        <v>1</v>
      </c>
      <c r="N320" s="17" t="s">
        <v>233</v>
      </c>
      <c r="O320" s="17"/>
      <c r="P320" s="25" t="s">
        <v>1513</v>
      </c>
      <c r="Q320" s="25" t="s">
        <v>1629</v>
      </c>
      <c r="R320" s="105"/>
      <c r="S320" s="105"/>
      <c r="T320" s="22">
        <v>2</v>
      </c>
      <c r="U320" s="22">
        <v>1</v>
      </c>
      <c r="V320" s="22">
        <v>99</v>
      </c>
      <c r="W320" s="22">
        <v>1</v>
      </c>
      <c r="X320" s="22">
        <v>1</v>
      </c>
      <c r="Y320" s="18"/>
      <c r="Z320" s="22">
        <v>5</v>
      </c>
      <c r="AA320" s="22">
        <v>1</v>
      </c>
      <c r="AB320" s="18" t="s">
        <v>221</v>
      </c>
      <c r="AC320" s="22">
        <v>6</v>
      </c>
      <c r="AD320" s="22">
        <v>2</v>
      </c>
      <c r="AE320" s="18" t="s">
        <v>221</v>
      </c>
      <c r="AF320" s="22">
        <v>1</v>
      </c>
      <c r="AG320" s="18"/>
      <c r="AH320" s="22">
        <v>99</v>
      </c>
      <c r="AI320" s="28">
        <v>99</v>
      </c>
      <c r="AJ320" s="18"/>
      <c r="AK320" s="22">
        <v>99</v>
      </c>
      <c r="AL320" s="22">
        <v>99</v>
      </c>
      <c r="AM320" s="22">
        <v>99</v>
      </c>
      <c r="AN320" s="22">
        <v>2</v>
      </c>
      <c r="AO320" s="22">
        <v>99</v>
      </c>
      <c r="AP320" s="22">
        <v>99</v>
      </c>
      <c r="AQ320" s="22" t="s">
        <v>3213</v>
      </c>
      <c r="AR320" s="18" t="s">
        <v>221</v>
      </c>
      <c r="AS320" s="22">
        <v>1</v>
      </c>
      <c r="AT320" s="22">
        <v>6</v>
      </c>
      <c r="AU320" s="22">
        <v>3</v>
      </c>
      <c r="AV320" s="22">
        <v>3</v>
      </c>
      <c r="AW320" s="22">
        <v>4</v>
      </c>
      <c r="AX320" s="37">
        <v>4</v>
      </c>
      <c r="AY320" s="22">
        <v>4</v>
      </c>
      <c r="AZ320" s="22">
        <v>2</v>
      </c>
      <c r="BA320" s="38">
        <v>99</v>
      </c>
      <c r="BB320" s="22">
        <v>99</v>
      </c>
      <c r="BC320" s="22">
        <v>99</v>
      </c>
      <c r="BD320" s="22">
        <v>99</v>
      </c>
      <c r="BE320" s="37">
        <v>99</v>
      </c>
      <c r="BF320" s="22">
        <v>0</v>
      </c>
      <c r="BG320" s="22">
        <v>2</v>
      </c>
      <c r="BH320" s="22">
        <v>2</v>
      </c>
      <c r="BI320" s="22">
        <v>2</v>
      </c>
      <c r="BJ320" s="22">
        <v>8</v>
      </c>
    </row>
    <row r="321" spans="1:62" ht="13">
      <c r="A321" s="22" t="s">
        <v>3214</v>
      </c>
      <c r="B321" s="22"/>
      <c r="C321" s="22"/>
      <c r="D321" s="22"/>
      <c r="E321" s="22">
        <v>2</v>
      </c>
      <c r="F321" s="22">
        <v>1</v>
      </c>
      <c r="G321" s="28">
        <v>3</v>
      </c>
      <c r="H321" s="28">
        <v>7</v>
      </c>
      <c r="I321" s="30">
        <v>1958</v>
      </c>
      <c r="J321" s="34">
        <f t="shared" si="0"/>
        <v>21369</v>
      </c>
      <c r="K321" s="39" t="s">
        <v>1503</v>
      </c>
      <c r="L321" s="25" t="s">
        <v>1516</v>
      </c>
      <c r="M321" s="30">
        <v>1</v>
      </c>
      <c r="N321" s="17" t="s">
        <v>233</v>
      </c>
      <c r="O321" s="17"/>
      <c r="P321" s="25" t="s">
        <v>1517</v>
      </c>
      <c r="Q321" s="25" t="s">
        <v>1632</v>
      </c>
      <c r="R321" s="25">
        <v>32.751801999999998</v>
      </c>
      <c r="S321" s="25">
        <v>35.238022000000001</v>
      </c>
      <c r="T321" s="22">
        <v>2</v>
      </c>
      <c r="U321" s="22">
        <v>2</v>
      </c>
      <c r="V321" s="22">
        <v>99</v>
      </c>
      <c r="W321" s="22">
        <v>2</v>
      </c>
      <c r="X321" s="22">
        <v>2</v>
      </c>
      <c r="Y321" s="18"/>
      <c r="Z321" s="22">
        <v>5</v>
      </c>
      <c r="AA321" s="22">
        <v>2</v>
      </c>
      <c r="AB321" s="18" t="s">
        <v>221</v>
      </c>
      <c r="AC321" s="22">
        <v>6</v>
      </c>
      <c r="AD321" s="22">
        <v>2</v>
      </c>
      <c r="AE321" s="18" t="s">
        <v>221</v>
      </c>
      <c r="AF321" s="22">
        <v>99</v>
      </c>
      <c r="AG321" s="18"/>
      <c r="AH321" s="22">
        <v>99</v>
      </c>
      <c r="AI321" s="28">
        <v>99</v>
      </c>
      <c r="AJ321" s="18"/>
      <c r="AK321" s="22">
        <v>99</v>
      </c>
      <c r="AL321" s="22">
        <v>99</v>
      </c>
      <c r="AM321" s="22">
        <v>99</v>
      </c>
      <c r="AN321" s="22">
        <v>2</v>
      </c>
      <c r="AO321" s="22">
        <v>99</v>
      </c>
      <c r="AP321" s="22">
        <v>99</v>
      </c>
      <c r="AQ321" s="22" t="s">
        <v>3215</v>
      </c>
      <c r="AR321" s="18" t="s">
        <v>221</v>
      </c>
      <c r="AS321" s="22">
        <v>99</v>
      </c>
      <c r="AT321" s="22">
        <v>6</v>
      </c>
      <c r="AU321" s="22">
        <v>3</v>
      </c>
      <c r="AV321" s="22">
        <v>3</v>
      </c>
      <c r="AW321" s="22">
        <v>4</v>
      </c>
      <c r="AX321" s="37">
        <v>4</v>
      </c>
      <c r="AY321" s="22">
        <v>4</v>
      </c>
      <c r="AZ321" s="22">
        <v>2</v>
      </c>
      <c r="BA321" s="38">
        <v>99</v>
      </c>
      <c r="BB321" s="22">
        <v>99</v>
      </c>
      <c r="BC321" s="22">
        <v>99</v>
      </c>
      <c r="BD321" s="22">
        <v>99</v>
      </c>
      <c r="BE321" s="37">
        <v>99</v>
      </c>
      <c r="BF321" s="22">
        <v>0</v>
      </c>
      <c r="BG321" s="22">
        <v>1</v>
      </c>
      <c r="BH321" s="22">
        <v>1</v>
      </c>
      <c r="BI321" s="22">
        <v>999</v>
      </c>
      <c r="BJ321" s="22">
        <v>8</v>
      </c>
    </row>
    <row r="322" spans="1:62" ht="13">
      <c r="A322" s="22" t="s">
        <v>3216</v>
      </c>
      <c r="B322" s="22"/>
      <c r="C322" s="22"/>
      <c r="D322" s="22"/>
      <c r="E322" s="22">
        <v>1</v>
      </c>
      <c r="F322" s="22">
        <v>1</v>
      </c>
      <c r="G322" s="28">
        <v>31</v>
      </c>
      <c r="H322" s="28">
        <v>7</v>
      </c>
      <c r="I322" s="30">
        <v>1958</v>
      </c>
      <c r="J322" s="34">
        <f t="shared" si="0"/>
        <v>21397</v>
      </c>
      <c r="K322" s="11" t="s">
        <v>1992</v>
      </c>
      <c r="L322" s="25" t="s">
        <v>1519</v>
      </c>
      <c r="M322" s="30">
        <v>1</v>
      </c>
      <c r="N322" s="17" t="s">
        <v>233</v>
      </c>
      <c r="O322" s="17"/>
      <c r="P322" s="25" t="s">
        <v>1520</v>
      </c>
      <c r="Q322" s="25" t="s">
        <v>1635</v>
      </c>
      <c r="R322" s="105"/>
      <c r="S322" s="105"/>
      <c r="T322" s="22">
        <v>2</v>
      </c>
      <c r="U322" s="22">
        <v>1</v>
      </c>
      <c r="V322" s="22">
        <v>99</v>
      </c>
      <c r="W322" s="22">
        <v>99</v>
      </c>
      <c r="X322" s="22">
        <v>2</v>
      </c>
      <c r="Y322" s="18"/>
      <c r="Z322" s="22">
        <v>5</v>
      </c>
      <c r="AA322" s="22">
        <v>1</v>
      </c>
      <c r="AB322" s="18" t="s">
        <v>221</v>
      </c>
      <c r="AC322" s="22">
        <v>6</v>
      </c>
      <c r="AD322" s="22">
        <v>2</v>
      </c>
      <c r="AE322" s="18" t="s">
        <v>221</v>
      </c>
      <c r="AF322" s="22">
        <v>99</v>
      </c>
      <c r="AG322" s="18"/>
      <c r="AH322" s="22">
        <v>99</v>
      </c>
      <c r="AI322" s="28">
        <v>99</v>
      </c>
      <c r="AJ322" s="18"/>
      <c r="AK322" s="22">
        <v>99</v>
      </c>
      <c r="AL322" s="22">
        <v>99</v>
      </c>
      <c r="AM322" s="22">
        <v>99</v>
      </c>
      <c r="AN322" s="22">
        <v>2</v>
      </c>
      <c r="AO322" s="22">
        <v>99</v>
      </c>
      <c r="AP322" s="22">
        <v>99</v>
      </c>
      <c r="AQ322" s="22" t="s">
        <v>1049</v>
      </c>
      <c r="AR322" s="18" t="s">
        <v>221</v>
      </c>
      <c r="AS322" s="22">
        <v>99</v>
      </c>
      <c r="AT322" s="22">
        <v>99</v>
      </c>
      <c r="AU322" s="22">
        <v>3</v>
      </c>
      <c r="AV322" s="22">
        <v>3</v>
      </c>
      <c r="AW322" s="22">
        <v>4</v>
      </c>
      <c r="AX322" s="37">
        <v>4</v>
      </c>
      <c r="AY322" s="22">
        <v>4</v>
      </c>
      <c r="AZ322" s="22">
        <v>2</v>
      </c>
      <c r="BA322" s="38">
        <v>99</v>
      </c>
      <c r="BB322" s="22">
        <v>99</v>
      </c>
      <c r="BC322" s="22">
        <v>99</v>
      </c>
      <c r="BD322" s="22">
        <v>99</v>
      </c>
      <c r="BE322" s="37">
        <v>99</v>
      </c>
      <c r="BF322" s="22">
        <v>0</v>
      </c>
      <c r="BG322" s="22">
        <v>0</v>
      </c>
      <c r="BH322" s="22">
        <v>0</v>
      </c>
      <c r="BI322" s="22">
        <v>999</v>
      </c>
      <c r="BJ322" s="22">
        <v>8</v>
      </c>
    </row>
    <row r="323" spans="1:62" ht="13">
      <c r="A323" s="22" t="s">
        <v>3217</v>
      </c>
      <c r="B323" s="22"/>
      <c r="C323" s="22"/>
      <c r="D323" s="22"/>
      <c r="E323" s="22">
        <v>1</v>
      </c>
      <c r="F323" s="22">
        <v>1</v>
      </c>
      <c r="G323" s="28">
        <v>4</v>
      </c>
      <c r="H323" s="28">
        <v>9</v>
      </c>
      <c r="I323" s="30">
        <v>1958</v>
      </c>
      <c r="J323" s="34">
        <f t="shared" si="0"/>
        <v>21432</v>
      </c>
      <c r="K323" s="11" t="s">
        <v>1992</v>
      </c>
      <c r="L323" s="25" t="s">
        <v>1521</v>
      </c>
      <c r="M323" s="30">
        <v>1</v>
      </c>
      <c r="N323" s="17" t="s">
        <v>233</v>
      </c>
      <c r="O323" s="17"/>
      <c r="P323" s="25" t="s">
        <v>1522</v>
      </c>
      <c r="Q323" s="25" t="s">
        <v>1640</v>
      </c>
      <c r="R323" s="25">
        <v>31.697475000000001</v>
      </c>
      <c r="S323" s="25">
        <v>34.912024000000002</v>
      </c>
      <c r="T323" s="22">
        <v>2</v>
      </c>
      <c r="U323" s="22">
        <v>1</v>
      </c>
      <c r="V323" s="22">
        <v>99</v>
      </c>
      <c r="W323" s="22">
        <v>2</v>
      </c>
      <c r="X323" s="22">
        <v>2</v>
      </c>
      <c r="Y323" s="18"/>
      <c r="Z323" s="22">
        <v>5</v>
      </c>
      <c r="AA323" s="22">
        <v>1</v>
      </c>
      <c r="AB323" s="18" t="s">
        <v>221</v>
      </c>
      <c r="AC323" s="22">
        <v>6</v>
      </c>
      <c r="AD323" s="22">
        <v>2</v>
      </c>
      <c r="AE323" s="18" t="s">
        <v>221</v>
      </c>
      <c r="AF323" s="22">
        <v>99</v>
      </c>
      <c r="AG323" s="18"/>
      <c r="AH323" s="22">
        <v>99</v>
      </c>
      <c r="AI323" s="28">
        <v>99</v>
      </c>
      <c r="AJ323" s="18"/>
      <c r="AK323" s="22">
        <v>99</v>
      </c>
      <c r="AL323" s="22">
        <v>99</v>
      </c>
      <c r="AM323" s="22">
        <v>99</v>
      </c>
      <c r="AN323" s="22">
        <v>2</v>
      </c>
      <c r="AO323" s="22">
        <v>99</v>
      </c>
      <c r="AP323" s="22">
        <v>99</v>
      </c>
      <c r="AQ323" s="22" t="s">
        <v>1049</v>
      </c>
      <c r="AR323" s="18" t="s">
        <v>221</v>
      </c>
      <c r="AS323" s="22">
        <v>99</v>
      </c>
      <c r="AT323" s="22">
        <v>99</v>
      </c>
      <c r="AU323" s="22">
        <v>3</v>
      </c>
      <c r="AV323" s="22">
        <v>3</v>
      </c>
      <c r="AW323" s="22">
        <v>4</v>
      </c>
      <c r="AX323" s="37">
        <v>4</v>
      </c>
      <c r="AY323" s="22">
        <v>4</v>
      </c>
      <c r="AZ323" s="22">
        <v>2</v>
      </c>
      <c r="BA323" s="38">
        <v>99</v>
      </c>
      <c r="BB323" s="22">
        <v>99</v>
      </c>
      <c r="BC323" s="22">
        <v>99</v>
      </c>
      <c r="BD323" s="22">
        <v>99</v>
      </c>
      <c r="BE323" s="37">
        <v>99</v>
      </c>
      <c r="BF323" s="22">
        <v>0</v>
      </c>
      <c r="BG323" s="22">
        <v>0</v>
      </c>
      <c r="BH323" s="22">
        <v>0</v>
      </c>
      <c r="BI323" s="22">
        <v>999</v>
      </c>
      <c r="BJ323" s="22">
        <v>8</v>
      </c>
    </row>
    <row r="324" spans="1:62" ht="13">
      <c r="A324" s="22" t="s">
        <v>3218</v>
      </c>
      <c r="B324" s="22"/>
      <c r="C324" s="22"/>
      <c r="D324" s="22"/>
      <c r="E324" s="22">
        <v>1</v>
      </c>
      <c r="F324" s="22">
        <v>1</v>
      </c>
      <c r="G324" s="28">
        <v>13</v>
      </c>
      <c r="H324" s="28">
        <v>9</v>
      </c>
      <c r="I324" s="30">
        <v>1958</v>
      </c>
      <c r="J324" s="34">
        <f t="shared" si="0"/>
        <v>21441</v>
      </c>
      <c r="K324" s="11" t="s">
        <v>1385</v>
      </c>
      <c r="L324" s="25" t="s">
        <v>1524</v>
      </c>
      <c r="M324" s="30">
        <v>1</v>
      </c>
      <c r="N324" s="17" t="s">
        <v>233</v>
      </c>
      <c r="O324" s="17"/>
      <c r="P324" s="25" t="s">
        <v>1525</v>
      </c>
      <c r="Q324" s="25" t="s">
        <v>1643</v>
      </c>
      <c r="R324" s="105"/>
      <c r="S324" s="105"/>
      <c r="T324" s="22">
        <v>1</v>
      </c>
      <c r="U324" s="22">
        <v>1</v>
      </c>
      <c r="V324" s="22">
        <v>99</v>
      </c>
      <c r="W324" s="22">
        <v>3</v>
      </c>
      <c r="X324" s="22">
        <v>2</v>
      </c>
      <c r="Y324" s="18"/>
      <c r="Z324" s="22">
        <v>5</v>
      </c>
      <c r="AA324" s="22">
        <v>1</v>
      </c>
      <c r="AB324" s="18" t="s">
        <v>221</v>
      </c>
      <c r="AC324" s="22">
        <v>6</v>
      </c>
      <c r="AD324" s="22">
        <v>2</v>
      </c>
      <c r="AE324" s="18" t="s">
        <v>221</v>
      </c>
      <c r="AF324" s="22">
        <v>99</v>
      </c>
      <c r="AG324" s="18"/>
      <c r="AH324" s="22">
        <v>99</v>
      </c>
      <c r="AI324" s="28">
        <v>99</v>
      </c>
      <c r="AJ324" s="18"/>
      <c r="AK324" s="22">
        <v>99</v>
      </c>
      <c r="AL324" s="22">
        <v>99</v>
      </c>
      <c r="AM324" s="22">
        <v>99</v>
      </c>
      <c r="AN324" s="22">
        <v>2</v>
      </c>
      <c r="AO324" s="22">
        <v>99</v>
      </c>
      <c r="AP324" s="22">
        <v>99</v>
      </c>
      <c r="AQ324" s="22" t="s">
        <v>1049</v>
      </c>
      <c r="AR324" s="18" t="s">
        <v>221</v>
      </c>
      <c r="AS324" s="22">
        <v>99</v>
      </c>
      <c r="AT324" s="22">
        <v>99</v>
      </c>
      <c r="AU324" s="22">
        <v>3</v>
      </c>
      <c r="AV324" s="22">
        <v>3</v>
      </c>
      <c r="AW324" s="22">
        <v>4</v>
      </c>
      <c r="AX324" s="37">
        <v>4</v>
      </c>
      <c r="AY324" s="22">
        <v>4</v>
      </c>
      <c r="AZ324" s="22">
        <v>2</v>
      </c>
      <c r="BA324" s="38">
        <v>99</v>
      </c>
      <c r="BB324" s="22">
        <v>99</v>
      </c>
      <c r="BC324" s="22">
        <v>99</v>
      </c>
      <c r="BD324" s="22">
        <v>99</v>
      </c>
      <c r="BE324" s="37">
        <v>99</v>
      </c>
      <c r="BF324" s="22">
        <v>0</v>
      </c>
      <c r="BG324" s="22">
        <v>0</v>
      </c>
      <c r="BH324" s="22">
        <v>0</v>
      </c>
      <c r="BI324" s="22">
        <v>999</v>
      </c>
      <c r="BJ324" s="22">
        <v>7</v>
      </c>
    </row>
    <row r="325" spans="1:62" ht="13">
      <c r="A325" s="22" t="s">
        <v>3219</v>
      </c>
      <c r="B325" s="22"/>
      <c r="C325" s="22"/>
      <c r="D325" s="22"/>
      <c r="E325" s="22">
        <v>2</v>
      </c>
      <c r="F325" s="22">
        <v>1</v>
      </c>
      <c r="G325" s="28">
        <v>15</v>
      </c>
      <c r="H325" s="28">
        <v>10</v>
      </c>
      <c r="I325" s="30">
        <v>1958</v>
      </c>
      <c r="J325" s="34">
        <f t="shared" si="0"/>
        <v>21473</v>
      </c>
      <c r="K325" s="35" t="s">
        <v>221</v>
      </c>
      <c r="L325" s="25" t="s">
        <v>1528</v>
      </c>
      <c r="M325" s="30">
        <v>1</v>
      </c>
      <c r="N325" s="17" t="s">
        <v>233</v>
      </c>
      <c r="O325" s="17"/>
      <c r="P325" s="25" t="s">
        <v>1529</v>
      </c>
      <c r="Q325" s="25" t="s">
        <v>1647</v>
      </c>
      <c r="R325" s="25">
        <v>32.114092999999997</v>
      </c>
      <c r="S325" s="25">
        <v>34.972766999999997</v>
      </c>
      <c r="T325" s="22">
        <v>1</v>
      </c>
      <c r="U325" s="22">
        <v>1</v>
      </c>
      <c r="V325" s="22">
        <v>99</v>
      </c>
      <c r="W325" s="22">
        <v>2</v>
      </c>
      <c r="X325" s="22">
        <v>2</v>
      </c>
      <c r="Y325" s="18"/>
      <c r="Z325" s="22">
        <v>5</v>
      </c>
      <c r="AA325" s="22">
        <v>1</v>
      </c>
      <c r="AB325" s="18" t="s">
        <v>221</v>
      </c>
      <c r="AC325" s="22">
        <v>6</v>
      </c>
      <c r="AD325" s="22">
        <v>2</v>
      </c>
      <c r="AE325" s="18" t="s">
        <v>221</v>
      </c>
      <c r="AF325" s="22">
        <v>99</v>
      </c>
      <c r="AG325" s="18"/>
      <c r="AH325" s="22">
        <v>99</v>
      </c>
      <c r="AI325" s="28">
        <v>99</v>
      </c>
      <c r="AJ325" s="18"/>
      <c r="AK325" s="22">
        <v>99</v>
      </c>
      <c r="AL325" s="22">
        <v>99</v>
      </c>
      <c r="AM325" s="22">
        <v>99</v>
      </c>
      <c r="AN325" s="22">
        <v>2</v>
      </c>
      <c r="AO325" s="22">
        <v>99</v>
      </c>
      <c r="AP325" s="22">
        <v>99</v>
      </c>
      <c r="AQ325" s="22" t="s">
        <v>1049</v>
      </c>
      <c r="AR325" s="18" t="s">
        <v>221</v>
      </c>
      <c r="AS325" s="22">
        <v>99</v>
      </c>
      <c r="AT325" s="22">
        <v>99</v>
      </c>
      <c r="AU325" s="22">
        <v>3</v>
      </c>
      <c r="AV325" s="22">
        <v>3</v>
      </c>
      <c r="AW325" s="22">
        <v>4</v>
      </c>
      <c r="AX325" s="37">
        <v>4</v>
      </c>
      <c r="AY325" s="22">
        <v>4</v>
      </c>
      <c r="AZ325" s="22">
        <v>2</v>
      </c>
      <c r="BA325" s="38">
        <v>99</v>
      </c>
      <c r="BB325" s="22">
        <v>99</v>
      </c>
      <c r="BC325" s="22">
        <v>99</v>
      </c>
      <c r="BD325" s="22">
        <v>99</v>
      </c>
      <c r="BE325" s="37">
        <v>99</v>
      </c>
      <c r="BF325" s="22">
        <v>0</v>
      </c>
      <c r="BG325" s="22">
        <v>0</v>
      </c>
      <c r="BH325" s="22">
        <v>0</v>
      </c>
      <c r="BI325" s="22">
        <v>999</v>
      </c>
      <c r="BJ325" s="22">
        <v>9</v>
      </c>
    </row>
    <row r="326" spans="1:62" ht="13">
      <c r="A326" s="22" t="s">
        <v>3221</v>
      </c>
      <c r="B326" s="22"/>
      <c r="C326" s="22"/>
      <c r="D326" s="22"/>
      <c r="E326" s="22">
        <v>1</v>
      </c>
      <c r="F326" s="22">
        <v>1</v>
      </c>
      <c r="G326" s="28">
        <v>18</v>
      </c>
      <c r="H326" s="28">
        <v>10</v>
      </c>
      <c r="I326" s="30">
        <v>1958</v>
      </c>
      <c r="J326" s="34">
        <f t="shared" si="0"/>
        <v>21476</v>
      </c>
      <c r="K326" s="11" t="s">
        <v>1395</v>
      </c>
      <c r="L326" s="25" t="s">
        <v>1530</v>
      </c>
      <c r="M326" s="30">
        <v>1</v>
      </c>
      <c r="N326" s="17" t="s">
        <v>233</v>
      </c>
      <c r="O326" s="17"/>
      <c r="P326" s="25" t="s">
        <v>1531</v>
      </c>
      <c r="Q326" s="25" t="s">
        <v>3226</v>
      </c>
      <c r="R326" s="25">
        <v>22.718428299999999</v>
      </c>
      <c r="S326" s="25">
        <v>72.469580800000003</v>
      </c>
      <c r="T326" s="22">
        <v>2</v>
      </c>
      <c r="U326" s="22">
        <v>1</v>
      </c>
      <c r="V326" s="22">
        <v>99</v>
      </c>
      <c r="W326" s="22">
        <v>2</v>
      </c>
      <c r="X326" s="22">
        <v>2</v>
      </c>
      <c r="Y326" s="18"/>
      <c r="Z326" s="22">
        <v>5</v>
      </c>
      <c r="AA326" s="22">
        <v>1</v>
      </c>
      <c r="AB326" s="2" t="s">
        <v>1464</v>
      </c>
      <c r="AC326" s="22">
        <v>6</v>
      </c>
      <c r="AD326" s="22">
        <v>2</v>
      </c>
      <c r="AE326" s="18" t="s">
        <v>221</v>
      </c>
      <c r="AF326" s="22">
        <v>99</v>
      </c>
      <c r="AG326" s="18"/>
      <c r="AH326" s="22">
        <v>99</v>
      </c>
      <c r="AI326" s="28">
        <v>99</v>
      </c>
      <c r="AJ326" s="18"/>
      <c r="AK326" s="22">
        <v>99</v>
      </c>
      <c r="AL326" s="22">
        <v>99</v>
      </c>
      <c r="AM326" s="22">
        <v>99</v>
      </c>
      <c r="AN326" s="22">
        <v>2</v>
      </c>
      <c r="AO326" s="22">
        <v>99</v>
      </c>
      <c r="AP326" s="22">
        <v>99</v>
      </c>
      <c r="AQ326" s="22" t="s">
        <v>1049</v>
      </c>
      <c r="AR326" s="18" t="s">
        <v>221</v>
      </c>
      <c r="AS326" s="22">
        <v>99</v>
      </c>
      <c r="AT326" s="22">
        <v>99</v>
      </c>
      <c r="AU326" s="22">
        <v>3</v>
      </c>
      <c r="AV326" s="22">
        <v>3</v>
      </c>
      <c r="AW326" s="22">
        <v>4</v>
      </c>
      <c r="AX326" s="37">
        <v>4</v>
      </c>
      <c r="AY326" s="22">
        <v>4</v>
      </c>
      <c r="AZ326" s="22">
        <v>2</v>
      </c>
      <c r="BA326" s="38">
        <v>99</v>
      </c>
      <c r="BB326" s="22">
        <v>99</v>
      </c>
      <c r="BC326" s="22">
        <v>99</v>
      </c>
      <c r="BD326" s="22">
        <v>99</v>
      </c>
      <c r="BE326" s="37">
        <v>99</v>
      </c>
      <c r="BF326" s="22">
        <v>0</v>
      </c>
      <c r="BG326" s="22">
        <v>0</v>
      </c>
      <c r="BH326" s="22">
        <v>0</v>
      </c>
      <c r="BI326" s="22">
        <v>999</v>
      </c>
      <c r="BJ326" s="22">
        <v>8</v>
      </c>
    </row>
    <row r="327" spans="1:62" ht="13">
      <c r="A327" s="22" t="s">
        <v>3230</v>
      </c>
      <c r="B327" s="22"/>
      <c r="C327" s="22"/>
      <c r="D327" s="22"/>
      <c r="E327" s="22">
        <v>3</v>
      </c>
      <c r="F327" s="22">
        <v>1</v>
      </c>
      <c r="G327" s="28">
        <v>6</v>
      </c>
      <c r="H327" s="28">
        <v>11</v>
      </c>
      <c r="I327" s="30">
        <v>1958</v>
      </c>
      <c r="J327" s="34">
        <f t="shared" si="0"/>
        <v>21495</v>
      </c>
      <c r="K327" s="11" t="s">
        <v>1696</v>
      </c>
      <c r="L327" s="25" t="s">
        <v>1533</v>
      </c>
      <c r="M327" s="30">
        <v>1</v>
      </c>
      <c r="N327" s="17" t="s">
        <v>233</v>
      </c>
      <c r="O327" s="17"/>
      <c r="P327" s="25" t="s">
        <v>1535</v>
      </c>
      <c r="Q327" s="25" t="s">
        <v>1656</v>
      </c>
      <c r="R327" s="105"/>
      <c r="S327" s="105"/>
      <c r="T327" s="22">
        <v>2</v>
      </c>
      <c r="U327" s="22">
        <v>1</v>
      </c>
      <c r="V327" s="22">
        <v>99</v>
      </c>
      <c r="W327" s="22">
        <v>1</v>
      </c>
      <c r="X327" s="22">
        <v>1</v>
      </c>
      <c r="Y327" s="18"/>
      <c r="Z327" s="22">
        <v>5</v>
      </c>
      <c r="AA327" s="22">
        <v>1</v>
      </c>
      <c r="AB327" s="2" t="s">
        <v>2953</v>
      </c>
      <c r="AC327" s="22">
        <v>6</v>
      </c>
      <c r="AD327" s="22">
        <v>2</v>
      </c>
      <c r="AE327" s="18" t="s">
        <v>221</v>
      </c>
      <c r="AF327" s="22">
        <v>99</v>
      </c>
      <c r="AG327" s="18"/>
      <c r="AH327" s="22">
        <v>99</v>
      </c>
      <c r="AI327" s="28">
        <v>99</v>
      </c>
      <c r="AJ327" s="18"/>
      <c r="AK327" s="22">
        <v>99</v>
      </c>
      <c r="AL327" s="22">
        <v>99</v>
      </c>
      <c r="AM327" s="22">
        <v>99</v>
      </c>
      <c r="AN327" s="22">
        <v>2</v>
      </c>
      <c r="AO327" s="22">
        <v>99</v>
      </c>
      <c r="AP327" s="22">
        <v>99</v>
      </c>
      <c r="AQ327" s="22" t="s">
        <v>1049</v>
      </c>
      <c r="AR327" s="18" t="s">
        <v>221</v>
      </c>
      <c r="AS327" s="22">
        <v>99</v>
      </c>
      <c r="AT327" s="22">
        <v>99</v>
      </c>
      <c r="AU327" s="22">
        <v>3</v>
      </c>
      <c r="AV327" s="22">
        <v>3</v>
      </c>
      <c r="AW327" s="22">
        <v>4</v>
      </c>
      <c r="AX327" s="37">
        <v>4</v>
      </c>
      <c r="AY327" s="22">
        <v>4</v>
      </c>
      <c r="AZ327" s="22">
        <v>2</v>
      </c>
      <c r="BA327" s="38">
        <v>99</v>
      </c>
      <c r="BB327" s="22">
        <v>99</v>
      </c>
      <c r="BC327" s="22">
        <v>99</v>
      </c>
      <c r="BD327" s="22">
        <v>99</v>
      </c>
      <c r="BE327" s="37">
        <v>99</v>
      </c>
      <c r="BF327" s="22">
        <v>0</v>
      </c>
      <c r="BG327" s="22">
        <v>0</v>
      </c>
      <c r="BH327" s="22">
        <v>0</v>
      </c>
      <c r="BI327" s="22">
        <v>999</v>
      </c>
      <c r="BJ327" s="22">
        <v>8</v>
      </c>
    </row>
    <row r="328" spans="1:62" ht="13">
      <c r="A328" s="22" t="s">
        <v>3236</v>
      </c>
      <c r="B328" s="22"/>
      <c r="C328" s="22"/>
      <c r="D328" s="22"/>
      <c r="E328" s="22">
        <v>1</v>
      </c>
      <c r="F328" s="22">
        <v>1</v>
      </c>
      <c r="G328" s="28">
        <v>20</v>
      </c>
      <c r="H328" s="28">
        <v>11</v>
      </c>
      <c r="I328" s="30">
        <v>1958</v>
      </c>
      <c r="J328" s="34">
        <f t="shared" si="0"/>
        <v>21509</v>
      </c>
      <c r="K328" s="11" t="s">
        <v>3128</v>
      </c>
      <c r="L328" s="25" t="s">
        <v>1542</v>
      </c>
      <c r="M328" s="30">
        <v>1</v>
      </c>
      <c r="N328" s="17" t="s">
        <v>233</v>
      </c>
      <c r="O328" s="17"/>
      <c r="P328" s="25" t="s">
        <v>949</v>
      </c>
      <c r="Q328" s="25" t="s">
        <v>951</v>
      </c>
      <c r="R328" s="25">
        <v>31.472679999999901</v>
      </c>
      <c r="S328" s="25">
        <v>34.497675000000001</v>
      </c>
      <c r="T328" s="22">
        <v>1</v>
      </c>
      <c r="U328" s="22">
        <v>1</v>
      </c>
      <c r="V328" s="22">
        <v>99</v>
      </c>
      <c r="W328" s="22">
        <v>3</v>
      </c>
      <c r="X328" s="22">
        <v>2</v>
      </c>
      <c r="Y328" s="18"/>
      <c r="Z328" s="22">
        <v>5</v>
      </c>
      <c r="AA328" s="22">
        <v>1</v>
      </c>
      <c r="AB328" s="18" t="s">
        <v>221</v>
      </c>
      <c r="AC328" s="18"/>
      <c r="AD328" s="22">
        <v>2</v>
      </c>
      <c r="AE328" s="18" t="s">
        <v>221</v>
      </c>
      <c r="AF328" s="22">
        <v>99</v>
      </c>
      <c r="AG328" s="18"/>
      <c r="AH328" s="22">
        <v>99</v>
      </c>
      <c r="AI328" s="28">
        <v>99</v>
      </c>
      <c r="AJ328" s="18"/>
      <c r="AK328" s="22">
        <v>99</v>
      </c>
      <c r="AL328" s="22">
        <v>99</v>
      </c>
      <c r="AM328" s="22">
        <v>99</v>
      </c>
      <c r="AN328" s="22">
        <v>2</v>
      </c>
      <c r="AO328" s="22">
        <v>99</v>
      </c>
      <c r="AP328" s="22">
        <v>99</v>
      </c>
      <c r="AQ328" s="22" t="s">
        <v>1049</v>
      </c>
      <c r="AR328" s="18" t="s">
        <v>221</v>
      </c>
      <c r="AS328" s="22">
        <v>99</v>
      </c>
      <c r="AT328" s="22">
        <v>99</v>
      </c>
      <c r="AU328" s="22">
        <v>3</v>
      </c>
      <c r="AV328" s="22">
        <v>3</v>
      </c>
      <c r="AW328" s="22">
        <v>4</v>
      </c>
      <c r="AX328" s="37">
        <v>4</v>
      </c>
      <c r="AY328" s="22">
        <v>4</v>
      </c>
      <c r="AZ328" s="22">
        <v>2</v>
      </c>
      <c r="BA328" s="38">
        <v>99</v>
      </c>
      <c r="BB328" s="22">
        <v>99</v>
      </c>
      <c r="BC328" s="22">
        <v>99</v>
      </c>
      <c r="BD328" s="22">
        <v>99</v>
      </c>
      <c r="BE328" s="37">
        <v>99</v>
      </c>
      <c r="BF328" s="22">
        <v>999</v>
      </c>
      <c r="BG328" s="22">
        <v>999</v>
      </c>
      <c r="BH328" s="22">
        <v>999</v>
      </c>
      <c r="BI328" s="22">
        <v>999</v>
      </c>
      <c r="BJ328" s="22">
        <v>99</v>
      </c>
    </row>
    <row r="329" spans="1:62" ht="13">
      <c r="A329" s="22" t="s">
        <v>3257</v>
      </c>
      <c r="B329" s="22"/>
      <c r="C329" s="22"/>
      <c r="D329" s="22"/>
      <c r="E329" s="22">
        <v>1</v>
      </c>
      <c r="F329" s="22">
        <v>1</v>
      </c>
      <c r="G329" s="28">
        <v>21</v>
      </c>
      <c r="H329" s="28">
        <v>11</v>
      </c>
      <c r="I329" s="30">
        <v>1958</v>
      </c>
      <c r="J329" s="34">
        <f t="shared" si="0"/>
        <v>21510</v>
      </c>
      <c r="K329" s="11" t="s">
        <v>1294</v>
      </c>
      <c r="L329" s="25" t="s">
        <v>1544</v>
      </c>
      <c r="M329" s="30">
        <v>1</v>
      </c>
      <c r="N329" s="17" t="s">
        <v>233</v>
      </c>
      <c r="O329" s="17"/>
      <c r="P329" s="25" t="s">
        <v>547</v>
      </c>
      <c r="Q329" s="25" t="s">
        <v>553</v>
      </c>
      <c r="R329" s="25">
        <v>31.681260399999999</v>
      </c>
      <c r="S329" s="25">
        <v>34.585908400000001</v>
      </c>
      <c r="T329" s="22">
        <v>2</v>
      </c>
      <c r="U329" s="22">
        <v>1</v>
      </c>
      <c r="V329" s="22">
        <v>99</v>
      </c>
      <c r="W329" s="22">
        <v>2</v>
      </c>
      <c r="X329" s="22">
        <v>2</v>
      </c>
      <c r="Y329" s="18"/>
      <c r="Z329" s="22">
        <v>3</v>
      </c>
      <c r="AA329" s="22">
        <v>1</v>
      </c>
      <c r="AB329" s="18" t="s">
        <v>221</v>
      </c>
      <c r="AC329" s="22">
        <v>6</v>
      </c>
      <c r="AD329" s="22">
        <v>2</v>
      </c>
      <c r="AE329" s="18" t="s">
        <v>221</v>
      </c>
      <c r="AF329" s="22">
        <v>99</v>
      </c>
      <c r="AG329" s="18"/>
      <c r="AH329" s="22">
        <v>99</v>
      </c>
      <c r="AI329" s="28">
        <v>99</v>
      </c>
      <c r="AJ329" s="18"/>
      <c r="AK329" s="22">
        <v>99</v>
      </c>
      <c r="AL329" s="22">
        <v>99</v>
      </c>
      <c r="AM329" s="22">
        <v>99</v>
      </c>
      <c r="AN329" s="22">
        <v>2</v>
      </c>
      <c r="AO329" s="22">
        <v>99</v>
      </c>
      <c r="AP329" s="22">
        <v>99</v>
      </c>
      <c r="AQ329" s="22" t="s">
        <v>3274</v>
      </c>
      <c r="AR329" s="2" t="s">
        <v>661</v>
      </c>
      <c r="AS329" s="22">
        <v>1</v>
      </c>
      <c r="AT329" s="22">
        <v>2</v>
      </c>
      <c r="AU329" s="22">
        <v>3</v>
      </c>
      <c r="AV329" s="22">
        <v>3</v>
      </c>
      <c r="AW329" s="22">
        <v>4</v>
      </c>
      <c r="AX329" s="37">
        <v>4</v>
      </c>
      <c r="AY329" s="22">
        <v>4</v>
      </c>
      <c r="AZ329" s="22">
        <v>2</v>
      </c>
      <c r="BA329" s="38">
        <v>99</v>
      </c>
      <c r="BB329" s="22">
        <v>99</v>
      </c>
      <c r="BC329" s="22">
        <v>99</v>
      </c>
      <c r="BD329" s="22">
        <v>99</v>
      </c>
      <c r="BE329" s="37">
        <v>99</v>
      </c>
      <c r="BF329" s="22">
        <v>1</v>
      </c>
      <c r="BG329" s="22">
        <v>0</v>
      </c>
      <c r="BH329" s="22">
        <v>1</v>
      </c>
      <c r="BI329" s="22">
        <v>999</v>
      </c>
      <c r="BJ329" s="22">
        <v>8</v>
      </c>
    </row>
    <row r="330" spans="1:62" ht="13">
      <c r="A330" s="22" t="s">
        <v>3276</v>
      </c>
      <c r="B330" s="22"/>
      <c r="C330" s="22"/>
      <c r="D330" s="22"/>
      <c r="E330" s="22">
        <v>3</v>
      </c>
      <c r="F330" s="22">
        <v>1</v>
      </c>
      <c r="G330" s="28">
        <v>3</v>
      </c>
      <c r="H330" s="28">
        <v>12</v>
      </c>
      <c r="I330" s="30">
        <v>1958</v>
      </c>
      <c r="J330" s="34">
        <f t="shared" si="0"/>
        <v>21522</v>
      </c>
      <c r="K330" s="11" t="s">
        <v>3280</v>
      </c>
      <c r="L330" s="25" t="s">
        <v>1546</v>
      </c>
      <c r="M330" s="30">
        <v>1</v>
      </c>
      <c r="N330" s="17" t="s">
        <v>233</v>
      </c>
      <c r="O330" s="17"/>
      <c r="P330" s="25" t="s">
        <v>32</v>
      </c>
      <c r="Q330" s="25" t="s">
        <v>346</v>
      </c>
      <c r="R330" s="25">
        <v>31.768319000000002</v>
      </c>
      <c r="S330" s="25">
        <v>35.213709999999999</v>
      </c>
      <c r="T330" s="22">
        <v>99</v>
      </c>
      <c r="U330" s="22">
        <v>1</v>
      </c>
      <c r="V330" s="22">
        <v>99</v>
      </c>
      <c r="W330" s="22">
        <v>3</v>
      </c>
      <c r="X330" s="22">
        <v>2</v>
      </c>
      <c r="Y330" s="18"/>
      <c r="Z330" s="22">
        <v>5</v>
      </c>
      <c r="AA330" s="22">
        <v>1</v>
      </c>
      <c r="AB330" s="2" t="s">
        <v>685</v>
      </c>
      <c r="AC330" s="22">
        <v>7</v>
      </c>
      <c r="AD330" s="22">
        <v>2</v>
      </c>
      <c r="AE330" s="18" t="s">
        <v>221</v>
      </c>
      <c r="AF330" s="22">
        <v>99</v>
      </c>
      <c r="AG330" s="18"/>
      <c r="AH330" s="22">
        <v>99</v>
      </c>
      <c r="AI330" s="28">
        <v>99</v>
      </c>
      <c r="AJ330" s="18"/>
      <c r="AK330" s="22">
        <v>99</v>
      </c>
      <c r="AL330" s="22">
        <v>99</v>
      </c>
      <c r="AM330" s="22">
        <v>99</v>
      </c>
      <c r="AN330" s="22">
        <v>2</v>
      </c>
      <c r="AO330" s="22">
        <v>99</v>
      </c>
      <c r="AP330" s="22">
        <v>99</v>
      </c>
      <c r="AQ330" s="22" t="s">
        <v>1049</v>
      </c>
      <c r="AR330" s="18" t="s">
        <v>221</v>
      </c>
      <c r="AS330" s="22">
        <v>99</v>
      </c>
      <c r="AT330" s="22">
        <v>99</v>
      </c>
      <c r="AU330" s="22">
        <v>3</v>
      </c>
      <c r="AV330" s="22">
        <v>3</v>
      </c>
      <c r="AW330" s="22">
        <v>4</v>
      </c>
      <c r="AX330" s="37">
        <v>4</v>
      </c>
      <c r="AY330" s="22">
        <v>4</v>
      </c>
      <c r="AZ330" s="22">
        <v>1</v>
      </c>
      <c r="BA330" s="38">
        <v>4</v>
      </c>
      <c r="BB330" s="22">
        <v>1</v>
      </c>
      <c r="BC330" s="22">
        <v>18</v>
      </c>
      <c r="BD330" s="22">
        <v>99</v>
      </c>
      <c r="BE330" s="37">
        <v>1</v>
      </c>
      <c r="BF330" s="22">
        <v>0</v>
      </c>
      <c r="BG330" s="22">
        <v>0</v>
      </c>
      <c r="BH330" s="22">
        <v>0</v>
      </c>
      <c r="BI330" s="22">
        <v>999</v>
      </c>
      <c r="BJ330" s="22">
        <v>7</v>
      </c>
    </row>
    <row r="331" spans="1:62" ht="13">
      <c r="A331" s="22" t="s">
        <v>3299</v>
      </c>
      <c r="B331" s="22"/>
      <c r="C331" s="22"/>
      <c r="D331" s="22"/>
      <c r="E331" s="22">
        <v>1</v>
      </c>
      <c r="F331" s="22">
        <v>1</v>
      </c>
      <c r="G331" s="28">
        <v>6</v>
      </c>
      <c r="H331" s="28">
        <v>12</v>
      </c>
      <c r="I331" s="30">
        <v>1958</v>
      </c>
      <c r="J331" s="34">
        <f t="shared" si="0"/>
        <v>21525</v>
      </c>
      <c r="K331" s="11" t="s">
        <v>3179</v>
      </c>
      <c r="L331" s="25" t="s">
        <v>1547</v>
      </c>
      <c r="M331" s="30">
        <v>1</v>
      </c>
      <c r="N331" s="17" t="s">
        <v>233</v>
      </c>
      <c r="O331" s="17"/>
      <c r="P331" s="25" t="s">
        <v>1548</v>
      </c>
      <c r="Q331" s="25" t="s">
        <v>1659</v>
      </c>
      <c r="R331" s="25">
        <v>47.551906700000004</v>
      </c>
      <c r="S331" s="25">
        <v>18.9731931</v>
      </c>
      <c r="T331" s="22">
        <v>2</v>
      </c>
      <c r="U331" s="22">
        <v>1</v>
      </c>
      <c r="V331" s="22">
        <v>99</v>
      </c>
      <c r="W331" s="22">
        <v>2</v>
      </c>
      <c r="X331" s="22">
        <v>2</v>
      </c>
      <c r="Y331" s="18"/>
      <c r="Z331" s="22">
        <v>5</v>
      </c>
      <c r="AA331" s="22">
        <v>1</v>
      </c>
      <c r="AB331" s="2" t="s">
        <v>1294</v>
      </c>
      <c r="AC331" s="22">
        <v>6</v>
      </c>
      <c r="AD331" s="22">
        <v>2</v>
      </c>
      <c r="AE331" s="18" t="s">
        <v>221</v>
      </c>
      <c r="AF331" s="22">
        <v>99</v>
      </c>
      <c r="AG331" s="18"/>
      <c r="AH331" s="22">
        <v>99</v>
      </c>
      <c r="AI331" s="28">
        <v>99</v>
      </c>
      <c r="AJ331" s="18"/>
      <c r="AK331" s="22">
        <v>99</v>
      </c>
      <c r="AL331" s="22">
        <v>99</v>
      </c>
      <c r="AM331" s="22">
        <v>99</v>
      </c>
      <c r="AN331" s="22">
        <v>2</v>
      </c>
      <c r="AO331" s="22">
        <v>99</v>
      </c>
      <c r="AP331" s="22">
        <v>99</v>
      </c>
      <c r="AQ331" s="22" t="s">
        <v>1049</v>
      </c>
      <c r="AR331" s="18" t="s">
        <v>221</v>
      </c>
      <c r="AS331" s="22">
        <v>99</v>
      </c>
      <c r="AT331" s="22">
        <v>99</v>
      </c>
      <c r="AU331" s="22">
        <v>3</v>
      </c>
      <c r="AV331" s="22">
        <v>3</v>
      </c>
      <c r="AW331" s="22">
        <v>4</v>
      </c>
      <c r="AX331" s="37">
        <v>4</v>
      </c>
      <c r="AY331" s="22">
        <v>4</v>
      </c>
      <c r="AZ331" s="22">
        <v>1</v>
      </c>
      <c r="BA331" s="38">
        <v>4</v>
      </c>
      <c r="BB331" s="22">
        <v>99</v>
      </c>
      <c r="BC331" s="22">
        <v>99</v>
      </c>
      <c r="BD331" s="22">
        <v>99</v>
      </c>
      <c r="BE331" s="37">
        <v>1</v>
      </c>
      <c r="BF331" s="22">
        <v>999</v>
      </c>
      <c r="BG331" s="22">
        <v>999</v>
      </c>
      <c r="BH331" s="22">
        <v>999</v>
      </c>
      <c r="BI331" s="22">
        <v>999</v>
      </c>
      <c r="BJ331" s="22">
        <v>99</v>
      </c>
    </row>
    <row r="332" spans="1:62" ht="13">
      <c r="A332" s="22" t="s">
        <v>3323</v>
      </c>
      <c r="B332" s="22"/>
      <c r="C332" s="22"/>
      <c r="D332" s="22"/>
      <c r="E332" s="22">
        <v>1</v>
      </c>
      <c r="F332" s="22">
        <v>2</v>
      </c>
      <c r="G332" s="28">
        <v>12</v>
      </c>
      <c r="H332" s="28">
        <v>1</v>
      </c>
      <c r="I332" s="30">
        <v>1959</v>
      </c>
      <c r="J332" s="34">
        <f t="shared" si="0"/>
        <v>21562</v>
      </c>
      <c r="K332" s="11" t="s">
        <v>2911</v>
      </c>
      <c r="L332" s="25" t="s">
        <v>1550</v>
      </c>
      <c r="M332" s="30">
        <v>1</v>
      </c>
      <c r="N332" s="17" t="s">
        <v>233</v>
      </c>
      <c r="O332" s="17"/>
      <c r="P332" s="25" t="s">
        <v>1551</v>
      </c>
      <c r="Q332" s="25" t="s">
        <v>1660</v>
      </c>
      <c r="R332" s="105"/>
      <c r="S332" s="105"/>
      <c r="T332" s="22">
        <v>2</v>
      </c>
      <c r="U332" s="22">
        <v>1</v>
      </c>
      <c r="V332" s="22">
        <v>99</v>
      </c>
      <c r="W332" s="22">
        <v>2</v>
      </c>
      <c r="X332" s="22">
        <v>2</v>
      </c>
      <c r="Y332" s="18"/>
      <c r="Z332" s="22">
        <v>5</v>
      </c>
      <c r="AA332" s="22">
        <v>1</v>
      </c>
      <c r="AB332" s="18" t="s">
        <v>221</v>
      </c>
      <c r="AC332" s="22">
        <v>6</v>
      </c>
      <c r="AD332" s="22">
        <v>2</v>
      </c>
      <c r="AE332" s="18" t="s">
        <v>221</v>
      </c>
      <c r="AF332" s="22">
        <v>99</v>
      </c>
      <c r="AG332" s="18"/>
      <c r="AH332" s="22">
        <v>99</v>
      </c>
      <c r="AI332" s="28">
        <v>99</v>
      </c>
      <c r="AJ332" s="18"/>
      <c r="AK332" s="22">
        <v>99</v>
      </c>
      <c r="AL332" s="22">
        <v>99</v>
      </c>
      <c r="AM332" s="22">
        <v>99</v>
      </c>
      <c r="AN332" s="22">
        <v>2</v>
      </c>
      <c r="AO332" s="22">
        <v>99</v>
      </c>
      <c r="AP332" s="22">
        <v>99</v>
      </c>
      <c r="AQ332" s="22" t="s">
        <v>1049</v>
      </c>
      <c r="AR332" s="18" t="s">
        <v>221</v>
      </c>
      <c r="AS332" s="22">
        <v>99</v>
      </c>
      <c r="AT332" s="22">
        <v>99</v>
      </c>
      <c r="AU332" s="22">
        <v>3</v>
      </c>
      <c r="AV332" s="22">
        <v>3</v>
      </c>
      <c r="AW332" s="22">
        <v>4</v>
      </c>
      <c r="AX332" s="37">
        <v>4</v>
      </c>
      <c r="AY332" s="22">
        <v>4</v>
      </c>
      <c r="AZ332" s="22">
        <v>2</v>
      </c>
      <c r="BA332" s="38">
        <v>99</v>
      </c>
      <c r="BB332" s="22">
        <v>99</v>
      </c>
      <c r="BC332" s="22">
        <v>99</v>
      </c>
      <c r="BD332" s="22">
        <v>99</v>
      </c>
      <c r="BE332" s="37">
        <v>99</v>
      </c>
      <c r="BF332" s="22">
        <v>0</v>
      </c>
      <c r="BG332" s="22">
        <v>0</v>
      </c>
      <c r="BH332" s="22">
        <v>0</v>
      </c>
      <c r="BI332" s="22">
        <v>999</v>
      </c>
      <c r="BJ332" s="22">
        <v>8</v>
      </c>
    </row>
    <row r="333" spans="1:62" ht="13">
      <c r="A333" s="22" t="s">
        <v>3352</v>
      </c>
      <c r="B333" s="22"/>
      <c r="C333" s="22"/>
      <c r="D333" s="22"/>
      <c r="E333" s="22">
        <v>2</v>
      </c>
      <c r="F333" s="22">
        <v>1</v>
      </c>
      <c r="G333" s="28">
        <v>13</v>
      </c>
      <c r="H333" s="28">
        <v>1</v>
      </c>
      <c r="I333" s="30">
        <v>1959</v>
      </c>
      <c r="J333" s="34">
        <f t="shared" si="0"/>
        <v>21563</v>
      </c>
      <c r="K333" s="39" t="s">
        <v>3357</v>
      </c>
      <c r="L333" s="25" t="s">
        <v>1556</v>
      </c>
      <c r="M333" s="30">
        <v>1</v>
      </c>
      <c r="N333" s="17" t="s">
        <v>233</v>
      </c>
      <c r="O333" s="17"/>
      <c r="P333" s="25" t="s">
        <v>1492</v>
      </c>
      <c r="Q333" s="25" t="s">
        <v>1601</v>
      </c>
      <c r="R333" s="25">
        <v>44.231006999999998</v>
      </c>
      <c r="S333" s="25">
        <v>0.27258500000000002</v>
      </c>
      <c r="T333" s="22">
        <v>2</v>
      </c>
      <c r="U333" s="22">
        <v>1</v>
      </c>
      <c r="V333" s="22">
        <v>99</v>
      </c>
      <c r="W333" s="22">
        <v>1</v>
      </c>
      <c r="X333" s="22">
        <v>1</v>
      </c>
      <c r="Y333" s="18"/>
      <c r="Z333" s="22">
        <v>5</v>
      </c>
      <c r="AA333" s="22">
        <v>1</v>
      </c>
      <c r="AB333" s="2" t="s">
        <v>1255</v>
      </c>
      <c r="AC333" s="22">
        <v>6</v>
      </c>
      <c r="AD333" s="22">
        <v>2</v>
      </c>
      <c r="AE333" s="18" t="s">
        <v>221</v>
      </c>
      <c r="AF333" s="22">
        <v>99</v>
      </c>
      <c r="AG333" s="18"/>
      <c r="AH333" s="22">
        <v>99</v>
      </c>
      <c r="AI333" s="28">
        <v>99</v>
      </c>
      <c r="AJ333" s="18"/>
      <c r="AK333" s="22">
        <v>99</v>
      </c>
      <c r="AL333" s="22">
        <v>99</v>
      </c>
      <c r="AM333" s="22">
        <v>99</v>
      </c>
      <c r="AN333" s="22">
        <v>2</v>
      </c>
      <c r="AO333" s="22">
        <v>99</v>
      </c>
      <c r="AP333" s="22">
        <v>99</v>
      </c>
      <c r="AQ333" s="22" t="s">
        <v>3373</v>
      </c>
      <c r="AR333" s="18" t="s">
        <v>221</v>
      </c>
      <c r="AS333" s="22">
        <v>1</v>
      </c>
      <c r="AT333" s="22">
        <v>6</v>
      </c>
      <c r="AU333" s="22">
        <v>3</v>
      </c>
      <c r="AV333" s="22">
        <v>3</v>
      </c>
      <c r="AW333" s="22">
        <v>4</v>
      </c>
      <c r="AX333" s="37">
        <v>4</v>
      </c>
      <c r="AY333" s="22">
        <v>4</v>
      </c>
      <c r="AZ333" s="22">
        <v>1</v>
      </c>
      <c r="BA333" s="38">
        <v>4</v>
      </c>
      <c r="BB333" s="22">
        <v>99</v>
      </c>
      <c r="BC333" s="22">
        <v>99</v>
      </c>
      <c r="BD333" s="22">
        <v>99</v>
      </c>
      <c r="BE333" s="37">
        <v>1</v>
      </c>
      <c r="BF333" s="22">
        <v>3</v>
      </c>
      <c r="BG333" s="22">
        <v>1</v>
      </c>
      <c r="BH333" s="22">
        <v>4</v>
      </c>
      <c r="BI333" s="22">
        <v>999</v>
      </c>
      <c r="BJ333" s="22">
        <v>8</v>
      </c>
    </row>
    <row r="334" spans="1:62" ht="13">
      <c r="A334" s="22" t="s">
        <v>3382</v>
      </c>
      <c r="B334" s="22"/>
      <c r="C334" s="22"/>
      <c r="D334" s="22"/>
      <c r="E334" s="22">
        <v>3</v>
      </c>
      <c r="F334" s="22">
        <v>1</v>
      </c>
      <c r="G334" s="28">
        <v>13</v>
      </c>
      <c r="H334" s="28">
        <v>1</v>
      </c>
      <c r="I334" s="30">
        <v>1959</v>
      </c>
      <c r="J334" s="34">
        <f t="shared" si="0"/>
        <v>21563</v>
      </c>
      <c r="K334" s="39" t="s">
        <v>3389</v>
      </c>
      <c r="L334" s="25" t="s">
        <v>1557</v>
      </c>
      <c r="M334" s="30">
        <v>1</v>
      </c>
      <c r="N334" s="17" t="s">
        <v>233</v>
      </c>
      <c r="O334" s="17"/>
      <c r="P334" s="25" t="s">
        <v>1558</v>
      </c>
      <c r="Q334" s="25" t="s">
        <v>1663</v>
      </c>
      <c r="R334" s="105"/>
      <c r="S334" s="105"/>
      <c r="T334" s="22">
        <v>2</v>
      </c>
      <c r="U334" s="22">
        <v>1</v>
      </c>
      <c r="V334" s="22">
        <v>99</v>
      </c>
      <c r="W334" s="22">
        <v>2</v>
      </c>
      <c r="X334" s="22">
        <v>2</v>
      </c>
      <c r="Y334" s="18"/>
      <c r="Z334" s="22">
        <v>5</v>
      </c>
      <c r="AA334" s="22">
        <v>1</v>
      </c>
      <c r="AB334" s="2" t="s">
        <v>1464</v>
      </c>
      <c r="AC334" s="22">
        <v>6</v>
      </c>
      <c r="AD334" s="22">
        <v>2</v>
      </c>
      <c r="AE334" s="18" t="s">
        <v>221</v>
      </c>
      <c r="AF334" s="22">
        <v>99</v>
      </c>
      <c r="AG334" s="18"/>
      <c r="AH334" s="22">
        <v>99</v>
      </c>
      <c r="AI334" s="28">
        <v>99</v>
      </c>
      <c r="AJ334" s="18"/>
      <c r="AK334" s="22">
        <v>99</v>
      </c>
      <c r="AL334" s="22">
        <v>99</v>
      </c>
      <c r="AM334" s="22">
        <v>99</v>
      </c>
      <c r="AN334" s="22">
        <v>2</v>
      </c>
      <c r="AO334" s="22">
        <v>99</v>
      </c>
      <c r="AP334" s="22">
        <v>99</v>
      </c>
      <c r="AQ334" s="22" t="s">
        <v>1049</v>
      </c>
      <c r="AR334" s="18" t="s">
        <v>221</v>
      </c>
      <c r="AS334" s="22">
        <v>99</v>
      </c>
      <c r="AT334" s="22">
        <v>99</v>
      </c>
      <c r="AU334" s="22">
        <v>3</v>
      </c>
      <c r="AV334" s="22">
        <v>3</v>
      </c>
      <c r="AW334" s="22">
        <v>4</v>
      </c>
      <c r="AX334" s="37">
        <v>4</v>
      </c>
      <c r="AY334" s="22">
        <v>4</v>
      </c>
      <c r="AZ334" s="22">
        <v>2</v>
      </c>
      <c r="BA334" s="38">
        <v>99</v>
      </c>
      <c r="BB334" s="22">
        <v>99</v>
      </c>
      <c r="BC334" s="22">
        <v>99</v>
      </c>
      <c r="BD334" s="22">
        <v>99</v>
      </c>
      <c r="BE334" s="37">
        <v>99</v>
      </c>
      <c r="BF334" s="22">
        <v>0</v>
      </c>
      <c r="BG334" s="22">
        <v>0</v>
      </c>
      <c r="BH334" s="22">
        <v>0</v>
      </c>
      <c r="BI334" s="22">
        <v>999</v>
      </c>
      <c r="BJ334" s="22">
        <v>99</v>
      </c>
    </row>
    <row r="335" spans="1:62" ht="13">
      <c r="A335" s="22" t="s">
        <v>3407</v>
      </c>
      <c r="B335" s="22"/>
      <c r="C335" s="22"/>
      <c r="D335" s="22"/>
      <c r="E335" s="22">
        <v>1</v>
      </c>
      <c r="F335" s="22">
        <v>1</v>
      </c>
      <c r="G335" s="28">
        <v>23</v>
      </c>
      <c r="H335" s="28">
        <v>1</v>
      </c>
      <c r="I335" s="30">
        <v>1959</v>
      </c>
      <c r="J335" s="34">
        <f t="shared" si="0"/>
        <v>21573</v>
      </c>
      <c r="K335" s="39" t="s">
        <v>830</v>
      </c>
      <c r="L335" s="25" t="s">
        <v>1559</v>
      </c>
      <c r="M335" s="30">
        <v>1</v>
      </c>
      <c r="N335" s="17" t="s">
        <v>233</v>
      </c>
      <c r="O335" s="17"/>
      <c r="P335" s="25" t="s">
        <v>1285</v>
      </c>
      <c r="Q335" s="25" t="s">
        <v>1335</v>
      </c>
      <c r="R335" s="25">
        <v>40.102572000000002</v>
      </c>
      <c r="S335" s="25">
        <v>27.658373000000001</v>
      </c>
      <c r="T335" s="22">
        <v>2</v>
      </c>
      <c r="U335" s="22">
        <v>1</v>
      </c>
      <c r="V335" s="22">
        <v>99</v>
      </c>
      <c r="W335" s="22">
        <v>2</v>
      </c>
      <c r="X335" s="22">
        <v>2</v>
      </c>
      <c r="Y335" s="18"/>
      <c r="Z335" s="22">
        <v>5</v>
      </c>
      <c r="AA335" s="22">
        <v>1</v>
      </c>
      <c r="AB335" s="2" t="s">
        <v>2217</v>
      </c>
      <c r="AC335" s="22">
        <v>6</v>
      </c>
      <c r="AD335" s="22">
        <v>2</v>
      </c>
      <c r="AE335" s="18" t="s">
        <v>221</v>
      </c>
      <c r="AF335" s="22">
        <v>99</v>
      </c>
      <c r="AG335" s="18"/>
      <c r="AH335" s="22">
        <v>99</v>
      </c>
      <c r="AI335" s="57"/>
      <c r="AJ335" s="18"/>
      <c r="AK335" s="22">
        <v>99</v>
      </c>
      <c r="AL335" s="22">
        <v>99</v>
      </c>
      <c r="AM335" s="22">
        <v>99</v>
      </c>
      <c r="AN335" s="22">
        <v>99</v>
      </c>
      <c r="AO335" s="22">
        <v>99</v>
      </c>
      <c r="AP335" s="22">
        <v>99</v>
      </c>
      <c r="AQ335" s="18" t="s">
        <v>221</v>
      </c>
      <c r="AR335" s="18" t="s">
        <v>221</v>
      </c>
      <c r="AS335" s="18"/>
      <c r="AT335" s="18"/>
      <c r="AU335" s="22">
        <v>3</v>
      </c>
      <c r="AV335" s="22">
        <v>3</v>
      </c>
      <c r="AW335" s="22">
        <v>4</v>
      </c>
      <c r="AX335" s="37">
        <v>4</v>
      </c>
      <c r="AY335" s="22">
        <v>4</v>
      </c>
      <c r="AZ335" s="22">
        <v>2</v>
      </c>
      <c r="BA335" s="38">
        <v>99</v>
      </c>
      <c r="BB335" s="22">
        <v>99</v>
      </c>
      <c r="BC335" s="22">
        <v>99</v>
      </c>
      <c r="BD335" s="22">
        <v>99</v>
      </c>
      <c r="BE335" s="37">
        <v>99</v>
      </c>
      <c r="BF335" s="22">
        <v>999</v>
      </c>
      <c r="BG335" s="22">
        <v>999</v>
      </c>
      <c r="BH335" s="22">
        <v>999</v>
      </c>
      <c r="BI335" s="22">
        <v>999</v>
      </c>
      <c r="BJ335" s="22">
        <v>8</v>
      </c>
    </row>
    <row r="336" spans="1:62" ht="13">
      <c r="A336" s="18" t="s">
        <v>221</v>
      </c>
      <c r="B336" s="22"/>
      <c r="C336" s="22"/>
      <c r="D336" s="22"/>
      <c r="E336" s="22">
        <v>2</v>
      </c>
      <c r="F336" s="22">
        <v>1</v>
      </c>
      <c r="G336" s="57"/>
      <c r="H336" s="57"/>
      <c r="I336" s="30">
        <v>1960</v>
      </c>
      <c r="J336" s="34">
        <f t="shared" si="0"/>
        <v>21884</v>
      </c>
      <c r="K336" s="35" t="s">
        <v>221</v>
      </c>
      <c r="L336" s="18"/>
      <c r="M336" s="51"/>
      <c r="N336" s="52"/>
      <c r="O336" s="52"/>
      <c r="P336" s="25" t="s">
        <v>1561</v>
      </c>
      <c r="Q336" s="25" t="s">
        <v>3443</v>
      </c>
      <c r="R336" s="25">
        <v>36.985154600000001</v>
      </c>
      <c r="S336" s="25">
        <v>-2.6392943</v>
      </c>
      <c r="T336" s="22">
        <v>1</v>
      </c>
      <c r="U336" s="22">
        <v>2</v>
      </c>
      <c r="V336" s="18"/>
      <c r="W336" s="18"/>
      <c r="X336" s="22">
        <v>2</v>
      </c>
      <c r="Y336" s="18"/>
      <c r="Z336" s="22">
        <v>5</v>
      </c>
      <c r="AA336" s="22">
        <v>1</v>
      </c>
      <c r="AB336" s="2" t="s">
        <v>2217</v>
      </c>
      <c r="AC336" s="22">
        <v>6</v>
      </c>
      <c r="AD336" s="22">
        <v>2</v>
      </c>
      <c r="AE336" s="18" t="s">
        <v>221</v>
      </c>
      <c r="AF336" s="22">
        <v>99</v>
      </c>
      <c r="AG336" s="18"/>
      <c r="AH336" s="22">
        <v>99</v>
      </c>
      <c r="AI336" s="57"/>
      <c r="AJ336" s="18"/>
      <c r="AK336" s="22">
        <v>99</v>
      </c>
      <c r="AL336" s="22">
        <v>99</v>
      </c>
      <c r="AM336" s="22">
        <v>99</v>
      </c>
      <c r="AN336" s="22">
        <v>99</v>
      </c>
      <c r="AO336" s="22">
        <v>99</v>
      </c>
      <c r="AP336" s="22">
        <v>99</v>
      </c>
      <c r="AQ336" s="18" t="s">
        <v>221</v>
      </c>
      <c r="AR336" s="18" t="s">
        <v>221</v>
      </c>
      <c r="AS336" s="18"/>
      <c r="AT336" s="18"/>
      <c r="AU336" s="22">
        <v>3</v>
      </c>
      <c r="AV336" s="22">
        <v>3</v>
      </c>
      <c r="AW336" s="22">
        <v>4</v>
      </c>
      <c r="AX336" s="37">
        <v>4</v>
      </c>
      <c r="AY336" s="22">
        <v>4</v>
      </c>
      <c r="AZ336" s="22">
        <v>2</v>
      </c>
      <c r="BA336" s="38">
        <v>99</v>
      </c>
      <c r="BB336" s="22">
        <v>99</v>
      </c>
      <c r="BC336" s="22">
        <v>99</v>
      </c>
      <c r="BD336" s="22">
        <v>99</v>
      </c>
      <c r="BE336" s="37">
        <v>99</v>
      </c>
      <c r="BF336" s="22">
        <v>999</v>
      </c>
      <c r="BG336" s="22">
        <v>999</v>
      </c>
      <c r="BH336" s="22">
        <v>999</v>
      </c>
      <c r="BI336" s="22">
        <v>999</v>
      </c>
      <c r="BJ336" s="22">
        <v>9</v>
      </c>
    </row>
    <row r="337" spans="1:62" ht="13">
      <c r="A337" s="18" t="s">
        <v>221</v>
      </c>
      <c r="B337" s="22"/>
      <c r="C337" s="22"/>
      <c r="D337" s="22"/>
      <c r="E337" s="22">
        <v>1</v>
      </c>
      <c r="F337" s="22">
        <v>1</v>
      </c>
      <c r="G337" s="57"/>
      <c r="H337" s="57"/>
      <c r="I337" s="30">
        <v>1960</v>
      </c>
      <c r="J337" s="34">
        <f t="shared" si="0"/>
        <v>21884</v>
      </c>
      <c r="K337" s="35" t="s">
        <v>221</v>
      </c>
      <c r="L337" s="18"/>
      <c r="M337" s="51"/>
      <c r="N337" s="52"/>
      <c r="O337" s="52"/>
      <c r="P337" s="25" t="s">
        <v>1562</v>
      </c>
      <c r="Q337" s="25" t="s">
        <v>3487</v>
      </c>
      <c r="R337" s="105"/>
      <c r="S337" s="105"/>
      <c r="T337" s="22">
        <v>1</v>
      </c>
      <c r="U337" s="22">
        <v>2</v>
      </c>
      <c r="V337" s="18"/>
      <c r="W337" s="18"/>
      <c r="X337" s="22">
        <v>2</v>
      </c>
      <c r="Y337" s="18"/>
      <c r="Z337" s="22">
        <v>4</v>
      </c>
      <c r="AA337" s="22">
        <v>99</v>
      </c>
      <c r="AB337" s="2" t="s">
        <v>1385</v>
      </c>
      <c r="AC337" s="22">
        <v>6</v>
      </c>
      <c r="AD337" s="22">
        <v>1</v>
      </c>
      <c r="AE337" s="18" t="s">
        <v>221</v>
      </c>
      <c r="AF337" s="22">
        <v>99</v>
      </c>
      <c r="AG337" s="18"/>
      <c r="AH337" s="22">
        <v>99</v>
      </c>
      <c r="AI337" s="57"/>
      <c r="AJ337" s="18"/>
      <c r="AK337" s="22">
        <v>99</v>
      </c>
      <c r="AL337" s="22">
        <v>99</v>
      </c>
      <c r="AM337" s="22">
        <v>99</v>
      </c>
      <c r="AN337" s="22">
        <v>99</v>
      </c>
      <c r="AO337" s="22">
        <v>99</v>
      </c>
      <c r="AP337" s="22">
        <v>99</v>
      </c>
      <c r="AQ337" s="18" t="s">
        <v>221</v>
      </c>
      <c r="AR337" s="18" t="s">
        <v>221</v>
      </c>
      <c r="AS337" s="18"/>
      <c r="AT337" s="18"/>
      <c r="AU337" s="22">
        <v>3</v>
      </c>
      <c r="AV337" s="22">
        <v>3</v>
      </c>
      <c r="AW337" s="22">
        <v>4</v>
      </c>
      <c r="AX337" s="37">
        <v>4</v>
      </c>
      <c r="AY337" s="22">
        <v>4</v>
      </c>
      <c r="AZ337" s="22">
        <v>2</v>
      </c>
      <c r="BA337" s="38">
        <v>99</v>
      </c>
      <c r="BB337" s="22">
        <v>99</v>
      </c>
      <c r="BC337" s="22">
        <v>99</v>
      </c>
      <c r="BD337" s="22">
        <v>99</v>
      </c>
      <c r="BE337" s="37">
        <v>99</v>
      </c>
      <c r="BF337" s="22">
        <v>999</v>
      </c>
      <c r="BG337" s="22">
        <v>999</v>
      </c>
      <c r="BH337" s="22">
        <v>999</v>
      </c>
      <c r="BI337" s="22">
        <v>999</v>
      </c>
      <c r="BJ337" s="22">
        <v>12</v>
      </c>
    </row>
    <row r="338" spans="1:62" ht="13">
      <c r="A338" s="18" t="s">
        <v>221</v>
      </c>
      <c r="B338" s="22"/>
      <c r="C338" s="22"/>
      <c r="D338" s="22"/>
      <c r="E338" s="22">
        <v>1</v>
      </c>
      <c r="F338" s="22">
        <v>1</v>
      </c>
      <c r="G338" s="57"/>
      <c r="H338" s="57"/>
      <c r="I338" s="30">
        <v>1960</v>
      </c>
      <c r="J338" s="34">
        <f t="shared" si="0"/>
        <v>21884</v>
      </c>
      <c r="K338" s="35" t="s">
        <v>221</v>
      </c>
      <c r="L338" s="18"/>
      <c r="M338" s="51"/>
      <c r="N338" s="52"/>
      <c r="O338" s="52"/>
      <c r="P338" s="25" t="s">
        <v>1563</v>
      </c>
      <c r="Q338" s="25" t="s">
        <v>3520</v>
      </c>
      <c r="R338" s="105"/>
      <c r="S338" s="105"/>
      <c r="T338" s="22">
        <v>1</v>
      </c>
      <c r="U338" s="22">
        <v>1</v>
      </c>
      <c r="V338" s="18"/>
      <c r="W338" s="18"/>
      <c r="X338" s="22">
        <v>2</v>
      </c>
      <c r="Y338" s="18"/>
      <c r="Z338" s="22">
        <v>5</v>
      </c>
      <c r="AA338" s="22">
        <v>1</v>
      </c>
      <c r="AB338" s="2" t="s">
        <v>3198</v>
      </c>
      <c r="AC338" s="22">
        <v>6</v>
      </c>
      <c r="AD338" s="22">
        <v>2</v>
      </c>
      <c r="AE338" s="18" t="s">
        <v>221</v>
      </c>
      <c r="AF338" s="22">
        <v>99</v>
      </c>
      <c r="AG338" s="18"/>
      <c r="AH338" s="22">
        <v>99</v>
      </c>
      <c r="AI338" s="57"/>
      <c r="AJ338" s="18"/>
      <c r="AK338" s="22">
        <v>99</v>
      </c>
      <c r="AL338" s="22">
        <v>99</v>
      </c>
      <c r="AM338" s="22">
        <v>99</v>
      </c>
      <c r="AN338" s="22">
        <v>99</v>
      </c>
      <c r="AO338" s="22">
        <v>99</v>
      </c>
      <c r="AP338" s="22">
        <v>99</v>
      </c>
      <c r="AQ338" s="22" t="s">
        <v>3535</v>
      </c>
      <c r="AR338" s="2" t="s">
        <v>3536</v>
      </c>
      <c r="AS338" s="22">
        <v>99</v>
      </c>
      <c r="AT338" s="22">
        <v>6</v>
      </c>
      <c r="AU338" s="22">
        <v>3</v>
      </c>
      <c r="AV338" s="22">
        <v>3</v>
      </c>
      <c r="AW338" s="22">
        <v>4</v>
      </c>
      <c r="AX338" s="37">
        <v>4</v>
      </c>
      <c r="AY338" s="22">
        <v>4</v>
      </c>
      <c r="AZ338" s="22">
        <v>2</v>
      </c>
      <c r="BA338" s="38">
        <v>99</v>
      </c>
      <c r="BB338" s="22">
        <v>99</v>
      </c>
      <c r="BC338" s="22">
        <v>99</v>
      </c>
      <c r="BD338" s="22">
        <v>99</v>
      </c>
      <c r="BE338" s="37">
        <v>99</v>
      </c>
      <c r="BF338" s="22">
        <v>0</v>
      </c>
      <c r="BG338" s="22">
        <v>1</v>
      </c>
      <c r="BH338" s="22">
        <v>1</v>
      </c>
      <c r="BI338" s="22">
        <v>999</v>
      </c>
      <c r="BJ338" s="22">
        <v>8</v>
      </c>
    </row>
    <row r="339" spans="1:62" ht="13">
      <c r="A339" s="22" t="s">
        <v>3537</v>
      </c>
      <c r="B339" s="22"/>
      <c r="C339" s="22"/>
      <c r="D339" s="22"/>
      <c r="E339" s="22">
        <v>1</v>
      </c>
      <c r="F339" s="22">
        <v>1</v>
      </c>
      <c r="G339" s="28">
        <v>28</v>
      </c>
      <c r="H339" s="28">
        <v>1</v>
      </c>
      <c r="I339" s="30">
        <v>1960</v>
      </c>
      <c r="J339" s="34">
        <f t="shared" si="0"/>
        <v>21943</v>
      </c>
      <c r="K339" s="11" t="s">
        <v>3175</v>
      </c>
      <c r="L339" s="25" t="s">
        <v>1565</v>
      </c>
      <c r="M339" s="30">
        <v>1</v>
      </c>
      <c r="N339" s="17" t="s">
        <v>233</v>
      </c>
      <c r="O339" s="17"/>
      <c r="P339" s="25" t="s">
        <v>1566</v>
      </c>
      <c r="Q339" s="25" t="s">
        <v>1664</v>
      </c>
      <c r="R339" s="105"/>
      <c r="S339" s="105"/>
      <c r="T339" s="22">
        <v>2</v>
      </c>
      <c r="U339" s="22">
        <v>1</v>
      </c>
      <c r="V339" s="22">
        <v>99</v>
      </c>
      <c r="W339" s="22">
        <v>2</v>
      </c>
      <c r="X339" s="22">
        <v>2</v>
      </c>
      <c r="Y339" s="18"/>
      <c r="Z339" s="22">
        <v>5</v>
      </c>
      <c r="AA339" s="22">
        <v>1</v>
      </c>
      <c r="AB339" s="18" t="s">
        <v>221</v>
      </c>
      <c r="AC339" s="22">
        <v>6</v>
      </c>
      <c r="AD339" s="22">
        <v>2</v>
      </c>
      <c r="AE339" s="18" t="s">
        <v>221</v>
      </c>
      <c r="AF339" s="22">
        <v>99</v>
      </c>
      <c r="AG339" s="18"/>
      <c r="AH339" s="22">
        <v>99</v>
      </c>
      <c r="AI339" s="28">
        <v>99</v>
      </c>
      <c r="AJ339" s="18"/>
      <c r="AK339" s="22">
        <v>99</v>
      </c>
      <c r="AL339" s="22">
        <v>99</v>
      </c>
      <c r="AM339" s="22">
        <v>99</v>
      </c>
      <c r="AN339" s="22">
        <v>2</v>
      </c>
      <c r="AO339" s="22">
        <v>99</v>
      </c>
      <c r="AP339" s="22">
        <v>99</v>
      </c>
      <c r="AQ339" s="22" t="s">
        <v>1049</v>
      </c>
      <c r="AR339" s="18" t="s">
        <v>221</v>
      </c>
      <c r="AS339" s="22">
        <v>99</v>
      </c>
      <c r="AT339" s="22">
        <v>99</v>
      </c>
      <c r="AU339" s="22">
        <v>3</v>
      </c>
      <c r="AV339" s="22">
        <v>3</v>
      </c>
      <c r="AW339" s="22">
        <v>4</v>
      </c>
      <c r="AX339" s="37">
        <v>4</v>
      </c>
      <c r="AY339" s="22">
        <v>4</v>
      </c>
      <c r="AZ339" s="22">
        <v>2</v>
      </c>
      <c r="BA339" s="38">
        <v>99</v>
      </c>
      <c r="BB339" s="22">
        <v>99</v>
      </c>
      <c r="BC339" s="22">
        <v>99</v>
      </c>
      <c r="BD339" s="22">
        <v>99</v>
      </c>
      <c r="BE339" s="37">
        <v>99</v>
      </c>
      <c r="BF339" s="22">
        <v>0</v>
      </c>
      <c r="BG339" s="22">
        <v>0</v>
      </c>
      <c r="BH339" s="22">
        <v>0</v>
      </c>
      <c r="BI339" s="22">
        <v>12</v>
      </c>
      <c r="BJ339" s="22">
        <v>3</v>
      </c>
    </row>
    <row r="340" spans="1:62" ht="13">
      <c r="A340" s="22" t="s">
        <v>3538</v>
      </c>
      <c r="B340" s="22"/>
      <c r="C340" s="22"/>
      <c r="D340" s="22"/>
      <c r="E340" s="22">
        <v>1</v>
      </c>
      <c r="F340" s="22">
        <v>1</v>
      </c>
      <c r="G340" s="28">
        <v>1</v>
      </c>
      <c r="H340" s="28">
        <v>3</v>
      </c>
      <c r="I340" s="30">
        <v>1960</v>
      </c>
      <c r="J340" s="34">
        <f t="shared" si="0"/>
        <v>21976</v>
      </c>
      <c r="K340" s="39" t="s">
        <v>614</v>
      </c>
      <c r="L340" s="25" t="s">
        <v>1568</v>
      </c>
      <c r="M340" s="30">
        <v>1</v>
      </c>
      <c r="N340" s="17" t="s">
        <v>233</v>
      </c>
      <c r="O340" s="17"/>
      <c r="P340" s="25" t="s">
        <v>1569</v>
      </c>
      <c r="Q340" s="25" t="s">
        <v>1665</v>
      </c>
      <c r="R340" s="25">
        <v>40.102572000000002</v>
      </c>
      <c r="S340" s="25">
        <v>27.658373000000001</v>
      </c>
      <c r="T340" s="22">
        <v>2</v>
      </c>
      <c r="U340" s="22">
        <v>1</v>
      </c>
      <c r="V340" s="22">
        <v>99</v>
      </c>
      <c r="W340" s="22">
        <v>1</v>
      </c>
      <c r="X340" s="22">
        <v>2</v>
      </c>
      <c r="Y340" s="18"/>
      <c r="Z340" s="22">
        <v>5</v>
      </c>
      <c r="AA340" s="22">
        <v>2</v>
      </c>
      <c r="AB340" s="18" t="s">
        <v>221</v>
      </c>
      <c r="AC340" s="22">
        <v>6</v>
      </c>
      <c r="AD340" s="22">
        <v>2</v>
      </c>
      <c r="AE340" s="18" t="s">
        <v>221</v>
      </c>
      <c r="AF340" s="22">
        <v>99</v>
      </c>
      <c r="AG340" s="18"/>
      <c r="AH340" s="22">
        <v>99</v>
      </c>
      <c r="AI340" s="28">
        <v>99</v>
      </c>
      <c r="AJ340" s="18"/>
      <c r="AK340" s="22">
        <v>99</v>
      </c>
      <c r="AL340" s="22">
        <v>99</v>
      </c>
      <c r="AM340" s="22">
        <v>99</v>
      </c>
      <c r="AN340" s="22">
        <v>2</v>
      </c>
      <c r="AO340" s="22">
        <v>99</v>
      </c>
      <c r="AP340" s="22">
        <v>99</v>
      </c>
      <c r="AQ340" s="22" t="s">
        <v>3539</v>
      </c>
      <c r="AR340" s="18" t="s">
        <v>221</v>
      </c>
      <c r="AS340" s="22">
        <v>99</v>
      </c>
      <c r="AT340" s="22">
        <v>2</v>
      </c>
      <c r="AU340" s="22">
        <v>3</v>
      </c>
      <c r="AV340" s="22">
        <v>3</v>
      </c>
      <c r="AW340" s="22">
        <v>4</v>
      </c>
      <c r="AX340" s="37">
        <v>4</v>
      </c>
      <c r="AY340" s="22">
        <v>4</v>
      </c>
      <c r="AZ340" s="22">
        <v>2</v>
      </c>
      <c r="BA340" s="38">
        <v>99</v>
      </c>
      <c r="BB340" s="22">
        <v>99</v>
      </c>
      <c r="BC340" s="22">
        <v>99</v>
      </c>
      <c r="BD340" s="22">
        <v>99</v>
      </c>
      <c r="BE340" s="37">
        <v>99</v>
      </c>
      <c r="BF340" s="22">
        <v>1</v>
      </c>
      <c r="BG340" s="22">
        <v>0</v>
      </c>
      <c r="BH340" s="22">
        <v>1</v>
      </c>
      <c r="BI340" s="22">
        <v>999</v>
      </c>
      <c r="BJ340" s="22">
        <v>8</v>
      </c>
    </row>
    <row r="341" spans="1:62" ht="13">
      <c r="A341" s="22" t="s">
        <v>3540</v>
      </c>
      <c r="B341" s="22"/>
      <c r="C341" s="22"/>
      <c r="D341" s="22"/>
      <c r="E341" s="22">
        <v>2</v>
      </c>
      <c r="F341" s="22">
        <v>1</v>
      </c>
      <c r="G341" s="28">
        <v>12</v>
      </c>
      <c r="H341" s="28">
        <v>4</v>
      </c>
      <c r="I341" s="30">
        <v>1960</v>
      </c>
      <c r="J341" s="34">
        <f t="shared" si="0"/>
        <v>22018</v>
      </c>
      <c r="K341" s="39" t="s">
        <v>328</v>
      </c>
      <c r="L341" s="25" t="s">
        <v>1570</v>
      </c>
      <c r="M341" s="30">
        <v>1</v>
      </c>
      <c r="N341" s="17" t="s">
        <v>233</v>
      </c>
      <c r="O341" s="17"/>
      <c r="P341" s="25" t="s">
        <v>1571</v>
      </c>
      <c r="Q341" s="25" t="s">
        <v>1667</v>
      </c>
      <c r="R341" s="25">
        <v>32.063929000000002</v>
      </c>
      <c r="S341" s="25">
        <v>34.805097000000004</v>
      </c>
      <c r="T341" s="22">
        <v>2</v>
      </c>
      <c r="U341" s="22">
        <v>1</v>
      </c>
      <c r="V341" s="22">
        <v>99</v>
      </c>
      <c r="W341" s="22">
        <v>2</v>
      </c>
      <c r="X341" s="22">
        <v>2</v>
      </c>
      <c r="Y341" s="18"/>
      <c r="Z341" s="22">
        <v>5</v>
      </c>
      <c r="AA341" s="22">
        <v>1</v>
      </c>
      <c r="AB341" s="22" t="s">
        <v>3541</v>
      </c>
      <c r="AC341" s="22">
        <v>1</v>
      </c>
      <c r="AD341" s="22">
        <v>1</v>
      </c>
      <c r="AE341" s="18" t="s">
        <v>221</v>
      </c>
      <c r="AF341" s="22">
        <v>1</v>
      </c>
      <c r="AG341" s="18"/>
      <c r="AH341" s="22">
        <v>99</v>
      </c>
      <c r="AI341" s="28">
        <v>99</v>
      </c>
      <c r="AJ341" s="18"/>
      <c r="AK341" s="22">
        <v>99</v>
      </c>
      <c r="AL341" s="22">
        <v>99</v>
      </c>
      <c r="AM341" s="22">
        <v>99</v>
      </c>
      <c r="AN341" s="22">
        <v>2</v>
      </c>
      <c r="AO341" s="22">
        <v>99</v>
      </c>
      <c r="AP341" s="22">
        <v>99</v>
      </c>
      <c r="AQ341" s="22" t="s">
        <v>3542</v>
      </c>
      <c r="AR341" s="2" t="s">
        <v>996</v>
      </c>
      <c r="AS341" s="22">
        <v>99</v>
      </c>
      <c r="AT341" s="22">
        <v>2</v>
      </c>
      <c r="AU341" s="22">
        <v>3</v>
      </c>
      <c r="AV341" s="22">
        <v>3</v>
      </c>
      <c r="AW341" s="22">
        <v>4</v>
      </c>
      <c r="AX341" s="37">
        <v>4</v>
      </c>
      <c r="AY341" s="22">
        <v>4</v>
      </c>
      <c r="AZ341" s="22">
        <v>1</v>
      </c>
      <c r="BA341" s="38">
        <v>8</v>
      </c>
      <c r="BB341" s="22">
        <v>2</v>
      </c>
      <c r="BC341" s="22">
        <v>99</v>
      </c>
      <c r="BD341" s="22">
        <v>99</v>
      </c>
      <c r="BE341" s="37">
        <v>99</v>
      </c>
      <c r="BF341" s="22">
        <v>4</v>
      </c>
      <c r="BG341" s="22">
        <v>0</v>
      </c>
      <c r="BH341" s="22">
        <v>4</v>
      </c>
      <c r="BI341" s="22">
        <v>3</v>
      </c>
      <c r="BJ341" s="22">
        <v>8</v>
      </c>
    </row>
    <row r="342" spans="1:62" ht="13">
      <c r="A342" s="22" t="s">
        <v>3543</v>
      </c>
      <c r="B342" s="22"/>
      <c r="C342" s="22"/>
      <c r="D342" s="22"/>
      <c r="E342" s="22">
        <v>2</v>
      </c>
      <c r="F342" s="22">
        <v>1</v>
      </c>
      <c r="G342" s="28">
        <v>11</v>
      </c>
      <c r="H342" s="28">
        <v>6</v>
      </c>
      <c r="I342" s="30">
        <v>1960</v>
      </c>
      <c r="J342" s="34">
        <f t="shared" si="0"/>
        <v>22078</v>
      </c>
      <c r="K342" s="11" t="s">
        <v>3544</v>
      </c>
      <c r="L342" s="25" t="s">
        <v>1572</v>
      </c>
      <c r="M342" s="30">
        <v>1</v>
      </c>
      <c r="N342" s="17" t="s">
        <v>233</v>
      </c>
      <c r="O342" s="17"/>
      <c r="P342" s="25" t="s">
        <v>716</v>
      </c>
      <c r="Q342" s="25" t="s">
        <v>803</v>
      </c>
      <c r="R342" s="25">
        <v>-27.986423200000001</v>
      </c>
      <c r="S342" s="25">
        <v>153.38071859999999</v>
      </c>
      <c r="T342" s="22">
        <v>2</v>
      </c>
      <c r="U342" s="22">
        <v>1</v>
      </c>
      <c r="V342" s="22">
        <v>99</v>
      </c>
      <c r="W342" s="22">
        <v>2</v>
      </c>
      <c r="X342" s="22">
        <v>2</v>
      </c>
      <c r="Y342" s="18"/>
      <c r="Z342" s="18"/>
      <c r="AA342" s="18"/>
      <c r="AB342" s="18" t="s">
        <v>221</v>
      </c>
      <c r="AC342" s="18"/>
      <c r="AD342" s="18"/>
      <c r="AE342" s="18" t="s">
        <v>221</v>
      </c>
      <c r="AF342" s="22">
        <v>1</v>
      </c>
      <c r="AG342" s="18"/>
      <c r="AH342" s="22">
        <v>99</v>
      </c>
      <c r="AI342" s="28">
        <v>99</v>
      </c>
      <c r="AJ342" s="18"/>
      <c r="AK342" s="22">
        <v>99</v>
      </c>
      <c r="AL342" s="22">
        <v>99</v>
      </c>
      <c r="AM342" s="22">
        <v>99</v>
      </c>
      <c r="AN342" s="22">
        <v>2</v>
      </c>
      <c r="AO342" s="22">
        <v>99</v>
      </c>
      <c r="AP342" s="22">
        <v>99</v>
      </c>
      <c r="AQ342" s="22" t="s">
        <v>3545</v>
      </c>
      <c r="AR342" s="2" t="s">
        <v>996</v>
      </c>
      <c r="AS342" s="22">
        <v>99</v>
      </c>
      <c r="AT342" s="22">
        <v>2</v>
      </c>
      <c r="AU342" s="18"/>
      <c r="AV342" s="18"/>
      <c r="AW342" s="18"/>
      <c r="AX342" s="89"/>
      <c r="AY342" s="18"/>
      <c r="AZ342" s="18"/>
      <c r="BA342" s="88"/>
      <c r="BB342" s="18"/>
      <c r="BC342" s="18"/>
      <c r="BD342" s="18"/>
      <c r="BE342" s="89"/>
      <c r="BF342" s="22">
        <v>4</v>
      </c>
      <c r="BG342" s="22">
        <v>0</v>
      </c>
      <c r="BH342" s="22">
        <v>4</v>
      </c>
      <c r="BI342" s="22">
        <v>999</v>
      </c>
      <c r="BJ342" s="22">
        <v>12</v>
      </c>
    </row>
    <row r="343" spans="1:62" ht="13">
      <c r="A343" s="22" t="s">
        <v>3546</v>
      </c>
      <c r="B343" s="22"/>
      <c r="C343" s="22"/>
      <c r="D343" s="22"/>
      <c r="E343" s="22">
        <v>1</v>
      </c>
      <c r="F343" s="22">
        <v>1</v>
      </c>
      <c r="G343" s="28">
        <v>19</v>
      </c>
      <c r="H343" s="28">
        <v>6</v>
      </c>
      <c r="I343" s="30">
        <v>1960</v>
      </c>
      <c r="J343" s="34">
        <f t="shared" si="0"/>
        <v>22086</v>
      </c>
      <c r="K343" s="39" t="s">
        <v>328</v>
      </c>
      <c r="L343" s="25" t="s">
        <v>1573</v>
      </c>
      <c r="M343" s="30">
        <v>1</v>
      </c>
      <c r="N343" s="17" t="s">
        <v>233</v>
      </c>
      <c r="O343" s="17"/>
      <c r="P343" s="25" t="s">
        <v>1575</v>
      </c>
      <c r="Q343" s="25" t="s">
        <v>1669</v>
      </c>
      <c r="R343" s="105"/>
      <c r="S343" s="105"/>
      <c r="T343" s="22">
        <v>2</v>
      </c>
      <c r="U343" s="22">
        <v>1</v>
      </c>
      <c r="V343" s="22">
        <v>99</v>
      </c>
      <c r="W343" s="22">
        <v>2</v>
      </c>
      <c r="X343" s="22">
        <v>2</v>
      </c>
      <c r="Y343" s="18"/>
      <c r="Z343" s="18"/>
      <c r="AA343" s="18"/>
      <c r="AB343" s="18" t="s">
        <v>221</v>
      </c>
      <c r="AC343" s="18"/>
      <c r="AD343" s="18"/>
      <c r="AE343" s="18" t="s">
        <v>221</v>
      </c>
      <c r="AF343" s="22">
        <v>1</v>
      </c>
      <c r="AG343" s="18"/>
      <c r="AH343" s="22">
        <v>99</v>
      </c>
      <c r="AI343" s="28">
        <v>99</v>
      </c>
      <c r="AJ343" s="18"/>
      <c r="AK343" s="22">
        <v>99</v>
      </c>
      <c r="AL343" s="22">
        <v>99</v>
      </c>
      <c r="AM343" s="22">
        <v>99</v>
      </c>
      <c r="AN343" s="22">
        <v>2</v>
      </c>
      <c r="AO343" s="22">
        <v>99</v>
      </c>
      <c r="AP343" s="22">
        <v>99</v>
      </c>
      <c r="AQ343" s="22" t="s">
        <v>3547</v>
      </c>
      <c r="AR343" s="2" t="s">
        <v>996</v>
      </c>
      <c r="AS343" s="22">
        <v>99</v>
      </c>
      <c r="AT343" s="22">
        <v>2</v>
      </c>
      <c r="AU343" s="18"/>
      <c r="AV343" s="18"/>
      <c r="AW343" s="18"/>
      <c r="AX343" s="89"/>
      <c r="AY343" s="18"/>
      <c r="AZ343" s="18"/>
      <c r="BA343" s="88"/>
      <c r="BB343" s="18"/>
      <c r="BC343" s="18"/>
      <c r="BD343" s="18"/>
      <c r="BE343" s="89"/>
      <c r="BF343" s="22">
        <v>999</v>
      </c>
      <c r="BG343" s="22">
        <v>999</v>
      </c>
      <c r="BH343" s="22">
        <v>999</v>
      </c>
      <c r="BI343" s="22">
        <v>999</v>
      </c>
      <c r="BJ343" s="22">
        <v>99</v>
      </c>
    </row>
    <row r="344" spans="1:62" ht="13">
      <c r="A344" s="22" t="s">
        <v>3548</v>
      </c>
      <c r="B344" s="22"/>
      <c r="C344" s="22"/>
      <c r="D344" s="22"/>
      <c r="E344" s="22">
        <v>1</v>
      </c>
      <c r="F344" s="22">
        <v>1</v>
      </c>
      <c r="G344" s="28">
        <v>10</v>
      </c>
      <c r="H344" s="28">
        <v>7</v>
      </c>
      <c r="I344" s="30">
        <v>1960</v>
      </c>
      <c r="J344" s="34">
        <f t="shared" si="0"/>
        <v>22107</v>
      </c>
      <c r="K344" s="39" t="s">
        <v>830</v>
      </c>
      <c r="L344" s="25" t="s">
        <v>1576</v>
      </c>
      <c r="M344" s="30">
        <v>5</v>
      </c>
      <c r="N344" s="17" t="s">
        <v>32</v>
      </c>
      <c r="O344" s="17"/>
      <c r="P344" s="25" t="s">
        <v>1577</v>
      </c>
      <c r="Q344" s="25" t="s">
        <v>1670</v>
      </c>
      <c r="R344" s="25">
        <v>32.610492999999998</v>
      </c>
      <c r="S344" s="25">
        <v>35.287922000000002</v>
      </c>
      <c r="T344" s="22">
        <v>2</v>
      </c>
      <c r="U344" s="22">
        <v>2</v>
      </c>
      <c r="V344" s="22">
        <v>1</v>
      </c>
      <c r="W344" s="22">
        <v>3</v>
      </c>
      <c r="X344" s="22">
        <v>2</v>
      </c>
      <c r="Y344" s="18"/>
      <c r="Z344" s="18"/>
      <c r="AA344" s="18"/>
      <c r="AB344" s="18" t="s">
        <v>221</v>
      </c>
      <c r="AC344" s="18"/>
      <c r="AD344" s="18"/>
      <c r="AE344" s="18" t="s">
        <v>221</v>
      </c>
      <c r="AF344" s="18"/>
      <c r="AG344" s="18"/>
      <c r="AH344" s="18"/>
      <c r="AI344" s="57"/>
      <c r="AJ344" s="18"/>
      <c r="AK344" s="18"/>
      <c r="AL344" s="18"/>
      <c r="AM344" s="18"/>
      <c r="AN344" s="18"/>
      <c r="AO344" s="18"/>
      <c r="AP344" s="18"/>
      <c r="AQ344" s="22" t="s">
        <v>3549</v>
      </c>
      <c r="AR344" s="2" t="s">
        <v>996</v>
      </c>
      <c r="AS344" s="22">
        <v>99</v>
      </c>
      <c r="AT344" s="22">
        <v>2</v>
      </c>
      <c r="AU344" s="18"/>
      <c r="AV344" s="18"/>
      <c r="AW344" s="18"/>
      <c r="AX344" s="89"/>
      <c r="AY344" s="18"/>
      <c r="AZ344" s="18"/>
      <c r="BA344" s="88"/>
      <c r="BB344" s="18"/>
      <c r="BC344" s="18"/>
      <c r="BD344" s="18"/>
      <c r="BE344" s="89"/>
      <c r="BF344" s="22">
        <v>999</v>
      </c>
      <c r="BG344" s="22">
        <v>999</v>
      </c>
      <c r="BH344" s="22">
        <v>999</v>
      </c>
      <c r="BI344" s="22">
        <v>999</v>
      </c>
      <c r="BJ344" s="22">
        <v>99</v>
      </c>
    </row>
    <row r="345" spans="1:62" ht="13">
      <c r="A345" s="22" t="s">
        <v>3550</v>
      </c>
      <c r="B345" s="22"/>
      <c r="C345" s="22"/>
      <c r="D345" s="22"/>
      <c r="E345" s="22">
        <v>2</v>
      </c>
      <c r="F345" s="22">
        <v>1</v>
      </c>
      <c r="G345" s="28">
        <v>11</v>
      </c>
      <c r="H345" s="28">
        <v>7</v>
      </c>
      <c r="I345" s="30">
        <v>1960</v>
      </c>
      <c r="J345" s="34">
        <f t="shared" si="0"/>
        <v>22108</v>
      </c>
      <c r="K345" s="11" t="s">
        <v>3062</v>
      </c>
      <c r="L345" s="25" t="s">
        <v>1578</v>
      </c>
      <c r="M345" s="30">
        <v>1</v>
      </c>
      <c r="N345" s="17" t="s">
        <v>233</v>
      </c>
      <c r="O345" s="17"/>
      <c r="P345" s="25" t="s">
        <v>1579</v>
      </c>
      <c r="Q345" s="25" t="s">
        <v>1671</v>
      </c>
      <c r="R345" s="105"/>
      <c r="S345" s="105"/>
      <c r="T345" s="22">
        <v>2</v>
      </c>
      <c r="U345" s="22">
        <v>2</v>
      </c>
      <c r="V345" s="22">
        <v>99</v>
      </c>
      <c r="W345" s="22">
        <v>3</v>
      </c>
      <c r="X345" s="22">
        <v>2</v>
      </c>
      <c r="Y345" s="18"/>
      <c r="Z345" s="22">
        <v>3</v>
      </c>
      <c r="AA345" s="22">
        <v>1</v>
      </c>
      <c r="AB345" s="2" t="s">
        <v>2908</v>
      </c>
      <c r="AC345" s="22">
        <v>6</v>
      </c>
      <c r="AD345" s="22">
        <v>2</v>
      </c>
      <c r="AE345" s="18" t="s">
        <v>221</v>
      </c>
      <c r="AF345" s="22">
        <v>99</v>
      </c>
      <c r="AG345" s="18"/>
      <c r="AH345" s="22">
        <v>99</v>
      </c>
      <c r="AI345" s="28">
        <v>99</v>
      </c>
      <c r="AJ345" s="18"/>
      <c r="AK345" s="22">
        <v>99</v>
      </c>
      <c r="AL345" s="22">
        <v>99</v>
      </c>
      <c r="AM345" s="22">
        <v>99</v>
      </c>
      <c r="AN345" s="22">
        <v>2</v>
      </c>
      <c r="AO345" s="22">
        <v>99</v>
      </c>
      <c r="AP345" s="22">
        <v>99</v>
      </c>
      <c r="AQ345" s="22" t="s">
        <v>1049</v>
      </c>
      <c r="AR345" s="18" t="s">
        <v>221</v>
      </c>
      <c r="AS345" s="22">
        <v>99</v>
      </c>
      <c r="AT345" s="22">
        <v>99</v>
      </c>
      <c r="AU345" s="22">
        <v>3</v>
      </c>
      <c r="AV345" s="22">
        <v>3</v>
      </c>
      <c r="AW345" s="22">
        <v>4</v>
      </c>
      <c r="AX345" s="37">
        <v>4</v>
      </c>
      <c r="AY345" s="22">
        <v>4</v>
      </c>
      <c r="AZ345" s="22">
        <v>1</v>
      </c>
      <c r="BA345" s="38">
        <v>9</v>
      </c>
      <c r="BB345" s="22">
        <v>2</v>
      </c>
      <c r="BC345" s="22">
        <v>99</v>
      </c>
      <c r="BD345" s="22">
        <v>99</v>
      </c>
      <c r="BE345" s="37">
        <v>99</v>
      </c>
      <c r="BF345" s="22">
        <v>0</v>
      </c>
      <c r="BG345" s="22">
        <v>0</v>
      </c>
      <c r="BH345" s="22">
        <v>0</v>
      </c>
      <c r="BI345" s="22">
        <v>999</v>
      </c>
      <c r="BJ345" s="22">
        <v>9</v>
      </c>
    </row>
    <row r="346" spans="1:62" ht="13">
      <c r="A346" s="22" t="s">
        <v>3551</v>
      </c>
      <c r="B346" s="22"/>
      <c r="C346" s="22"/>
      <c r="D346" s="22"/>
      <c r="E346" s="22">
        <v>2</v>
      </c>
      <c r="F346" s="22">
        <v>1</v>
      </c>
      <c r="G346" s="28">
        <v>25</v>
      </c>
      <c r="H346" s="28">
        <v>10</v>
      </c>
      <c r="I346" s="30">
        <v>1960</v>
      </c>
      <c r="J346" s="34">
        <f t="shared" si="0"/>
        <v>22214</v>
      </c>
      <c r="K346" s="11" t="s">
        <v>3552</v>
      </c>
      <c r="L346" s="25" t="s">
        <v>1581</v>
      </c>
      <c r="M346" s="30">
        <v>1</v>
      </c>
      <c r="N346" s="17" t="s">
        <v>233</v>
      </c>
      <c r="O346" s="17"/>
      <c r="P346" s="25" t="s">
        <v>1582</v>
      </c>
      <c r="Q346" s="25" t="s">
        <v>1672</v>
      </c>
      <c r="R346" s="25">
        <v>31.7460743</v>
      </c>
      <c r="S346" s="25">
        <v>35.2005014</v>
      </c>
      <c r="T346" s="22">
        <v>2</v>
      </c>
      <c r="U346" s="22">
        <v>1</v>
      </c>
      <c r="V346" s="22">
        <v>99</v>
      </c>
      <c r="W346" s="22">
        <v>2</v>
      </c>
      <c r="X346" s="22">
        <v>2</v>
      </c>
      <c r="Y346" s="18"/>
      <c r="Z346" s="22">
        <v>3</v>
      </c>
      <c r="AA346" s="22">
        <v>2</v>
      </c>
      <c r="AB346" s="18" t="s">
        <v>221</v>
      </c>
      <c r="AC346" s="22">
        <v>6</v>
      </c>
      <c r="AD346" s="22">
        <v>2</v>
      </c>
      <c r="AE346" s="18" t="s">
        <v>221</v>
      </c>
      <c r="AF346" s="22">
        <v>99</v>
      </c>
      <c r="AG346" s="18"/>
      <c r="AH346" s="22">
        <v>99</v>
      </c>
      <c r="AI346" s="28">
        <v>99</v>
      </c>
      <c r="AJ346" s="18"/>
      <c r="AK346" s="22">
        <v>99</v>
      </c>
      <c r="AL346" s="22">
        <v>99</v>
      </c>
      <c r="AM346" s="22">
        <v>99</v>
      </c>
      <c r="AN346" s="22">
        <v>2</v>
      </c>
      <c r="AO346" s="22">
        <v>99</v>
      </c>
      <c r="AP346" s="22">
        <v>2</v>
      </c>
      <c r="AQ346" s="22" t="s">
        <v>3553</v>
      </c>
      <c r="AR346" s="2" t="s">
        <v>3554</v>
      </c>
      <c r="AS346" s="22">
        <v>18</v>
      </c>
      <c r="AT346" s="22">
        <v>6</v>
      </c>
      <c r="AU346" s="22">
        <v>3</v>
      </c>
      <c r="AV346" s="22">
        <v>3</v>
      </c>
      <c r="AW346" s="22">
        <v>4</v>
      </c>
      <c r="AX346" s="37">
        <v>4</v>
      </c>
      <c r="AY346" s="22">
        <v>4</v>
      </c>
      <c r="AZ346" s="22">
        <v>2</v>
      </c>
      <c r="BA346" s="38">
        <v>99</v>
      </c>
      <c r="BB346" s="22">
        <v>99</v>
      </c>
      <c r="BC346" s="22">
        <v>99</v>
      </c>
      <c r="BD346" s="22">
        <v>99</v>
      </c>
      <c r="BE346" s="37">
        <v>99</v>
      </c>
      <c r="BF346" s="22">
        <v>0</v>
      </c>
      <c r="BG346" s="22">
        <v>1</v>
      </c>
      <c r="BH346" s="22">
        <v>1</v>
      </c>
      <c r="BI346" s="22">
        <v>999</v>
      </c>
      <c r="BJ346" s="22">
        <v>8</v>
      </c>
    </row>
    <row r="347" spans="1:62" ht="13">
      <c r="A347" s="22" t="s">
        <v>3555</v>
      </c>
      <c r="B347" s="22"/>
      <c r="C347" s="22"/>
      <c r="D347" s="22"/>
      <c r="E347" s="22">
        <v>2</v>
      </c>
      <c r="F347" s="22">
        <v>1</v>
      </c>
      <c r="G347" s="28">
        <v>23</v>
      </c>
      <c r="H347" s="28">
        <v>11</v>
      </c>
      <c r="I347" s="30">
        <v>1960</v>
      </c>
      <c r="J347" s="34">
        <f t="shared" si="0"/>
        <v>22243</v>
      </c>
      <c r="K347" s="39" t="s">
        <v>965</v>
      </c>
      <c r="L347" s="25" t="s">
        <v>1585</v>
      </c>
      <c r="M347" s="30">
        <v>1</v>
      </c>
      <c r="N347" s="17" t="s">
        <v>233</v>
      </c>
      <c r="O347" s="17"/>
      <c r="P347" s="25" t="s">
        <v>1586</v>
      </c>
      <c r="Q347" s="25" t="s">
        <v>1674</v>
      </c>
      <c r="R347" s="25">
        <v>42.450273299999999</v>
      </c>
      <c r="S347" s="25">
        <v>-87.844915099999994</v>
      </c>
      <c r="T347" s="22">
        <v>2</v>
      </c>
      <c r="U347" s="22">
        <v>1</v>
      </c>
      <c r="V347" s="22">
        <v>99</v>
      </c>
      <c r="W347" s="22">
        <v>1</v>
      </c>
      <c r="X347" s="22">
        <v>1</v>
      </c>
      <c r="Y347" s="18"/>
      <c r="Z347" s="22">
        <v>5</v>
      </c>
      <c r="AA347" s="22">
        <v>2</v>
      </c>
      <c r="AB347" s="18" t="s">
        <v>221</v>
      </c>
      <c r="AC347" s="22">
        <v>99</v>
      </c>
      <c r="AD347" s="22">
        <v>2</v>
      </c>
      <c r="AE347" s="18" t="s">
        <v>221</v>
      </c>
      <c r="AF347" s="22">
        <v>99</v>
      </c>
      <c r="AG347" s="18"/>
      <c r="AH347" s="22">
        <v>99</v>
      </c>
      <c r="AI347" s="28">
        <v>99</v>
      </c>
      <c r="AJ347" s="18"/>
      <c r="AK347" s="22">
        <v>99</v>
      </c>
      <c r="AL347" s="22">
        <v>99</v>
      </c>
      <c r="AM347" s="22">
        <v>99</v>
      </c>
      <c r="AN347" s="22">
        <v>2</v>
      </c>
      <c r="AO347" s="22">
        <v>99</v>
      </c>
      <c r="AP347" s="22">
        <v>99</v>
      </c>
      <c r="AQ347" s="22" t="s">
        <v>3556</v>
      </c>
      <c r="AR347" s="2" t="s">
        <v>3557</v>
      </c>
      <c r="AS347" s="22">
        <v>5</v>
      </c>
      <c r="AT347" s="22">
        <v>6</v>
      </c>
      <c r="AU347" s="22">
        <v>3</v>
      </c>
      <c r="AV347" s="22">
        <v>3</v>
      </c>
      <c r="AW347" s="22">
        <v>4</v>
      </c>
      <c r="AX347" s="37">
        <v>4</v>
      </c>
      <c r="AY347" s="22">
        <v>4</v>
      </c>
      <c r="AZ347" s="22">
        <v>2</v>
      </c>
      <c r="BA347" s="38">
        <v>99</v>
      </c>
      <c r="BB347" s="22">
        <v>99</v>
      </c>
      <c r="BC347" s="22">
        <v>99</v>
      </c>
      <c r="BD347" s="22">
        <v>99</v>
      </c>
      <c r="BE347" s="37">
        <v>99</v>
      </c>
      <c r="BF347" s="22">
        <v>0</v>
      </c>
      <c r="BG347" s="22">
        <v>1</v>
      </c>
      <c r="BH347" s="22">
        <v>1</v>
      </c>
      <c r="BI347" s="22">
        <v>999</v>
      </c>
      <c r="BJ347" s="22">
        <v>7</v>
      </c>
    </row>
    <row r="348" spans="1:62" ht="13">
      <c r="A348" s="22" t="s">
        <v>3558</v>
      </c>
      <c r="B348" s="22"/>
      <c r="C348" s="22"/>
      <c r="D348" s="22"/>
      <c r="E348" s="22">
        <v>2</v>
      </c>
      <c r="F348" s="22">
        <v>1</v>
      </c>
      <c r="G348" s="28">
        <v>29</v>
      </c>
      <c r="H348" s="28">
        <v>11</v>
      </c>
      <c r="I348" s="30">
        <v>1960</v>
      </c>
      <c r="J348" s="34">
        <f t="shared" si="0"/>
        <v>22249</v>
      </c>
      <c r="K348" s="11" t="s">
        <v>993</v>
      </c>
      <c r="L348" s="25" t="s">
        <v>1587</v>
      </c>
      <c r="M348" s="30">
        <v>1</v>
      </c>
      <c r="N348" s="17" t="s">
        <v>233</v>
      </c>
      <c r="O348" s="17"/>
      <c r="P348" s="25" t="s">
        <v>1589</v>
      </c>
      <c r="Q348" s="25" t="s">
        <v>1676</v>
      </c>
      <c r="R348" s="25">
        <v>32.467590600000001</v>
      </c>
      <c r="S348" s="25">
        <v>34.964669700000002</v>
      </c>
      <c r="T348" s="22">
        <v>2</v>
      </c>
      <c r="U348" s="22">
        <v>1</v>
      </c>
      <c r="V348" s="22">
        <v>99</v>
      </c>
      <c r="W348" s="22">
        <v>3</v>
      </c>
      <c r="X348" s="22">
        <v>2</v>
      </c>
      <c r="Y348" s="18"/>
      <c r="Z348" s="22">
        <v>5</v>
      </c>
      <c r="AA348" s="22">
        <v>1</v>
      </c>
      <c r="AB348" s="18" t="s">
        <v>221</v>
      </c>
      <c r="AC348" s="22">
        <v>6</v>
      </c>
      <c r="AD348" s="22">
        <v>2</v>
      </c>
      <c r="AE348" s="18" t="s">
        <v>221</v>
      </c>
      <c r="AF348" s="22">
        <v>99</v>
      </c>
      <c r="AG348" s="18"/>
      <c r="AH348" s="22">
        <v>99</v>
      </c>
      <c r="AI348" s="28">
        <v>99</v>
      </c>
      <c r="AJ348" s="18"/>
      <c r="AK348" s="22">
        <v>99</v>
      </c>
      <c r="AL348" s="22">
        <v>99</v>
      </c>
      <c r="AM348" s="22">
        <v>99</v>
      </c>
      <c r="AN348" s="22">
        <v>2</v>
      </c>
      <c r="AO348" s="22">
        <v>99</v>
      </c>
      <c r="AP348" s="22">
        <v>99</v>
      </c>
      <c r="AQ348" s="22" t="s">
        <v>3559</v>
      </c>
      <c r="AR348" s="2" t="s">
        <v>921</v>
      </c>
      <c r="AS348" s="22">
        <v>1</v>
      </c>
      <c r="AT348" s="22">
        <v>3</v>
      </c>
      <c r="AU348" s="22">
        <v>3</v>
      </c>
      <c r="AV348" s="22">
        <v>3</v>
      </c>
      <c r="AW348" s="22">
        <v>4</v>
      </c>
      <c r="AX348" s="37">
        <v>4</v>
      </c>
      <c r="AY348" s="22">
        <v>4</v>
      </c>
      <c r="AZ348" s="22">
        <v>1</v>
      </c>
      <c r="BA348" s="38">
        <v>9</v>
      </c>
      <c r="BB348" s="22">
        <v>2</v>
      </c>
      <c r="BC348" s="22">
        <v>99</v>
      </c>
      <c r="BD348" s="22">
        <v>99</v>
      </c>
      <c r="BE348" s="37">
        <v>99</v>
      </c>
      <c r="BF348" s="22">
        <v>1</v>
      </c>
      <c r="BG348" s="22">
        <v>0</v>
      </c>
      <c r="BH348" s="22">
        <v>1</v>
      </c>
      <c r="BI348" s="22">
        <v>999</v>
      </c>
      <c r="BJ348" s="22">
        <v>9</v>
      </c>
    </row>
    <row r="349" spans="1:62" ht="13">
      <c r="A349" s="22" t="s">
        <v>3560</v>
      </c>
      <c r="B349" s="22"/>
      <c r="C349" s="22"/>
      <c r="D349" s="22"/>
      <c r="E349" s="22">
        <v>1</v>
      </c>
      <c r="F349" s="22">
        <v>1</v>
      </c>
      <c r="G349" s="28">
        <v>3</v>
      </c>
      <c r="H349" s="28">
        <v>12</v>
      </c>
      <c r="I349" s="30">
        <v>1960</v>
      </c>
      <c r="J349" s="34">
        <f t="shared" si="0"/>
        <v>22253</v>
      </c>
      <c r="K349" s="39" t="s">
        <v>830</v>
      </c>
      <c r="L349" s="25" t="s">
        <v>1590</v>
      </c>
      <c r="M349" s="30">
        <v>5</v>
      </c>
      <c r="N349" s="17" t="s">
        <v>32</v>
      </c>
      <c r="O349" s="17"/>
      <c r="P349" s="25" t="s">
        <v>1591</v>
      </c>
      <c r="Q349" s="25" t="s">
        <v>1677</v>
      </c>
      <c r="R349" s="25">
        <v>32.327387999999999</v>
      </c>
      <c r="S349" s="25">
        <v>34.860796999999998</v>
      </c>
      <c r="T349" s="22">
        <v>1</v>
      </c>
      <c r="U349" s="22">
        <v>1</v>
      </c>
      <c r="V349" s="22">
        <v>1</v>
      </c>
      <c r="W349" s="22">
        <v>3</v>
      </c>
      <c r="X349" s="22">
        <v>2</v>
      </c>
      <c r="Y349" s="18"/>
      <c r="Z349" s="22">
        <v>3</v>
      </c>
      <c r="AA349" s="22">
        <v>1</v>
      </c>
      <c r="AB349" s="2" t="s">
        <v>2953</v>
      </c>
      <c r="AC349" s="22">
        <v>6</v>
      </c>
      <c r="AD349" s="22">
        <v>2</v>
      </c>
      <c r="AE349" s="18" t="s">
        <v>221</v>
      </c>
      <c r="AF349" s="22">
        <v>99</v>
      </c>
      <c r="AG349" s="18"/>
      <c r="AH349" s="22">
        <v>99</v>
      </c>
      <c r="AI349" s="28">
        <v>99</v>
      </c>
      <c r="AJ349" s="18"/>
      <c r="AK349" s="22">
        <v>99</v>
      </c>
      <c r="AL349" s="22">
        <v>99</v>
      </c>
      <c r="AM349" s="22">
        <v>99</v>
      </c>
      <c r="AN349" s="22">
        <v>2</v>
      </c>
      <c r="AO349" s="22">
        <v>99</v>
      </c>
      <c r="AP349" s="22">
        <v>99</v>
      </c>
      <c r="AQ349" s="22" t="s">
        <v>1049</v>
      </c>
      <c r="AR349" s="18" t="s">
        <v>221</v>
      </c>
      <c r="AS349" s="22">
        <v>99</v>
      </c>
      <c r="AT349" s="22">
        <v>99</v>
      </c>
      <c r="AU349" s="22">
        <v>3</v>
      </c>
      <c r="AV349" s="22">
        <v>3</v>
      </c>
      <c r="AW349" s="22">
        <v>4</v>
      </c>
      <c r="AX349" s="37">
        <v>4</v>
      </c>
      <c r="AY349" s="22">
        <v>4</v>
      </c>
      <c r="AZ349" s="22">
        <v>1</v>
      </c>
      <c r="BA349" s="38">
        <v>9</v>
      </c>
      <c r="BB349" s="22">
        <v>2</v>
      </c>
      <c r="BC349" s="22">
        <v>99</v>
      </c>
      <c r="BD349" s="22">
        <v>99</v>
      </c>
      <c r="BE349" s="37">
        <v>99</v>
      </c>
      <c r="BF349" s="22">
        <v>0</v>
      </c>
      <c r="BG349" s="22">
        <v>0</v>
      </c>
      <c r="BH349" s="22">
        <v>0</v>
      </c>
      <c r="BI349" s="22">
        <v>999</v>
      </c>
      <c r="BJ349" s="22">
        <v>8</v>
      </c>
    </row>
    <row r="350" spans="1:62" ht="13">
      <c r="A350" s="22" t="s">
        <v>3561</v>
      </c>
      <c r="B350" s="22"/>
      <c r="C350" s="22"/>
      <c r="D350" s="22"/>
      <c r="E350" s="22">
        <v>3</v>
      </c>
      <c r="F350" s="22">
        <v>2</v>
      </c>
      <c r="G350" s="28">
        <v>5</v>
      </c>
      <c r="H350" s="28">
        <v>1</v>
      </c>
      <c r="I350" s="30">
        <v>1961</v>
      </c>
      <c r="J350" s="34">
        <f t="shared" si="0"/>
        <v>22286</v>
      </c>
      <c r="K350" s="39" t="s">
        <v>965</v>
      </c>
      <c r="L350" s="25" t="s">
        <v>1592</v>
      </c>
      <c r="M350" s="30">
        <v>1</v>
      </c>
      <c r="N350" s="17" t="s">
        <v>233</v>
      </c>
      <c r="O350" s="17"/>
      <c r="P350" s="25" t="s">
        <v>1593</v>
      </c>
      <c r="Q350" s="25" t="s">
        <v>1678</v>
      </c>
      <c r="R350" s="105"/>
      <c r="S350" s="105"/>
      <c r="T350" s="22">
        <v>2</v>
      </c>
      <c r="U350" s="22">
        <v>2</v>
      </c>
      <c r="V350" s="22">
        <v>99</v>
      </c>
      <c r="W350" s="22">
        <v>4</v>
      </c>
      <c r="X350" s="22">
        <v>2</v>
      </c>
      <c r="Y350" s="18"/>
      <c r="Z350" s="22">
        <v>3</v>
      </c>
      <c r="AA350" s="22">
        <v>1</v>
      </c>
      <c r="AB350" s="18" t="s">
        <v>221</v>
      </c>
      <c r="AC350" s="22">
        <v>6</v>
      </c>
      <c r="AD350" s="22">
        <v>2</v>
      </c>
      <c r="AE350" s="18" t="s">
        <v>221</v>
      </c>
      <c r="AF350" s="22">
        <v>99</v>
      </c>
      <c r="AG350" s="18"/>
      <c r="AH350" s="22">
        <v>99</v>
      </c>
      <c r="AI350" s="28">
        <v>99</v>
      </c>
      <c r="AJ350" s="18"/>
      <c r="AK350" s="22">
        <v>99</v>
      </c>
      <c r="AL350" s="22">
        <v>99</v>
      </c>
      <c r="AM350" s="22">
        <v>99</v>
      </c>
      <c r="AN350" s="22">
        <v>2</v>
      </c>
      <c r="AO350" s="22">
        <v>99</v>
      </c>
      <c r="AP350" s="22">
        <v>99</v>
      </c>
      <c r="AQ350" s="22" t="s">
        <v>1049</v>
      </c>
      <c r="AR350" s="18" t="s">
        <v>221</v>
      </c>
      <c r="AS350" s="22">
        <v>99</v>
      </c>
      <c r="AT350" s="22">
        <v>99</v>
      </c>
      <c r="AU350" s="22">
        <v>3</v>
      </c>
      <c r="AV350" s="22">
        <v>3</v>
      </c>
      <c r="AW350" s="22">
        <v>4</v>
      </c>
      <c r="AX350" s="37">
        <v>4</v>
      </c>
      <c r="AY350" s="22">
        <v>4</v>
      </c>
      <c r="AZ350" s="22">
        <v>2</v>
      </c>
      <c r="BA350" s="38">
        <v>99</v>
      </c>
      <c r="BB350" s="22">
        <v>99</v>
      </c>
      <c r="BC350" s="22">
        <v>99</v>
      </c>
      <c r="BD350" s="22">
        <v>99</v>
      </c>
      <c r="BE350" s="37">
        <v>99</v>
      </c>
      <c r="BF350" s="22">
        <v>0</v>
      </c>
      <c r="BG350" s="22">
        <v>0</v>
      </c>
      <c r="BH350" s="22">
        <v>0</v>
      </c>
      <c r="BI350" s="22">
        <v>999</v>
      </c>
      <c r="BJ350" s="22">
        <v>8</v>
      </c>
    </row>
    <row r="351" spans="1:62" ht="13">
      <c r="A351" s="22" t="s">
        <v>3562</v>
      </c>
      <c r="B351" s="22"/>
      <c r="C351" s="22"/>
      <c r="D351" s="22"/>
      <c r="E351" s="22">
        <v>2</v>
      </c>
      <c r="F351" s="22">
        <v>2</v>
      </c>
      <c r="G351" s="28">
        <v>6</v>
      </c>
      <c r="H351" s="28">
        <v>1</v>
      </c>
      <c r="I351" s="30">
        <v>1961</v>
      </c>
      <c r="J351" s="34">
        <f t="shared" si="0"/>
        <v>22287</v>
      </c>
      <c r="K351" s="35" t="s">
        <v>221</v>
      </c>
      <c r="L351" s="25" t="s">
        <v>1595</v>
      </c>
      <c r="M351" s="30">
        <v>7</v>
      </c>
      <c r="N351" s="17" t="s">
        <v>447</v>
      </c>
      <c r="O351" s="17"/>
      <c r="P351" s="18"/>
      <c r="Q351" s="41" t="s">
        <v>582</v>
      </c>
      <c r="R351" s="124"/>
      <c r="S351" s="124"/>
      <c r="T351" s="22">
        <v>2</v>
      </c>
      <c r="U351" s="22">
        <v>2</v>
      </c>
      <c r="V351" s="22">
        <v>1</v>
      </c>
      <c r="W351" s="22">
        <v>99</v>
      </c>
      <c r="X351" s="22">
        <v>2</v>
      </c>
      <c r="Y351" s="18"/>
      <c r="Z351" s="22">
        <v>5</v>
      </c>
      <c r="AA351" s="22">
        <v>2</v>
      </c>
      <c r="AB351" s="2" t="s">
        <v>2217</v>
      </c>
      <c r="AC351" s="22">
        <v>6</v>
      </c>
      <c r="AD351" s="22">
        <v>2</v>
      </c>
      <c r="AE351" s="18" t="s">
        <v>221</v>
      </c>
      <c r="AF351" s="22">
        <v>99</v>
      </c>
      <c r="AG351" s="18"/>
      <c r="AH351" s="22">
        <v>99</v>
      </c>
      <c r="AI351" s="28">
        <v>99</v>
      </c>
      <c r="AJ351" s="18"/>
      <c r="AK351" s="22">
        <v>99</v>
      </c>
      <c r="AL351" s="22">
        <v>99</v>
      </c>
      <c r="AM351" s="22">
        <v>99</v>
      </c>
      <c r="AN351" s="22">
        <v>2</v>
      </c>
      <c r="AO351" s="22">
        <v>99</v>
      </c>
      <c r="AP351" s="22">
        <v>99</v>
      </c>
      <c r="AQ351" s="22" t="s">
        <v>3563</v>
      </c>
      <c r="AR351" s="2" t="s">
        <v>570</v>
      </c>
      <c r="AS351" s="22">
        <v>1</v>
      </c>
      <c r="AT351" s="22">
        <v>3</v>
      </c>
      <c r="AU351" s="22">
        <v>3</v>
      </c>
      <c r="AV351" s="22">
        <v>3</v>
      </c>
      <c r="AW351" s="22">
        <v>4</v>
      </c>
      <c r="AX351" s="37">
        <v>4</v>
      </c>
      <c r="AY351" s="22">
        <v>4</v>
      </c>
      <c r="AZ351" s="22">
        <v>1</v>
      </c>
      <c r="BA351" s="38">
        <v>9</v>
      </c>
      <c r="BB351" s="22">
        <v>2</v>
      </c>
      <c r="BC351" s="22">
        <v>99</v>
      </c>
      <c r="BD351" s="22">
        <v>99</v>
      </c>
      <c r="BE351" s="37">
        <v>99</v>
      </c>
      <c r="BF351" s="22">
        <v>1</v>
      </c>
      <c r="BG351" s="22">
        <v>0</v>
      </c>
      <c r="BH351" s="22">
        <v>1</v>
      </c>
      <c r="BI351" s="22">
        <v>999</v>
      </c>
      <c r="BJ351" s="22">
        <v>8</v>
      </c>
    </row>
    <row r="352" spans="1:62" ht="13">
      <c r="A352" s="22" t="s">
        <v>3564</v>
      </c>
      <c r="B352" s="22"/>
      <c r="C352" s="22"/>
      <c r="D352" s="22"/>
      <c r="E352" s="22">
        <v>2</v>
      </c>
      <c r="F352" s="22">
        <v>2</v>
      </c>
      <c r="G352" s="28">
        <v>24</v>
      </c>
      <c r="H352" s="28">
        <v>2</v>
      </c>
      <c r="I352" s="30">
        <v>1961</v>
      </c>
      <c r="J352" s="34">
        <f t="shared" si="0"/>
        <v>22336</v>
      </c>
      <c r="K352" s="39" t="s">
        <v>830</v>
      </c>
      <c r="L352" s="25" t="s">
        <v>1596</v>
      </c>
      <c r="M352" s="30">
        <v>1</v>
      </c>
      <c r="N352" s="17" t="s">
        <v>233</v>
      </c>
      <c r="O352" s="17"/>
      <c r="P352" s="18"/>
      <c r="Q352" s="41" t="s">
        <v>582</v>
      </c>
      <c r="R352" s="124"/>
      <c r="S352" s="124"/>
      <c r="T352" s="22">
        <v>2</v>
      </c>
      <c r="U352" s="22">
        <v>2</v>
      </c>
      <c r="V352" s="22">
        <v>99</v>
      </c>
      <c r="W352" s="22">
        <v>3</v>
      </c>
      <c r="X352" s="22">
        <v>2</v>
      </c>
      <c r="Y352" s="18"/>
      <c r="Z352" s="22">
        <v>5</v>
      </c>
      <c r="AA352" s="22">
        <v>2</v>
      </c>
      <c r="AB352" s="18" t="s">
        <v>221</v>
      </c>
      <c r="AC352" s="22">
        <v>3</v>
      </c>
      <c r="AD352" s="22">
        <v>2</v>
      </c>
      <c r="AE352" s="18" t="s">
        <v>221</v>
      </c>
      <c r="AF352" s="22">
        <v>99</v>
      </c>
      <c r="AG352" s="18"/>
      <c r="AH352" s="22">
        <v>99</v>
      </c>
      <c r="AI352" s="28">
        <v>99</v>
      </c>
      <c r="AJ352" s="18"/>
      <c r="AK352" s="22">
        <v>99</v>
      </c>
      <c r="AL352" s="22">
        <v>99</v>
      </c>
      <c r="AM352" s="22">
        <v>99</v>
      </c>
      <c r="AN352" s="22">
        <v>2</v>
      </c>
      <c r="AO352" s="22">
        <v>99</v>
      </c>
      <c r="AP352" s="22">
        <v>99</v>
      </c>
      <c r="AQ352" s="22" t="s">
        <v>3565</v>
      </c>
      <c r="AR352" s="2" t="s">
        <v>3076</v>
      </c>
      <c r="AS352" s="22">
        <v>5</v>
      </c>
      <c r="AT352" s="22">
        <v>2</v>
      </c>
      <c r="AU352" s="22">
        <v>3</v>
      </c>
      <c r="AV352" s="22">
        <v>3</v>
      </c>
      <c r="AW352" s="22">
        <v>4</v>
      </c>
      <c r="AX352" s="37">
        <v>4</v>
      </c>
      <c r="AY352" s="22">
        <v>4</v>
      </c>
      <c r="AZ352" s="22">
        <v>1</v>
      </c>
      <c r="BA352" s="38">
        <v>9</v>
      </c>
      <c r="BB352" s="22">
        <v>2</v>
      </c>
      <c r="BC352" s="22">
        <v>99</v>
      </c>
      <c r="BD352" s="22">
        <v>99</v>
      </c>
      <c r="BE352" s="37">
        <v>99</v>
      </c>
      <c r="BF352" s="22">
        <v>1</v>
      </c>
      <c r="BG352" s="22">
        <v>0</v>
      </c>
      <c r="BH352" s="22">
        <v>1</v>
      </c>
      <c r="BI352" s="22">
        <v>999</v>
      </c>
      <c r="BJ352" s="22">
        <v>8</v>
      </c>
    </row>
    <row r="353" spans="1:62" ht="13">
      <c r="A353" s="22" t="s">
        <v>3566</v>
      </c>
      <c r="B353" s="22"/>
      <c r="C353" s="22"/>
      <c r="D353" s="22"/>
      <c r="E353" s="22">
        <v>3</v>
      </c>
      <c r="F353" s="22">
        <v>2</v>
      </c>
      <c r="G353" s="28">
        <v>8</v>
      </c>
      <c r="H353" s="28">
        <v>3</v>
      </c>
      <c r="I353" s="30">
        <v>1961</v>
      </c>
      <c r="J353" s="34">
        <f t="shared" si="0"/>
        <v>22348</v>
      </c>
      <c r="K353" s="11" t="s">
        <v>3567</v>
      </c>
      <c r="L353" s="25" t="s">
        <v>1598</v>
      </c>
      <c r="M353" s="30">
        <v>1</v>
      </c>
      <c r="N353" s="17" t="s">
        <v>233</v>
      </c>
      <c r="O353" s="17"/>
      <c r="P353" s="25" t="s">
        <v>1599</v>
      </c>
      <c r="Q353" s="25" t="s">
        <v>1680</v>
      </c>
      <c r="R353" s="25">
        <v>32.482477000000003</v>
      </c>
      <c r="S353" s="25">
        <v>35.421370199999998</v>
      </c>
      <c r="T353" s="22">
        <v>2</v>
      </c>
      <c r="U353" s="22">
        <v>2</v>
      </c>
      <c r="V353" s="22">
        <v>99</v>
      </c>
      <c r="W353" s="22">
        <v>3</v>
      </c>
      <c r="X353" s="22">
        <v>2</v>
      </c>
      <c r="Y353" s="18"/>
      <c r="Z353" s="18"/>
      <c r="AA353" s="18"/>
      <c r="AB353" s="18" t="s">
        <v>221</v>
      </c>
      <c r="AC353" s="18"/>
      <c r="AD353" s="18"/>
      <c r="AE353" s="18" t="s">
        <v>221</v>
      </c>
      <c r="AF353" s="22">
        <v>1</v>
      </c>
      <c r="AG353" s="18"/>
      <c r="AH353" s="22">
        <v>99</v>
      </c>
      <c r="AI353" s="28">
        <v>99</v>
      </c>
      <c r="AJ353" s="18"/>
      <c r="AK353" s="22">
        <v>99</v>
      </c>
      <c r="AL353" s="22">
        <v>99</v>
      </c>
      <c r="AM353" s="22">
        <v>99</v>
      </c>
      <c r="AN353" s="22">
        <v>2</v>
      </c>
      <c r="AO353" s="22">
        <v>99</v>
      </c>
      <c r="AP353" s="22">
        <v>99</v>
      </c>
      <c r="AQ353" s="22" t="s">
        <v>3568</v>
      </c>
      <c r="AR353" s="18" t="s">
        <v>221</v>
      </c>
      <c r="AS353" s="22">
        <v>5</v>
      </c>
      <c r="AT353" s="22">
        <v>3</v>
      </c>
      <c r="AU353" s="18"/>
      <c r="AV353" s="18"/>
      <c r="AW353" s="18"/>
      <c r="AX353" s="89"/>
      <c r="AY353" s="18"/>
      <c r="AZ353" s="18"/>
      <c r="BA353" s="88"/>
      <c r="BB353" s="18"/>
      <c r="BC353" s="18"/>
      <c r="BD353" s="18"/>
      <c r="BE353" s="89"/>
      <c r="BF353" s="18"/>
      <c r="BG353" s="18"/>
      <c r="BH353" s="18"/>
      <c r="BI353" s="18"/>
      <c r="BJ353" s="18"/>
    </row>
    <row r="354" spans="1:62" ht="13">
      <c r="A354" s="22" t="s">
        <v>3569</v>
      </c>
      <c r="B354" s="22"/>
      <c r="C354" s="22"/>
      <c r="D354" s="22"/>
      <c r="E354" s="22">
        <v>2</v>
      </c>
      <c r="F354" s="22">
        <v>2</v>
      </c>
      <c r="G354" s="28">
        <v>3</v>
      </c>
      <c r="H354" s="28">
        <v>4</v>
      </c>
      <c r="I354" s="30">
        <v>1961</v>
      </c>
      <c r="J354" s="34">
        <f t="shared" si="0"/>
        <v>22374</v>
      </c>
      <c r="K354" s="35" t="s">
        <v>221</v>
      </c>
      <c r="L354" s="25" t="s">
        <v>1600</v>
      </c>
      <c r="M354" s="30">
        <v>7</v>
      </c>
      <c r="N354" s="17" t="s">
        <v>447</v>
      </c>
      <c r="O354" s="17"/>
      <c r="P354" s="18"/>
      <c r="Q354" s="41" t="s">
        <v>582</v>
      </c>
      <c r="R354" s="124"/>
      <c r="S354" s="124"/>
      <c r="T354" s="22">
        <v>2</v>
      </c>
      <c r="U354" s="22">
        <v>2</v>
      </c>
      <c r="V354" s="22">
        <v>5</v>
      </c>
      <c r="W354" s="22">
        <v>3</v>
      </c>
      <c r="X354" s="22">
        <v>2</v>
      </c>
      <c r="Y354" s="18"/>
      <c r="Z354" s="18"/>
      <c r="AA354" s="22">
        <v>1</v>
      </c>
      <c r="AB354" s="18" t="s">
        <v>221</v>
      </c>
      <c r="AC354" s="22">
        <v>6</v>
      </c>
      <c r="AD354" s="22">
        <v>2</v>
      </c>
      <c r="AE354" s="18" t="s">
        <v>221</v>
      </c>
      <c r="AF354" s="22">
        <v>2</v>
      </c>
      <c r="AG354" s="18"/>
      <c r="AH354" s="22">
        <v>99</v>
      </c>
      <c r="AI354" s="28">
        <v>21</v>
      </c>
      <c r="AJ354" s="18"/>
      <c r="AK354" s="22">
        <v>99</v>
      </c>
      <c r="AL354" s="22">
        <v>99</v>
      </c>
      <c r="AM354" s="22">
        <v>99</v>
      </c>
      <c r="AN354" s="22">
        <v>2</v>
      </c>
      <c r="AO354" s="22">
        <v>99</v>
      </c>
      <c r="AP354" s="22">
        <v>99</v>
      </c>
      <c r="AQ354" s="22" t="s">
        <v>3570</v>
      </c>
      <c r="AR354" s="18" t="s">
        <v>221</v>
      </c>
      <c r="AS354" s="22">
        <v>6</v>
      </c>
      <c r="AT354" s="22">
        <v>3</v>
      </c>
      <c r="AU354" s="22">
        <v>3</v>
      </c>
      <c r="AV354" s="22">
        <v>3</v>
      </c>
      <c r="AW354" s="22">
        <v>4</v>
      </c>
      <c r="AX354" s="37">
        <v>4</v>
      </c>
      <c r="AY354" s="22">
        <v>4</v>
      </c>
      <c r="AZ354" s="22">
        <v>1</v>
      </c>
      <c r="BA354" s="38">
        <v>9</v>
      </c>
      <c r="BB354" s="22">
        <v>2</v>
      </c>
      <c r="BC354" s="18"/>
      <c r="BD354" s="18"/>
      <c r="BE354" s="89"/>
      <c r="BF354" s="22">
        <v>2</v>
      </c>
      <c r="BG354" s="22">
        <v>0</v>
      </c>
      <c r="BH354" s="22">
        <v>2</v>
      </c>
      <c r="BI354" s="22">
        <v>2</v>
      </c>
      <c r="BJ354" s="22">
        <v>8</v>
      </c>
    </row>
    <row r="355" spans="1:62" ht="13">
      <c r="A355" s="22" t="s">
        <v>3571</v>
      </c>
      <c r="B355" s="22"/>
      <c r="C355" s="22"/>
      <c r="D355" s="22"/>
      <c r="E355" s="22">
        <v>3</v>
      </c>
      <c r="F355" s="22">
        <v>2</v>
      </c>
      <c r="G355" s="28">
        <v>19</v>
      </c>
      <c r="H355" s="28">
        <v>6</v>
      </c>
      <c r="I355" s="30">
        <v>1961</v>
      </c>
      <c r="J355" s="34">
        <f t="shared" si="0"/>
        <v>22451</v>
      </c>
      <c r="K355" s="11" t="s">
        <v>1321</v>
      </c>
      <c r="L355" s="25" t="s">
        <v>1604</v>
      </c>
      <c r="M355" s="30">
        <v>1</v>
      </c>
      <c r="N355" s="17" t="s">
        <v>233</v>
      </c>
      <c r="O355" s="17"/>
      <c r="P355" s="25" t="s">
        <v>1605</v>
      </c>
      <c r="Q355" s="25" t="s">
        <v>1681</v>
      </c>
      <c r="R355" s="25">
        <v>32.621205000000003</v>
      </c>
      <c r="S355" s="25">
        <v>35.550376</v>
      </c>
      <c r="T355" s="22">
        <v>2</v>
      </c>
      <c r="U355" s="22">
        <v>2</v>
      </c>
      <c r="V355" s="22">
        <v>99</v>
      </c>
      <c r="W355" s="22">
        <v>3</v>
      </c>
      <c r="X355" s="22">
        <v>2</v>
      </c>
      <c r="Y355" s="18"/>
      <c r="Z355" s="22">
        <v>5</v>
      </c>
      <c r="AA355" s="22">
        <v>3</v>
      </c>
      <c r="AB355" s="18" t="s">
        <v>221</v>
      </c>
      <c r="AC355" s="22">
        <v>6</v>
      </c>
      <c r="AD355" s="22">
        <v>2</v>
      </c>
      <c r="AE355" s="18" t="s">
        <v>221</v>
      </c>
      <c r="AF355" s="22">
        <v>1</v>
      </c>
      <c r="AG355" s="18"/>
      <c r="AH355" s="22">
        <v>99</v>
      </c>
      <c r="AI355" s="28">
        <v>99</v>
      </c>
      <c r="AJ355" s="18"/>
      <c r="AK355" s="22">
        <v>99</v>
      </c>
      <c r="AL355" s="22">
        <v>99</v>
      </c>
      <c r="AM355" s="22">
        <v>99</v>
      </c>
      <c r="AN355" s="22">
        <v>1</v>
      </c>
      <c r="AO355" s="22">
        <v>6</v>
      </c>
      <c r="AP355" s="22">
        <v>99</v>
      </c>
      <c r="AQ355" s="22" t="s">
        <v>1049</v>
      </c>
      <c r="AR355" s="18" t="s">
        <v>221</v>
      </c>
      <c r="AS355" s="22">
        <v>99</v>
      </c>
      <c r="AT355" s="22">
        <v>99</v>
      </c>
      <c r="AU355" s="22">
        <v>3</v>
      </c>
      <c r="AV355" s="22">
        <v>3</v>
      </c>
      <c r="AW355" s="22">
        <v>4</v>
      </c>
      <c r="AX355" s="37">
        <v>4</v>
      </c>
      <c r="AY355" s="22">
        <v>4</v>
      </c>
      <c r="AZ355" s="22">
        <v>2</v>
      </c>
      <c r="BA355" s="38">
        <v>99</v>
      </c>
      <c r="BB355" s="22">
        <v>99</v>
      </c>
      <c r="BC355" s="22">
        <v>99</v>
      </c>
      <c r="BD355" s="22">
        <v>99</v>
      </c>
      <c r="BE355" s="37">
        <v>99</v>
      </c>
      <c r="BF355" s="22">
        <v>0</v>
      </c>
      <c r="BG355" s="22">
        <v>0</v>
      </c>
      <c r="BH355" s="22">
        <v>0</v>
      </c>
      <c r="BI355" s="22">
        <v>3</v>
      </c>
      <c r="BJ355" s="22">
        <v>99</v>
      </c>
    </row>
    <row r="356" spans="1:62" ht="13">
      <c r="A356" s="22" t="s">
        <v>3572</v>
      </c>
      <c r="B356" s="22"/>
      <c r="C356" s="22"/>
      <c r="D356" s="22"/>
      <c r="E356" s="22">
        <v>2</v>
      </c>
      <c r="F356" s="22">
        <v>2</v>
      </c>
      <c r="G356" s="28">
        <v>20</v>
      </c>
      <c r="H356" s="28">
        <v>6</v>
      </c>
      <c r="I356" s="30">
        <v>1961</v>
      </c>
      <c r="J356" s="34">
        <f t="shared" si="0"/>
        <v>22452</v>
      </c>
      <c r="K356" s="11" t="s">
        <v>1395</v>
      </c>
      <c r="L356" s="25" t="s">
        <v>1606</v>
      </c>
      <c r="M356" s="30">
        <v>1</v>
      </c>
      <c r="N356" s="17" t="s">
        <v>233</v>
      </c>
      <c r="O356" s="17"/>
      <c r="P356" s="25" t="s">
        <v>1607</v>
      </c>
      <c r="Q356" s="25" t="s">
        <v>1683</v>
      </c>
      <c r="R356" s="105"/>
      <c r="S356" s="105"/>
      <c r="T356" s="22">
        <v>2</v>
      </c>
      <c r="U356" s="22">
        <v>1</v>
      </c>
      <c r="V356" s="22">
        <v>99</v>
      </c>
      <c r="W356" s="22">
        <v>3</v>
      </c>
      <c r="X356" s="22">
        <v>2</v>
      </c>
      <c r="Y356" s="18"/>
      <c r="Z356" s="22">
        <v>3</v>
      </c>
      <c r="AA356" s="22">
        <v>3</v>
      </c>
      <c r="AB356" s="22" t="s">
        <v>3573</v>
      </c>
      <c r="AC356" s="22">
        <v>6</v>
      </c>
      <c r="AD356" s="22">
        <v>2</v>
      </c>
      <c r="AE356" s="18" t="s">
        <v>221</v>
      </c>
      <c r="AF356" s="22">
        <v>1</v>
      </c>
      <c r="AG356" s="18"/>
      <c r="AH356" s="22">
        <v>99</v>
      </c>
      <c r="AI356" s="28">
        <v>99</v>
      </c>
      <c r="AJ356" s="18"/>
      <c r="AK356" s="22">
        <v>99</v>
      </c>
      <c r="AL356" s="22">
        <v>99</v>
      </c>
      <c r="AM356" s="22">
        <v>99</v>
      </c>
      <c r="AN356" s="22">
        <v>2</v>
      </c>
      <c r="AO356" s="22">
        <v>99</v>
      </c>
      <c r="AP356" s="22">
        <v>99</v>
      </c>
      <c r="AQ356" s="22" t="s">
        <v>3574</v>
      </c>
      <c r="AR356" s="18" t="s">
        <v>221</v>
      </c>
      <c r="AS356" s="22">
        <v>99</v>
      </c>
      <c r="AT356" s="22">
        <v>2</v>
      </c>
      <c r="AU356" s="22">
        <v>3</v>
      </c>
      <c r="AV356" s="22">
        <v>3</v>
      </c>
      <c r="AW356" s="22">
        <v>4</v>
      </c>
      <c r="AX356" s="37">
        <v>4</v>
      </c>
      <c r="AY356" s="22">
        <v>4</v>
      </c>
      <c r="AZ356" s="22">
        <v>2</v>
      </c>
      <c r="BA356" s="38">
        <v>99</v>
      </c>
      <c r="BB356" s="22">
        <v>99</v>
      </c>
      <c r="BC356" s="22">
        <v>99</v>
      </c>
      <c r="BD356" s="22">
        <v>99</v>
      </c>
      <c r="BE356" s="37">
        <v>99</v>
      </c>
      <c r="BF356" s="22">
        <v>1</v>
      </c>
      <c r="BG356" s="22">
        <v>0</v>
      </c>
      <c r="BH356" s="22">
        <v>1</v>
      </c>
      <c r="BI356" s="22">
        <v>4</v>
      </c>
      <c r="BJ356" s="22">
        <v>8</v>
      </c>
    </row>
    <row r="357" spans="1:62" ht="13">
      <c r="A357" s="22" t="s">
        <v>3575</v>
      </c>
      <c r="B357" s="22"/>
      <c r="C357" s="22"/>
      <c r="D357" s="22"/>
      <c r="E357" s="22">
        <v>3</v>
      </c>
      <c r="F357" s="22">
        <v>2</v>
      </c>
      <c r="G357" s="28">
        <v>21</v>
      </c>
      <c r="H357" s="28">
        <v>6</v>
      </c>
      <c r="I357" s="30">
        <v>1961</v>
      </c>
      <c r="J357" s="34">
        <f t="shared" si="0"/>
        <v>22453</v>
      </c>
      <c r="K357" s="11" t="s">
        <v>3175</v>
      </c>
      <c r="L357" s="25" t="s">
        <v>1609</v>
      </c>
      <c r="M357" s="30">
        <v>1</v>
      </c>
      <c r="N357" s="17" t="s">
        <v>233</v>
      </c>
      <c r="O357" s="17"/>
      <c r="P357" s="25" t="s">
        <v>1042</v>
      </c>
      <c r="Q357" s="25" t="s">
        <v>1064</v>
      </c>
      <c r="R357" s="25">
        <v>32.723787000000002</v>
      </c>
      <c r="S357" s="25">
        <v>35.565241999999998</v>
      </c>
      <c r="T357" s="22">
        <v>2</v>
      </c>
      <c r="U357" s="22">
        <v>1</v>
      </c>
      <c r="V357" s="22">
        <v>99</v>
      </c>
      <c r="W357" s="22">
        <v>1</v>
      </c>
      <c r="X357" s="22">
        <v>1</v>
      </c>
      <c r="Y357" s="18"/>
      <c r="Z357" s="22">
        <v>3</v>
      </c>
      <c r="AA357" s="22">
        <v>1</v>
      </c>
      <c r="AB357" s="22" t="s">
        <v>3573</v>
      </c>
      <c r="AC357" s="22">
        <v>14</v>
      </c>
      <c r="AD357" s="22">
        <v>2</v>
      </c>
      <c r="AE357" s="18" t="s">
        <v>221</v>
      </c>
      <c r="AF357" s="22">
        <v>99</v>
      </c>
      <c r="AG357" s="18"/>
      <c r="AH357" s="22">
        <v>99</v>
      </c>
      <c r="AI357" s="28">
        <v>99</v>
      </c>
      <c r="AJ357" s="18"/>
      <c r="AK357" s="22">
        <v>99</v>
      </c>
      <c r="AL357" s="22">
        <v>99</v>
      </c>
      <c r="AM357" s="22">
        <v>99</v>
      </c>
      <c r="AN357" s="22">
        <v>2</v>
      </c>
      <c r="AO357" s="22">
        <v>99</v>
      </c>
      <c r="AP357" s="22">
        <v>99</v>
      </c>
      <c r="AQ357" s="22" t="s">
        <v>1049</v>
      </c>
      <c r="AR357" s="18" t="s">
        <v>221</v>
      </c>
      <c r="AS357" s="22">
        <v>99</v>
      </c>
      <c r="AT357" s="22">
        <v>99</v>
      </c>
      <c r="AU357" s="22">
        <v>3</v>
      </c>
      <c r="AV357" s="22">
        <v>3</v>
      </c>
      <c r="AW357" s="22">
        <v>4</v>
      </c>
      <c r="AX357" s="37">
        <v>4</v>
      </c>
      <c r="AY357" s="22">
        <v>4</v>
      </c>
      <c r="AZ357" s="22">
        <v>2</v>
      </c>
      <c r="BA357" s="38">
        <v>99</v>
      </c>
      <c r="BB357" s="22">
        <v>99</v>
      </c>
      <c r="BC357" s="22">
        <v>99</v>
      </c>
      <c r="BD357" s="22">
        <v>99</v>
      </c>
      <c r="BE357" s="37">
        <v>99</v>
      </c>
      <c r="BF357" s="22">
        <v>0</v>
      </c>
      <c r="BG357" s="22">
        <v>0</v>
      </c>
      <c r="BH357" s="22">
        <v>0</v>
      </c>
      <c r="BI357" s="22">
        <v>999</v>
      </c>
      <c r="BJ357" s="22">
        <v>9</v>
      </c>
    </row>
    <row r="358" spans="1:62" ht="13">
      <c r="A358" s="22" t="s">
        <v>3576</v>
      </c>
      <c r="B358" s="22"/>
      <c r="C358" s="22"/>
      <c r="D358" s="22"/>
      <c r="E358" s="22">
        <v>2</v>
      </c>
      <c r="F358" s="22">
        <v>2</v>
      </c>
      <c r="G358" s="28">
        <v>22</v>
      </c>
      <c r="H358" s="28">
        <v>6</v>
      </c>
      <c r="I358" s="30">
        <v>1961</v>
      </c>
      <c r="J358" s="34">
        <f t="shared" si="0"/>
        <v>22454</v>
      </c>
      <c r="K358" s="11" t="s">
        <v>1157</v>
      </c>
      <c r="L358" s="25" t="s">
        <v>1611</v>
      </c>
      <c r="M358" s="30">
        <v>1</v>
      </c>
      <c r="N358" s="17" t="s">
        <v>233</v>
      </c>
      <c r="O358" s="17"/>
      <c r="P358" s="25" t="s">
        <v>264</v>
      </c>
      <c r="Q358" s="25" t="s">
        <v>1685</v>
      </c>
      <c r="R358" s="105"/>
      <c r="S358" s="105"/>
      <c r="T358" s="22">
        <v>1</v>
      </c>
      <c r="U358" s="22">
        <v>1</v>
      </c>
      <c r="V358" s="22">
        <v>99</v>
      </c>
      <c r="W358" s="22">
        <v>4</v>
      </c>
      <c r="X358" s="22">
        <v>2</v>
      </c>
      <c r="Y358" s="18"/>
      <c r="Z358" s="22">
        <v>3</v>
      </c>
      <c r="AA358" s="22">
        <v>3</v>
      </c>
      <c r="AB358" s="2" t="s">
        <v>1255</v>
      </c>
      <c r="AC358" s="22">
        <v>6</v>
      </c>
      <c r="AD358" s="22">
        <v>2</v>
      </c>
      <c r="AE358" s="18" t="s">
        <v>221</v>
      </c>
      <c r="AF358" s="22">
        <v>99</v>
      </c>
      <c r="AG358" s="18"/>
      <c r="AH358" s="22">
        <v>99</v>
      </c>
      <c r="AI358" s="28">
        <v>99</v>
      </c>
      <c r="AJ358" s="18"/>
      <c r="AK358" s="22">
        <v>99</v>
      </c>
      <c r="AL358" s="22">
        <v>99</v>
      </c>
      <c r="AM358" s="22">
        <v>99</v>
      </c>
      <c r="AN358" s="22">
        <v>2</v>
      </c>
      <c r="AO358" s="22">
        <v>99</v>
      </c>
      <c r="AP358" s="22">
        <v>99</v>
      </c>
      <c r="AQ358" s="18" t="s">
        <v>221</v>
      </c>
      <c r="AR358" s="18" t="s">
        <v>221</v>
      </c>
      <c r="AS358" s="22">
        <v>99</v>
      </c>
      <c r="AT358" s="22">
        <v>3</v>
      </c>
      <c r="AU358" s="22">
        <v>3</v>
      </c>
      <c r="AV358" s="22">
        <v>3</v>
      </c>
      <c r="AW358" s="22">
        <v>4</v>
      </c>
      <c r="AX358" s="37">
        <v>4</v>
      </c>
      <c r="AY358" s="22">
        <v>4</v>
      </c>
      <c r="AZ358" s="22">
        <v>2</v>
      </c>
      <c r="BA358" s="38">
        <v>99</v>
      </c>
      <c r="BB358" s="22">
        <v>99</v>
      </c>
      <c r="BC358" s="22">
        <v>99</v>
      </c>
      <c r="BD358" s="22">
        <v>99</v>
      </c>
      <c r="BE358" s="37">
        <v>99</v>
      </c>
      <c r="BF358" s="22">
        <v>1</v>
      </c>
      <c r="BG358" s="22">
        <v>0</v>
      </c>
      <c r="BH358" s="22">
        <v>1</v>
      </c>
      <c r="BI358" s="22">
        <v>999</v>
      </c>
      <c r="BJ358" s="22">
        <v>8</v>
      </c>
    </row>
    <row r="359" spans="1:62" ht="13">
      <c r="A359" s="22" t="s">
        <v>3577</v>
      </c>
      <c r="B359" s="22"/>
      <c r="C359" s="22"/>
      <c r="D359" s="22"/>
      <c r="E359" s="22">
        <v>3</v>
      </c>
      <c r="F359" s="22">
        <v>2</v>
      </c>
      <c r="G359" s="28">
        <v>24</v>
      </c>
      <c r="H359" s="28">
        <v>6</v>
      </c>
      <c r="I359" s="30">
        <v>1961</v>
      </c>
      <c r="J359" s="34">
        <f t="shared" si="0"/>
        <v>22456</v>
      </c>
      <c r="K359" s="11" t="s">
        <v>3578</v>
      </c>
      <c r="L359" s="25" t="s">
        <v>1613</v>
      </c>
      <c r="M359" s="30">
        <v>1</v>
      </c>
      <c r="N359" s="17" t="s">
        <v>233</v>
      </c>
      <c r="O359" s="17"/>
      <c r="P359" s="25" t="s">
        <v>949</v>
      </c>
      <c r="Q359" s="25" t="s">
        <v>951</v>
      </c>
      <c r="R359" s="25">
        <v>31.472679999999901</v>
      </c>
      <c r="S359" s="25">
        <v>34.497675000000001</v>
      </c>
      <c r="T359" s="22">
        <v>1</v>
      </c>
      <c r="U359" s="22">
        <v>1</v>
      </c>
      <c r="V359" s="22">
        <v>99</v>
      </c>
      <c r="W359" s="22">
        <v>3</v>
      </c>
      <c r="X359" s="22">
        <v>2</v>
      </c>
      <c r="Y359" s="18"/>
      <c r="Z359" s="22">
        <v>4</v>
      </c>
      <c r="AA359" s="22">
        <v>3</v>
      </c>
      <c r="AB359" s="22" t="s">
        <v>3573</v>
      </c>
      <c r="AC359" s="22">
        <v>6</v>
      </c>
      <c r="AD359" s="22">
        <v>2</v>
      </c>
      <c r="AE359" s="18" t="s">
        <v>221</v>
      </c>
      <c r="AF359" s="22">
        <v>99</v>
      </c>
      <c r="AG359" s="18"/>
      <c r="AH359" s="22">
        <v>99</v>
      </c>
      <c r="AI359" s="28">
        <v>99</v>
      </c>
      <c r="AJ359" s="18"/>
      <c r="AK359" s="22">
        <v>99</v>
      </c>
      <c r="AL359" s="22">
        <v>99</v>
      </c>
      <c r="AM359" s="22">
        <v>99</v>
      </c>
      <c r="AN359" s="22">
        <v>2</v>
      </c>
      <c r="AO359" s="22">
        <v>99</v>
      </c>
      <c r="AP359" s="22">
        <v>99</v>
      </c>
      <c r="AQ359" s="22" t="s">
        <v>3579</v>
      </c>
      <c r="AR359" s="2" t="s">
        <v>661</v>
      </c>
      <c r="AS359" s="22">
        <v>3</v>
      </c>
      <c r="AT359" s="22">
        <v>3</v>
      </c>
      <c r="AU359" s="22">
        <v>3</v>
      </c>
      <c r="AV359" s="22">
        <v>3</v>
      </c>
      <c r="AW359" s="22">
        <v>4</v>
      </c>
      <c r="AX359" s="37">
        <v>4</v>
      </c>
      <c r="AY359" s="22">
        <v>4</v>
      </c>
      <c r="AZ359" s="22">
        <v>2</v>
      </c>
      <c r="BA359" s="38">
        <v>99</v>
      </c>
      <c r="BB359" s="22">
        <v>99</v>
      </c>
      <c r="BC359" s="22">
        <v>99</v>
      </c>
      <c r="BD359" s="22">
        <v>99</v>
      </c>
      <c r="BE359" s="37">
        <v>99</v>
      </c>
      <c r="BF359" s="22">
        <v>1</v>
      </c>
      <c r="BG359" s="22">
        <v>0</v>
      </c>
      <c r="BH359" s="22">
        <v>1</v>
      </c>
      <c r="BI359" s="22">
        <v>999</v>
      </c>
      <c r="BJ359" s="22">
        <v>8</v>
      </c>
    </row>
    <row r="360" spans="1:62" ht="13">
      <c r="A360" s="22" t="s">
        <v>3580</v>
      </c>
      <c r="B360" s="22"/>
      <c r="C360" s="22"/>
      <c r="D360" s="22"/>
      <c r="E360" s="22">
        <v>3</v>
      </c>
      <c r="F360" s="22">
        <v>2</v>
      </c>
      <c r="G360" s="28">
        <v>22</v>
      </c>
      <c r="H360" s="28">
        <v>8</v>
      </c>
      <c r="I360" s="30">
        <v>1961</v>
      </c>
      <c r="J360" s="34">
        <f t="shared" si="0"/>
        <v>22515</v>
      </c>
      <c r="K360" s="39" t="s">
        <v>830</v>
      </c>
      <c r="L360" s="25" t="s">
        <v>1614</v>
      </c>
      <c r="M360" s="30">
        <v>5</v>
      </c>
      <c r="N360" s="17" t="s">
        <v>32</v>
      </c>
      <c r="O360" s="17"/>
      <c r="P360" s="25" t="s">
        <v>1615</v>
      </c>
      <c r="Q360" s="25" t="s">
        <v>1688</v>
      </c>
      <c r="R360" s="25">
        <v>32.329326999999999</v>
      </c>
      <c r="S360" s="25">
        <v>34.859603999999997</v>
      </c>
      <c r="T360" s="22">
        <v>2</v>
      </c>
      <c r="U360" s="22">
        <v>1</v>
      </c>
      <c r="V360" s="22">
        <v>5</v>
      </c>
      <c r="W360" s="22">
        <v>3</v>
      </c>
      <c r="X360" s="22">
        <v>2</v>
      </c>
      <c r="Y360" s="18"/>
      <c r="Z360" s="22">
        <v>5</v>
      </c>
      <c r="AA360" s="22">
        <v>1</v>
      </c>
      <c r="AB360" s="2" t="s">
        <v>524</v>
      </c>
      <c r="AC360" s="22">
        <v>6</v>
      </c>
      <c r="AD360" s="22">
        <v>2</v>
      </c>
      <c r="AE360" s="18" t="s">
        <v>221</v>
      </c>
      <c r="AF360" s="22">
        <v>99</v>
      </c>
      <c r="AG360" s="18"/>
      <c r="AH360" s="22">
        <v>99</v>
      </c>
      <c r="AI360" s="28">
        <v>99</v>
      </c>
      <c r="AJ360" s="18"/>
      <c r="AK360" s="22">
        <v>99</v>
      </c>
      <c r="AL360" s="22">
        <v>99</v>
      </c>
      <c r="AM360" s="22">
        <v>99</v>
      </c>
      <c r="AN360" s="22">
        <v>2</v>
      </c>
      <c r="AO360" s="22">
        <v>99</v>
      </c>
      <c r="AP360" s="22">
        <v>99</v>
      </c>
      <c r="AQ360" s="18" t="s">
        <v>221</v>
      </c>
      <c r="AR360" s="18" t="s">
        <v>221</v>
      </c>
      <c r="AS360" s="22">
        <v>1</v>
      </c>
      <c r="AT360" s="22">
        <v>99</v>
      </c>
      <c r="AU360" s="22">
        <v>3</v>
      </c>
      <c r="AV360" s="22">
        <v>3</v>
      </c>
      <c r="AW360" s="22">
        <v>4</v>
      </c>
      <c r="AX360" s="37">
        <v>4</v>
      </c>
      <c r="AY360" s="22">
        <v>4</v>
      </c>
      <c r="AZ360" s="22">
        <v>1</v>
      </c>
      <c r="BA360" s="38">
        <v>8</v>
      </c>
      <c r="BB360" s="22">
        <v>2</v>
      </c>
      <c r="BC360" s="22">
        <v>99</v>
      </c>
      <c r="BD360" s="22">
        <v>99</v>
      </c>
      <c r="BE360" s="37">
        <v>99</v>
      </c>
      <c r="BF360" s="22">
        <v>0</v>
      </c>
      <c r="BG360" s="22">
        <v>0</v>
      </c>
      <c r="BH360" s="22">
        <v>0</v>
      </c>
      <c r="BI360" s="22">
        <v>999</v>
      </c>
      <c r="BJ360" s="22">
        <v>9</v>
      </c>
    </row>
    <row r="361" spans="1:62" ht="13">
      <c r="A361" s="22" t="s">
        <v>3581</v>
      </c>
      <c r="B361" s="22"/>
      <c r="C361" s="22"/>
      <c r="D361" s="22"/>
      <c r="E361" s="22">
        <v>3</v>
      </c>
      <c r="F361" s="22">
        <v>1</v>
      </c>
      <c r="G361" s="28">
        <v>22</v>
      </c>
      <c r="H361" s="28">
        <v>8</v>
      </c>
      <c r="I361" s="30">
        <v>1961</v>
      </c>
      <c r="J361" s="34">
        <f t="shared" si="0"/>
        <v>22515</v>
      </c>
      <c r="K361" s="39" t="s">
        <v>830</v>
      </c>
      <c r="L361" s="25" t="s">
        <v>1616</v>
      </c>
      <c r="M361" s="30">
        <v>6</v>
      </c>
      <c r="N361" s="17" t="s">
        <v>1097</v>
      </c>
      <c r="O361" s="17"/>
      <c r="P361" s="18"/>
      <c r="Q361" s="41" t="s">
        <v>582</v>
      </c>
      <c r="R361" s="124"/>
      <c r="S361" s="124"/>
      <c r="T361" s="22">
        <v>1</v>
      </c>
      <c r="U361" s="22">
        <v>2</v>
      </c>
      <c r="V361" s="22">
        <v>1</v>
      </c>
      <c r="W361" s="18"/>
      <c r="X361" s="22">
        <v>2</v>
      </c>
      <c r="Y361" s="18"/>
      <c r="Z361" s="22">
        <v>3</v>
      </c>
      <c r="AA361" s="22">
        <v>1</v>
      </c>
      <c r="AB361" s="2" t="s">
        <v>2217</v>
      </c>
      <c r="AC361" s="22">
        <v>6</v>
      </c>
      <c r="AD361" s="22">
        <v>2</v>
      </c>
      <c r="AE361" s="18" t="s">
        <v>221</v>
      </c>
      <c r="AF361" s="22">
        <v>99</v>
      </c>
      <c r="AG361" s="18"/>
      <c r="AH361" s="22">
        <v>99</v>
      </c>
      <c r="AI361" s="28">
        <v>99</v>
      </c>
      <c r="AJ361" s="18"/>
      <c r="AK361" s="22">
        <v>99</v>
      </c>
      <c r="AL361" s="22">
        <v>99</v>
      </c>
      <c r="AM361" s="22">
        <v>99</v>
      </c>
      <c r="AN361" s="22">
        <v>2</v>
      </c>
      <c r="AO361" s="22">
        <v>99</v>
      </c>
      <c r="AP361" s="22">
        <v>99</v>
      </c>
      <c r="AQ361" s="22" t="s">
        <v>1049</v>
      </c>
      <c r="AR361" s="18" t="s">
        <v>221</v>
      </c>
      <c r="AS361" s="22">
        <v>99</v>
      </c>
      <c r="AT361" s="22">
        <v>99</v>
      </c>
      <c r="AU361" s="22">
        <v>3</v>
      </c>
      <c r="AV361" s="22">
        <v>3</v>
      </c>
      <c r="AW361" s="22">
        <v>4</v>
      </c>
      <c r="AX361" s="37">
        <v>4</v>
      </c>
      <c r="AY361" s="22">
        <v>4</v>
      </c>
      <c r="AZ361" s="22">
        <v>1</v>
      </c>
      <c r="BA361" s="38">
        <v>8</v>
      </c>
      <c r="BB361" s="22">
        <v>2</v>
      </c>
      <c r="BC361" s="22">
        <v>99</v>
      </c>
      <c r="BD361" s="22">
        <v>99</v>
      </c>
      <c r="BE361" s="37">
        <v>99</v>
      </c>
      <c r="BF361" s="22">
        <v>0</v>
      </c>
      <c r="BG361" s="22">
        <v>0</v>
      </c>
      <c r="BH361" s="22">
        <v>0</v>
      </c>
      <c r="BI361" s="22">
        <v>999</v>
      </c>
      <c r="BJ361" s="22">
        <v>9</v>
      </c>
    </row>
    <row r="362" spans="1:62" ht="13">
      <c r="A362" s="22" t="s">
        <v>3583</v>
      </c>
      <c r="B362" s="22"/>
      <c r="C362" s="22"/>
      <c r="D362" s="22"/>
      <c r="E362" s="22">
        <v>2</v>
      </c>
      <c r="F362" s="22">
        <v>1</v>
      </c>
      <c r="G362" s="28">
        <v>5</v>
      </c>
      <c r="H362" s="28">
        <v>1</v>
      </c>
      <c r="I362" s="30">
        <v>1962</v>
      </c>
      <c r="J362" s="34">
        <f t="shared" si="0"/>
        <v>22651</v>
      </c>
      <c r="K362" s="35" t="s">
        <v>221</v>
      </c>
      <c r="L362" s="25" t="s">
        <v>1618</v>
      </c>
      <c r="M362" s="30">
        <v>6</v>
      </c>
      <c r="N362" s="17" t="s">
        <v>1097</v>
      </c>
      <c r="O362" s="17"/>
      <c r="P362" s="18"/>
      <c r="Q362" s="41" t="s">
        <v>582</v>
      </c>
      <c r="R362" s="124"/>
      <c r="S362" s="124"/>
      <c r="T362" s="22">
        <v>1</v>
      </c>
      <c r="U362" s="22">
        <v>2</v>
      </c>
      <c r="V362" s="18"/>
      <c r="W362" s="18"/>
      <c r="X362" s="22">
        <v>2</v>
      </c>
      <c r="Y362" s="18"/>
      <c r="Z362" s="22">
        <v>3</v>
      </c>
      <c r="AA362" s="22">
        <v>1</v>
      </c>
      <c r="AB362" s="2" t="s">
        <v>685</v>
      </c>
      <c r="AC362" s="22">
        <v>6</v>
      </c>
      <c r="AD362" s="22">
        <v>2</v>
      </c>
      <c r="AE362" s="18" t="s">
        <v>221</v>
      </c>
      <c r="AF362" s="22">
        <v>99</v>
      </c>
      <c r="AG362" s="18"/>
      <c r="AH362" s="22">
        <v>99</v>
      </c>
      <c r="AI362" s="28">
        <v>99</v>
      </c>
      <c r="AJ362" s="18"/>
      <c r="AK362" s="22">
        <v>99</v>
      </c>
      <c r="AL362" s="22">
        <v>99</v>
      </c>
      <c r="AM362" s="22">
        <v>99</v>
      </c>
      <c r="AN362" s="22">
        <v>2</v>
      </c>
      <c r="AO362" s="22">
        <v>99</v>
      </c>
      <c r="AP362" s="22">
        <v>99</v>
      </c>
      <c r="AQ362" s="22" t="s">
        <v>1049</v>
      </c>
      <c r="AR362" s="18" t="s">
        <v>221</v>
      </c>
      <c r="AS362" s="22">
        <v>99</v>
      </c>
      <c r="AT362" s="22">
        <v>99</v>
      </c>
      <c r="AU362" s="22">
        <v>3</v>
      </c>
      <c r="AV362" s="22">
        <v>3</v>
      </c>
      <c r="AW362" s="22">
        <v>4</v>
      </c>
      <c r="AX362" s="37">
        <v>4</v>
      </c>
      <c r="AY362" s="22">
        <v>4</v>
      </c>
      <c r="AZ362" s="22">
        <v>1</v>
      </c>
      <c r="BA362" s="38">
        <v>9</v>
      </c>
      <c r="BB362" s="22">
        <v>2</v>
      </c>
      <c r="BC362" s="22">
        <v>99</v>
      </c>
      <c r="BD362" s="22">
        <v>99</v>
      </c>
      <c r="BE362" s="37">
        <v>99</v>
      </c>
      <c r="BF362" s="22">
        <v>0</v>
      </c>
      <c r="BG362" s="22">
        <v>0</v>
      </c>
      <c r="BH362" s="22">
        <v>0</v>
      </c>
      <c r="BI362" s="22">
        <v>999</v>
      </c>
      <c r="BJ362" s="22">
        <v>9</v>
      </c>
    </row>
    <row r="363" spans="1:62" ht="13">
      <c r="A363" s="22" t="s">
        <v>3585</v>
      </c>
      <c r="B363" s="22"/>
      <c r="C363" s="22"/>
      <c r="D363" s="22"/>
      <c r="E363" s="22">
        <v>1</v>
      </c>
      <c r="F363" s="22">
        <v>1</v>
      </c>
      <c r="G363" s="28">
        <v>15</v>
      </c>
      <c r="H363" s="28">
        <v>1</v>
      </c>
      <c r="I363" s="30">
        <v>1962</v>
      </c>
      <c r="J363" s="34">
        <f t="shared" si="0"/>
        <v>22661</v>
      </c>
      <c r="K363" s="35" t="s">
        <v>221</v>
      </c>
      <c r="L363" s="25" t="s">
        <v>1620</v>
      </c>
      <c r="M363" s="30">
        <v>1</v>
      </c>
      <c r="N363" s="17" t="s">
        <v>233</v>
      </c>
      <c r="O363" s="17"/>
      <c r="P363" s="25" t="s">
        <v>1621</v>
      </c>
      <c r="Q363" s="25" t="s">
        <v>1690</v>
      </c>
      <c r="R363" s="105"/>
      <c r="S363" s="105"/>
      <c r="T363" s="22">
        <v>2</v>
      </c>
      <c r="U363" s="22">
        <v>1</v>
      </c>
      <c r="V363" s="22">
        <v>99</v>
      </c>
      <c r="W363" s="22">
        <v>3</v>
      </c>
      <c r="X363" s="22">
        <v>2</v>
      </c>
      <c r="Y363" s="18"/>
      <c r="Z363" s="22">
        <v>5</v>
      </c>
      <c r="AA363" s="22">
        <v>3</v>
      </c>
      <c r="AB363" s="2" t="s">
        <v>2217</v>
      </c>
      <c r="AC363" s="22">
        <v>6</v>
      </c>
      <c r="AD363" s="22">
        <v>2</v>
      </c>
      <c r="AE363" s="18" t="s">
        <v>221</v>
      </c>
      <c r="AF363" s="22">
        <v>99</v>
      </c>
      <c r="AG363" s="18"/>
      <c r="AH363" s="22">
        <v>99</v>
      </c>
      <c r="AI363" s="28">
        <v>99</v>
      </c>
      <c r="AJ363" s="18"/>
      <c r="AK363" s="22">
        <v>99</v>
      </c>
      <c r="AL363" s="22">
        <v>99</v>
      </c>
      <c r="AM363" s="22">
        <v>99</v>
      </c>
      <c r="AN363" s="22">
        <v>2</v>
      </c>
      <c r="AO363" s="22">
        <v>99</v>
      </c>
      <c r="AP363" s="22">
        <v>99</v>
      </c>
      <c r="AQ363" s="22" t="s">
        <v>1049</v>
      </c>
      <c r="AR363" s="18" t="s">
        <v>221</v>
      </c>
      <c r="AS363" s="22">
        <v>99</v>
      </c>
      <c r="AT363" s="22">
        <v>99</v>
      </c>
      <c r="AU363" s="22">
        <v>1</v>
      </c>
      <c r="AV363" s="22">
        <v>3</v>
      </c>
      <c r="AW363" s="22">
        <v>4</v>
      </c>
      <c r="AX363" s="37">
        <v>4</v>
      </c>
      <c r="AY363" s="22">
        <v>4</v>
      </c>
      <c r="AZ363" s="22">
        <v>1</v>
      </c>
      <c r="BA363" s="38">
        <v>8</v>
      </c>
      <c r="BB363" s="22">
        <v>2</v>
      </c>
      <c r="BC363" s="22">
        <v>99</v>
      </c>
      <c r="BD363" s="22">
        <v>99</v>
      </c>
      <c r="BE363" s="37">
        <v>99</v>
      </c>
      <c r="BF363" s="22">
        <v>0</v>
      </c>
      <c r="BG363" s="22">
        <v>0</v>
      </c>
      <c r="BH363" s="22">
        <v>0</v>
      </c>
      <c r="BI363" s="22">
        <v>999</v>
      </c>
      <c r="BJ363" s="22">
        <v>8</v>
      </c>
    </row>
    <row r="364" spans="1:62" ht="13">
      <c r="A364" s="22" t="s">
        <v>3586</v>
      </c>
      <c r="B364" s="22"/>
      <c r="C364" s="22"/>
      <c r="D364" s="22"/>
      <c r="E364" s="22">
        <v>1</v>
      </c>
      <c r="F364" s="22">
        <v>2</v>
      </c>
      <c r="G364" s="28">
        <v>8</v>
      </c>
      <c r="H364" s="28">
        <v>3</v>
      </c>
      <c r="I364" s="30">
        <v>1962</v>
      </c>
      <c r="J364" s="34">
        <f t="shared" si="0"/>
        <v>22713</v>
      </c>
      <c r="K364" s="35" t="s">
        <v>221</v>
      </c>
      <c r="L364" s="25" t="s">
        <v>1622</v>
      </c>
      <c r="M364" s="30">
        <v>1</v>
      </c>
      <c r="N364" s="17" t="s">
        <v>233</v>
      </c>
      <c r="O364" s="17"/>
      <c r="P364" s="25" t="s">
        <v>588</v>
      </c>
      <c r="Q364" s="25" t="s">
        <v>743</v>
      </c>
      <c r="R364" s="25">
        <v>31.733404799999999</v>
      </c>
      <c r="S364" s="25">
        <v>35.193938299999999</v>
      </c>
      <c r="T364" s="22">
        <v>2</v>
      </c>
      <c r="U364" s="22">
        <v>1</v>
      </c>
      <c r="V364" s="22">
        <v>99</v>
      </c>
      <c r="W364" s="22">
        <v>2</v>
      </c>
      <c r="X364" s="22">
        <v>2</v>
      </c>
      <c r="Y364" s="18"/>
      <c r="Z364" s="22">
        <v>5</v>
      </c>
      <c r="AA364" s="22">
        <v>1</v>
      </c>
      <c r="AB364" s="2" t="s">
        <v>2217</v>
      </c>
      <c r="AC364" s="22">
        <v>6</v>
      </c>
      <c r="AD364" s="22">
        <v>2</v>
      </c>
      <c r="AE364" s="18" t="s">
        <v>221</v>
      </c>
      <c r="AF364" s="22">
        <v>99</v>
      </c>
      <c r="AG364" s="18"/>
      <c r="AH364" s="22">
        <v>99</v>
      </c>
      <c r="AI364" s="28">
        <v>99</v>
      </c>
      <c r="AJ364" s="18"/>
      <c r="AK364" s="22">
        <v>99</v>
      </c>
      <c r="AL364" s="22">
        <v>99</v>
      </c>
      <c r="AM364" s="22">
        <v>99</v>
      </c>
      <c r="AN364" s="22">
        <v>2</v>
      </c>
      <c r="AO364" s="22">
        <v>99</v>
      </c>
      <c r="AP364" s="22">
        <v>99</v>
      </c>
      <c r="AQ364" s="22" t="s">
        <v>1049</v>
      </c>
      <c r="AR364" s="18" t="s">
        <v>221</v>
      </c>
      <c r="AS364" s="22">
        <v>99</v>
      </c>
      <c r="AT364" s="22">
        <v>99</v>
      </c>
      <c r="AU364" s="22">
        <v>3</v>
      </c>
      <c r="AV364" s="22">
        <v>3</v>
      </c>
      <c r="AW364" s="22">
        <v>4</v>
      </c>
      <c r="AX364" s="37">
        <v>4</v>
      </c>
      <c r="AY364" s="22">
        <v>4</v>
      </c>
      <c r="AZ364" s="22">
        <v>2</v>
      </c>
      <c r="BA364" s="38">
        <v>99</v>
      </c>
      <c r="BB364" s="22">
        <v>99</v>
      </c>
      <c r="BC364" s="22">
        <v>99</v>
      </c>
      <c r="BD364" s="22">
        <v>99</v>
      </c>
      <c r="BE364" s="37">
        <v>99</v>
      </c>
      <c r="BF364" s="22">
        <v>0</v>
      </c>
      <c r="BG364" s="22">
        <v>0</v>
      </c>
      <c r="BH364" s="22">
        <v>0</v>
      </c>
      <c r="BI364" s="22">
        <v>999</v>
      </c>
      <c r="BJ364" s="22">
        <v>7</v>
      </c>
    </row>
    <row r="365" spans="1:62" ht="13">
      <c r="A365" s="22" t="s">
        <v>3587</v>
      </c>
      <c r="B365" s="22"/>
      <c r="C365" s="22"/>
      <c r="D365" s="22"/>
      <c r="E365" s="22">
        <v>3</v>
      </c>
      <c r="F365" s="22">
        <v>1</v>
      </c>
      <c r="G365" s="28">
        <v>4</v>
      </c>
      <c r="H365" s="28">
        <v>7</v>
      </c>
      <c r="I365" s="30">
        <v>1962</v>
      </c>
      <c r="J365" s="34">
        <f t="shared" si="0"/>
        <v>22831</v>
      </c>
      <c r="K365" s="11" t="s">
        <v>3588</v>
      </c>
      <c r="L365" s="25" t="s">
        <v>1624</v>
      </c>
      <c r="M365" s="30">
        <v>5</v>
      </c>
      <c r="N365" s="17" t="s">
        <v>32</v>
      </c>
      <c r="O365" s="17"/>
      <c r="P365" s="25" t="s">
        <v>1625</v>
      </c>
      <c r="Q365" s="25" t="s">
        <v>1691</v>
      </c>
      <c r="R365" s="25">
        <v>32.084040999999999</v>
      </c>
      <c r="S365" s="25">
        <v>34.887762000000002</v>
      </c>
      <c r="T365" s="22">
        <v>2</v>
      </c>
      <c r="U365" s="22">
        <v>2</v>
      </c>
      <c r="V365" s="22">
        <v>1</v>
      </c>
      <c r="W365" s="22">
        <v>3</v>
      </c>
      <c r="X365" s="22">
        <v>2</v>
      </c>
      <c r="Y365" s="18"/>
      <c r="Z365" s="22">
        <v>5</v>
      </c>
      <c r="AA365" s="22">
        <v>1</v>
      </c>
      <c r="AB365" s="18" t="s">
        <v>221</v>
      </c>
      <c r="AC365" s="22">
        <v>6</v>
      </c>
      <c r="AD365" s="22">
        <v>2</v>
      </c>
      <c r="AE365" s="18" t="s">
        <v>221</v>
      </c>
      <c r="AF365" s="22">
        <v>1</v>
      </c>
      <c r="AG365" s="18"/>
      <c r="AH365" s="22">
        <v>99</v>
      </c>
      <c r="AI365" s="28">
        <v>99</v>
      </c>
      <c r="AJ365" s="18"/>
      <c r="AK365" s="22">
        <v>99</v>
      </c>
      <c r="AL365" s="22">
        <v>99</v>
      </c>
      <c r="AM365" s="22">
        <v>99</v>
      </c>
      <c r="AN365" s="22">
        <v>2</v>
      </c>
      <c r="AO365" s="22">
        <v>99</v>
      </c>
      <c r="AP365" s="22">
        <v>99</v>
      </c>
      <c r="AQ365" s="22" t="s">
        <v>3589</v>
      </c>
      <c r="AR365" s="18" t="s">
        <v>221</v>
      </c>
      <c r="AS365" s="22">
        <v>5</v>
      </c>
      <c r="AT365" s="22">
        <v>3</v>
      </c>
      <c r="AU365" s="22">
        <v>3</v>
      </c>
      <c r="AV365" s="22">
        <v>3</v>
      </c>
      <c r="AW365" s="22">
        <v>4</v>
      </c>
      <c r="AX365" s="37">
        <v>4</v>
      </c>
      <c r="AY365" s="22">
        <v>4</v>
      </c>
      <c r="AZ365" s="22">
        <v>1</v>
      </c>
      <c r="BA365" s="38">
        <v>9</v>
      </c>
      <c r="BB365" s="22">
        <v>2</v>
      </c>
      <c r="BC365" s="22">
        <v>99</v>
      </c>
      <c r="BD365" s="22">
        <v>99</v>
      </c>
      <c r="BE365" s="37">
        <v>99</v>
      </c>
      <c r="BF365" s="22">
        <v>2</v>
      </c>
      <c r="BG365" s="22">
        <v>0</v>
      </c>
      <c r="BH365" s="22">
        <v>2</v>
      </c>
      <c r="BI365" s="22">
        <v>2</v>
      </c>
      <c r="BJ365" s="22">
        <v>9</v>
      </c>
    </row>
    <row r="366" spans="1:62" ht="13">
      <c r="A366" s="22" t="s">
        <v>3590</v>
      </c>
      <c r="B366" s="22"/>
      <c r="C366" s="22"/>
      <c r="D366" s="22"/>
      <c r="E366" s="22">
        <v>3</v>
      </c>
      <c r="F366" s="22">
        <v>1</v>
      </c>
      <c r="G366" s="28">
        <v>4</v>
      </c>
      <c r="H366" s="28">
        <v>7</v>
      </c>
      <c r="I366" s="30">
        <v>1962</v>
      </c>
      <c r="J366" s="34">
        <f t="shared" si="0"/>
        <v>22831</v>
      </c>
      <c r="K366" s="11" t="s">
        <v>3588</v>
      </c>
      <c r="L366" s="25" t="s">
        <v>1626</v>
      </c>
      <c r="M366" s="30">
        <v>5</v>
      </c>
      <c r="N366" s="17" t="s">
        <v>32</v>
      </c>
      <c r="O366" s="17"/>
      <c r="P366" s="25" t="s">
        <v>1628</v>
      </c>
      <c r="Q366" s="25" t="s">
        <v>1692</v>
      </c>
      <c r="R366" s="25">
        <v>32.068683</v>
      </c>
      <c r="S366" s="25">
        <v>34.769047</v>
      </c>
      <c r="T366" s="22">
        <v>2</v>
      </c>
      <c r="U366" s="22">
        <v>2</v>
      </c>
      <c r="V366" s="22">
        <v>1</v>
      </c>
      <c r="W366" s="22">
        <v>3</v>
      </c>
      <c r="X366" s="22">
        <v>2</v>
      </c>
      <c r="Y366" s="18"/>
      <c r="Z366" s="22">
        <v>99</v>
      </c>
      <c r="AA366" s="22">
        <v>99</v>
      </c>
      <c r="AB366" s="18" t="s">
        <v>221</v>
      </c>
      <c r="AC366" s="22">
        <v>6</v>
      </c>
      <c r="AD366" s="22">
        <v>2</v>
      </c>
      <c r="AE366" s="18" t="s">
        <v>221</v>
      </c>
      <c r="AF366" s="22">
        <v>99</v>
      </c>
      <c r="AG366" s="18"/>
      <c r="AH366" s="22">
        <v>99</v>
      </c>
      <c r="AI366" s="28">
        <v>99</v>
      </c>
      <c r="AJ366" s="18"/>
      <c r="AK366" s="22">
        <v>99</v>
      </c>
      <c r="AL366" s="22">
        <v>99</v>
      </c>
      <c r="AM366" s="22">
        <v>99</v>
      </c>
      <c r="AN366" s="22">
        <v>2</v>
      </c>
      <c r="AO366" s="22">
        <v>99</v>
      </c>
      <c r="AP366" s="22">
        <v>99</v>
      </c>
      <c r="AQ366" s="18" t="s">
        <v>221</v>
      </c>
      <c r="AR366" s="18" t="s">
        <v>221</v>
      </c>
      <c r="AS366" s="18"/>
      <c r="AT366" s="22">
        <v>3</v>
      </c>
      <c r="AU366" s="22">
        <v>3</v>
      </c>
      <c r="AV366" s="22">
        <v>3</v>
      </c>
      <c r="AW366" s="22">
        <v>4</v>
      </c>
      <c r="AX366" s="37">
        <v>4</v>
      </c>
      <c r="AY366" s="22">
        <v>4</v>
      </c>
      <c r="AZ366" s="22">
        <v>2</v>
      </c>
      <c r="BA366" s="38">
        <v>99</v>
      </c>
      <c r="BB366" s="22">
        <v>99</v>
      </c>
      <c r="BC366" s="18"/>
      <c r="BD366" s="18"/>
      <c r="BE366" s="89"/>
      <c r="BF366" s="22">
        <v>0</v>
      </c>
      <c r="BG366" s="22">
        <v>0</v>
      </c>
      <c r="BH366" s="22">
        <v>0</v>
      </c>
      <c r="BI366" s="22">
        <v>999</v>
      </c>
      <c r="BJ366" s="22">
        <v>7</v>
      </c>
    </row>
    <row r="367" spans="1:62" ht="13">
      <c r="A367" s="22" t="s">
        <v>3591</v>
      </c>
      <c r="B367" s="22"/>
      <c r="C367" s="22"/>
      <c r="D367" s="22"/>
      <c r="E367" s="22">
        <v>1</v>
      </c>
      <c r="F367" s="22">
        <v>1</v>
      </c>
      <c r="G367" s="28">
        <v>10</v>
      </c>
      <c r="H367" s="28">
        <v>7</v>
      </c>
      <c r="I367" s="30">
        <v>1962</v>
      </c>
      <c r="J367" s="34">
        <f t="shared" si="0"/>
        <v>22837</v>
      </c>
      <c r="K367" s="11" t="s">
        <v>1423</v>
      </c>
      <c r="L367" s="25" t="s">
        <v>1630</v>
      </c>
      <c r="M367" s="30">
        <v>1</v>
      </c>
      <c r="N367" s="17" t="s">
        <v>233</v>
      </c>
      <c r="O367" s="17"/>
      <c r="P367" s="25" t="s">
        <v>1631</v>
      </c>
      <c r="Q367" s="25" t="s">
        <v>1693</v>
      </c>
      <c r="R367" s="105"/>
      <c r="S367" s="105"/>
      <c r="T367" s="22">
        <v>2</v>
      </c>
      <c r="U367" s="22">
        <v>1</v>
      </c>
      <c r="V367" s="22">
        <v>99</v>
      </c>
      <c r="W367" s="22">
        <v>2</v>
      </c>
      <c r="X367" s="22">
        <v>2</v>
      </c>
      <c r="Y367" s="18"/>
      <c r="Z367" s="22">
        <v>99</v>
      </c>
      <c r="AA367" s="22">
        <v>99</v>
      </c>
      <c r="AB367" s="18" t="s">
        <v>221</v>
      </c>
      <c r="AC367" s="22">
        <v>6</v>
      </c>
      <c r="AD367" s="22">
        <v>2</v>
      </c>
      <c r="AE367" s="18" t="s">
        <v>221</v>
      </c>
      <c r="AF367" s="22">
        <v>99</v>
      </c>
      <c r="AG367" s="18"/>
      <c r="AH367" s="22">
        <v>99</v>
      </c>
      <c r="AI367" s="28">
        <v>99</v>
      </c>
      <c r="AJ367" s="18"/>
      <c r="AK367" s="22">
        <v>99</v>
      </c>
      <c r="AL367" s="22">
        <v>99</v>
      </c>
      <c r="AM367" s="22">
        <v>99</v>
      </c>
      <c r="AN367" s="22">
        <v>2</v>
      </c>
      <c r="AO367" s="22">
        <v>99</v>
      </c>
      <c r="AP367" s="22">
        <v>99</v>
      </c>
      <c r="AQ367" s="18" t="s">
        <v>221</v>
      </c>
      <c r="AR367" s="2" t="s">
        <v>3006</v>
      </c>
      <c r="AS367" s="18"/>
      <c r="AT367" s="22">
        <v>4</v>
      </c>
      <c r="AU367" s="22">
        <v>3</v>
      </c>
      <c r="AV367" s="22">
        <v>3</v>
      </c>
      <c r="AW367" s="22">
        <v>4</v>
      </c>
      <c r="AX367" s="37">
        <v>4</v>
      </c>
      <c r="AY367" s="22">
        <v>4</v>
      </c>
      <c r="AZ367" s="22">
        <v>2</v>
      </c>
      <c r="BA367" s="38">
        <v>99</v>
      </c>
      <c r="BB367" s="22">
        <v>99</v>
      </c>
      <c r="BC367" s="18"/>
      <c r="BD367" s="18"/>
      <c r="BE367" s="89"/>
      <c r="BF367" s="22">
        <v>2</v>
      </c>
      <c r="BG367" s="22">
        <v>0</v>
      </c>
      <c r="BH367" s="22">
        <v>2</v>
      </c>
      <c r="BI367" s="22">
        <v>999</v>
      </c>
      <c r="BJ367" s="22">
        <v>9</v>
      </c>
    </row>
    <row r="368" spans="1:62" ht="13">
      <c r="A368" s="22" t="s">
        <v>3593</v>
      </c>
      <c r="B368" s="22"/>
      <c r="C368" s="22"/>
      <c r="D368" s="22"/>
      <c r="E368" s="22">
        <v>1</v>
      </c>
      <c r="F368" s="22">
        <v>1</v>
      </c>
      <c r="G368" s="28">
        <v>14</v>
      </c>
      <c r="H368" s="28">
        <v>8</v>
      </c>
      <c r="I368" s="30">
        <v>1962</v>
      </c>
      <c r="J368" s="34">
        <f t="shared" si="0"/>
        <v>22872</v>
      </c>
      <c r="K368" s="11" t="s">
        <v>3544</v>
      </c>
      <c r="L368" s="25" t="s">
        <v>1634</v>
      </c>
      <c r="M368" s="30">
        <v>5</v>
      </c>
      <c r="N368" s="17" t="s">
        <v>32</v>
      </c>
      <c r="O368" s="17"/>
      <c r="P368" s="25" t="s">
        <v>244</v>
      </c>
      <c r="Q368" s="25" t="s">
        <v>3594</v>
      </c>
      <c r="R368" s="25">
        <v>19.049839800000001</v>
      </c>
      <c r="S368" s="25">
        <v>76.553139399999907</v>
      </c>
      <c r="T368" s="22">
        <v>2</v>
      </c>
      <c r="U368" s="22">
        <v>2</v>
      </c>
      <c r="V368" s="22">
        <v>1</v>
      </c>
      <c r="W368" s="22">
        <v>3</v>
      </c>
      <c r="X368" s="22">
        <v>2</v>
      </c>
      <c r="Y368" s="18"/>
      <c r="Z368" s="22">
        <v>99</v>
      </c>
      <c r="AA368" s="22">
        <v>99</v>
      </c>
      <c r="AB368" s="18" t="s">
        <v>221</v>
      </c>
      <c r="AC368" s="22">
        <v>6</v>
      </c>
      <c r="AD368" s="22">
        <v>2</v>
      </c>
      <c r="AE368" s="18" t="s">
        <v>221</v>
      </c>
      <c r="AF368" s="22">
        <v>99</v>
      </c>
      <c r="AG368" s="18"/>
      <c r="AH368" s="22">
        <v>99</v>
      </c>
      <c r="AI368" s="28">
        <v>21</v>
      </c>
      <c r="AJ368" s="18"/>
      <c r="AK368" s="22">
        <v>99</v>
      </c>
      <c r="AL368" s="22">
        <v>99</v>
      </c>
      <c r="AM368" s="22">
        <v>10</v>
      </c>
      <c r="AN368" s="22">
        <v>2</v>
      </c>
      <c r="AO368" s="22">
        <v>99</v>
      </c>
      <c r="AP368" s="22">
        <v>99</v>
      </c>
      <c r="AQ368" s="18" t="s">
        <v>221</v>
      </c>
      <c r="AR368" s="2" t="s">
        <v>1033</v>
      </c>
      <c r="AS368" s="22">
        <v>6</v>
      </c>
      <c r="AT368" s="22">
        <v>6</v>
      </c>
      <c r="AU368" s="22">
        <v>3</v>
      </c>
      <c r="AV368" s="22">
        <v>3</v>
      </c>
      <c r="AW368" s="22">
        <v>4</v>
      </c>
      <c r="AX368" s="37">
        <v>4</v>
      </c>
      <c r="AY368" s="22">
        <v>4</v>
      </c>
      <c r="AZ368" s="22">
        <v>2</v>
      </c>
      <c r="BA368" s="38">
        <v>99</v>
      </c>
      <c r="BB368" s="22">
        <v>99</v>
      </c>
      <c r="BC368" s="18"/>
      <c r="BD368" s="18"/>
      <c r="BE368" s="89"/>
      <c r="BF368" s="22">
        <v>0</v>
      </c>
      <c r="BG368" s="22">
        <v>1</v>
      </c>
      <c r="BH368" s="22">
        <v>1</v>
      </c>
      <c r="BI368" s="22">
        <v>1</v>
      </c>
      <c r="BJ368" s="22">
        <v>12</v>
      </c>
    </row>
    <row r="369" spans="1:62" ht="13">
      <c r="A369" s="22" t="s">
        <v>3596</v>
      </c>
      <c r="B369" s="22"/>
      <c r="C369" s="22"/>
      <c r="D369" s="22"/>
      <c r="E369" s="22">
        <v>2</v>
      </c>
      <c r="F369" s="22">
        <v>1</v>
      </c>
      <c r="G369" s="28">
        <v>21</v>
      </c>
      <c r="H369" s="28">
        <v>8</v>
      </c>
      <c r="I369" s="30">
        <v>1962</v>
      </c>
      <c r="J369" s="34">
        <f t="shared" si="0"/>
        <v>22879</v>
      </c>
      <c r="K369" s="11" t="s">
        <v>3597</v>
      </c>
      <c r="L369" s="25" t="s">
        <v>1636</v>
      </c>
      <c r="M369" s="30">
        <v>1</v>
      </c>
      <c r="N369" s="17" t="s">
        <v>233</v>
      </c>
      <c r="O369" s="17"/>
      <c r="P369" s="25" t="s">
        <v>1637</v>
      </c>
      <c r="Q369" s="25" t="s">
        <v>1695</v>
      </c>
      <c r="R369" s="25">
        <v>31.780384999999999</v>
      </c>
      <c r="S369" s="25">
        <v>35.010102000000003</v>
      </c>
      <c r="T369" s="22">
        <v>99</v>
      </c>
      <c r="U369" s="22">
        <v>1</v>
      </c>
      <c r="V369" s="22">
        <v>99</v>
      </c>
      <c r="W369" s="22">
        <v>2</v>
      </c>
      <c r="X369" s="22">
        <v>2</v>
      </c>
      <c r="Y369" s="18"/>
      <c r="Z369" s="22">
        <v>5</v>
      </c>
      <c r="AA369" s="22">
        <v>2</v>
      </c>
      <c r="AB369" s="18" t="s">
        <v>221</v>
      </c>
      <c r="AC369" s="22">
        <v>6</v>
      </c>
      <c r="AD369" s="22">
        <v>2</v>
      </c>
      <c r="AE369" s="18" t="s">
        <v>221</v>
      </c>
      <c r="AF369" s="22">
        <v>99</v>
      </c>
      <c r="AG369" s="18"/>
      <c r="AH369" s="22">
        <v>99</v>
      </c>
      <c r="AI369" s="28">
        <v>21</v>
      </c>
      <c r="AJ369" s="18"/>
      <c r="AK369" s="22">
        <v>99</v>
      </c>
      <c r="AL369" s="22">
        <v>99</v>
      </c>
      <c r="AM369" s="22">
        <v>99</v>
      </c>
      <c r="AN369" s="22">
        <v>2</v>
      </c>
      <c r="AO369" s="22">
        <v>99</v>
      </c>
      <c r="AP369" s="22">
        <v>99</v>
      </c>
      <c r="AQ369" s="22" t="s">
        <v>3599</v>
      </c>
      <c r="AR369" s="2" t="s">
        <v>3600</v>
      </c>
      <c r="AS369" s="22">
        <v>5</v>
      </c>
      <c r="AT369" s="22">
        <v>5</v>
      </c>
      <c r="AU369" s="22">
        <v>3</v>
      </c>
      <c r="AV369" s="22">
        <v>3</v>
      </c>
      <c r="AW369" s="22">
        <v>4</v>
      </c>
      <c r="AX369" s="37">
        <v>4</v>
      </c>
      <c r="AY369" s="22">
        <v>4</v>
      </c>
      <c r="AZ369" s="22">
        <v>1</v>
      </c>
      <c r="BA369" s="38">
        <v>8</v>
      </c>
      <c r="BB369" s="22">
        <v>2</v>
      </c>
      <c r="BC369" s="18"/>
      <c r="BD369" s="18"/>
      <c r="BE369" s="89"/>
      <c r="BF369" s="22">
        <v>3</v>
      </c>
      <c r="BG369" s="22">
        <v>0</v>
      </c>
      <c r="BH369" s="22">
        <v>3</v>
      </c>
      <c r="BI369" s="22">
        <v>999</v>
      </c>
      <c r="BJ369" s="22">
        <v>5</v>
      </c>
    </row>
    <row r="370" spans="1:62" ht="13">
      <c r="A370" s="22" t="s">
        <v>3601</v>
      </c>
      <c r="B370" s="22"/>
      <c r="C370" s="22"/>
      <c r="D370" s="22"/>
      <c r="E370" s="22">
        <v>1</v>
      </c>
      <c r="F370" s="22">
        <v>1</v>
      </c>
      <c r="G370" s="28">
        <v>12</v>
      </c>
      <c r="H370" s="28">
        <v>9</v>
      </c>
      <c r="I370" s="30">
        <v>1962</v>
      </c>
      <c r="J370" s="34">
        <f t="shared" si="0"/>
        <v>22901</v>
      </c>
      <c r="K370" s="11" t="s">
        <v>3602</v>
      </c>
      <c r="L370" s="25" t="s">
        <v>1638</v>
      </c>
      <c r="M370" s="30">
        <v>1</v>
      </c>
      <c r="N370" s="17" t="s">
        <v>233</v>
      </c>
      <c r="O370" s="17"/>
      <c r="P370" s="25" t="s">
        <v>1639</v>
      </c>
      <c r="Q370" s="25" t="s">
        <v>1697</v>
      </c>
      <c r="R370" s="25">
        <v>31.882936999999998</v>
      </c>
      <c r="S370" s="25">
        <v>34.828361999999998</v>
      </c>
      <c r="T370" s="22">
        <v>1</v>
      </c>
      <c r="U370" s="22">
        <v>99</v>
      </c>
      <c r="V370" s="22">
        <v>99</v>
      </c>
      <c r="W370" s="22">
        <v>2</v>
      </c>
      <c r="X370" s="22">
        <v>2</v>
      </c>
      <c r="Y370" s="18"/>
      <c r="Z370" s="22">
        <v>99</v>
      </c>
      <c r="AA370" s="22">
        <v>2</v>
      </c>
      <c r="AB370" s="18" t="s">
        <v>221</v>
      </c>
      <c r="AC370" s="22">
        <v>6</v>
      </c>
      <c r="AD370" s="22">
        <v>2</v>
      </c>
      <c r="AE370" s="18" t="s">
        <v>221</v>
      </c>
      <c r="AF370" s="22">
        <v>99</v>
      </c>
      <c r="AG370" s="18"/>
      <c r="AH370" s="22">
        <v>99</v>
      </c>
      <c r="AI370" s="28">
        <v>21</v>
      </c>
      <c r="AJ370" s="18"/>
      <c r="AK370" s="22">
        <v>99</v>
      </c>
      <c r="AL370" s="22">
        <v>99</v>
      </c>
      <c r="AM370" s="22">
        <v>99</v>
      </c>
      <c r="AN370" s="22">
        <v>2</v>
      </c>
      <c r="AO370" s="22">
        <v>99</v>
      </c>
      <c r="AP370" s="22">
        <v>99</v>
      </c>
      <c r="AQ370" s="22" t="s">
        <v>3603</v>
      </c>
      <c r="AR370" s="2" t="s">
        <v>1527</v>
      </c>
      <c r="AS370" s="22">
        <v>5</v>
      </c>
      <c r="AT370" s="22">
        <v>4</v>
      </c>
      <c r="AU370" s="22">
        <v>3</v>
      </c>
      <c r="AV370" s="22">
        <v>3</v>
      </c>
      <c r="AW370" s="22">
        <v>4</v>
      </c>
      <c r="AX370" s="37">
        <v>4</v>
      </c>
      <c r="AY370" s="22">
        <v>4</v>
      </c>
      <c r="AZ370" s="22">
        <v>2</v>
      </c>
      <c r="BA370" s="38">
        <v>99</v>
      </c>
      <c r="BB370" s="22">
        <v>99</v>
      </c>
      <c r="BC370" s="18"/>
      <c r="BD370" s="18"/>
      <c r="BE370" s="89"/>
      <c r="BF370" s="22">
        <v>3</v>
      </c>
      <c r="BG370" s="22">
        <v>2</v>
      </c>
      <c r="BH370" s="22">
        <v>5</v>
      </c>
      <c r="BI370" s="22">
        <v>999</v>
      </c>
      <c r="BJ370" s="22">
        <v>7</v>
      </c>
    </row>
    <row r="371" spans="1:62" ht="13">
      <c r="A371" s="22" t="s">
        <v>3604</v>
      </c>
      <c r="B371" s="22"/>
      <c r="C371" s="22"/>
      <c r="D371" s="22"/>
      <c r="E371" s="22">
        <v>3</v>
      </c>
      <c r="F371" s="22">
        <v>1</v>
      </c>
      <c r="G371" s="28">
        <v>12</v>
      </c>
      <c r="H371" s="28">
        <v>9</v>
      </c>
      <c r="I371" s="30">
        <v>1962</v>
      </c>
      <c r="J371" s="34">
        <f t="shared" si="0"/>
        <v>22901</v>
      </c>
      <c r="K371" s="11" t="s">
        <v>1250</v>
      </c>
      <c r="L371" s="25" t="s">
        <v>1641</v>
      </c>
      <c r="M371" s="30">
        <v>1</v>
      </c>
      <c r="N371" s="17" t="s">
        <v>233</v>
      </c>
      <c r="O371" s="17"/>
      <c r="P371" s="25" t="s">
        <v>1642</v>
      </c>
      <c r="Q371" s="25" t="s">
        <v>3605</v>
      </c>
      <c r="R371" s="25">
        <v>32.494070000000001</v>
      </c>
      <c r="S371" s="25">
        <v>35.550767</v>
      </c>
      <c r="T371" s="22">
        <v>2</v>
      </c>
      <c r="U371" s="22">
        <v>1</v>
      </c>
      <c r="V371" s="22">
        <v>99</v>
      </c>
      <c r="W371" s="22">
        <v>2</v>
      </c>
      <c r="X371" s="22">
        <v>2</v>
      </c>
      <c r="Y371" s="18"/>
      <c r="Z371" s="22">
        <v>1</v>
      </c>
      <c r="AA371" s="22">
        <v>99</v>
      </c>
      <c r="AB371" s="18" t="s">
        <v>221</v>
      </c>
      <c r="AC371" s="22">
        <v>6</v>
      </c>
      <c r="AD371" s="22">
        <v>2</v>
      </c>
      <c r="AE371" s="18" t="s">
        <v>221</v>
      </c>
      <c r="AF371" s="22">
        <v>99</v>
      </c>
      <c r="AG371" s="18"/>
      <c r="AH371" s="22">
        <v>99</v>
      </c>
      <c r="AI371" s="28">
        <v>18</v>
      </c>
      <c r="AJ371" s="18"/>
      <c r="AK371" s="22">
        <v>99</v>
      </c>
      <c r="AL371" s="22">
        <v>99</v>
      </c>
      <c r="AM371" s="22">
        <v>99</v>
      </c>
      <c r="AN371" s="22">
        <v>2</v>
      </c>
      <c r="AO371" s="22">
        <v>99</v>
      </c>
      <c r="AP371" s="22">
        <v>99</v>
      </c>
      <c r="AQ371" s="18" t="s">
        <v>221</v>
      </c>
      <c r="AR371" s="18" t="s">
        <v>221</v>
      </c>
      <c r="AS371" s="18"/>
      <c r="AT371" s="18"/>
      <c r="AU371" s="22">
        <v>3</v>
      </c>
      <c r="AV371" s="22">
        <v>3</v>
      </c>
      <c r="AW371" s="22">
        <v>4</v>
      </c>
      <c r="AX371" s="37">
        <v>4</v>
      </c>
      <c r="AY371" s="22">
        <v>4</v>
      </c>
      <c r="AZ371" s="22">
        <v>1</v>
      </c>
      <c r="BA371" s="38">
        <v>8</v>
      </c>
      <c r="BB371" s="22">
        <v>2</v>
      </c>
      <c r="BC371" s="18"/>
      <c r="BD371" s="18"/>
      <c r="BE371" s="89"/>
      <c r="BF371" s="22">
        <v>0</v>
      </c>
      <c r="BG371" s="22">
        <v>0</v>
      </c>
      <c r="BH371" s="22">
        <v>0</v>
      </c>
      <c r="BI371" s="22">
        <v>999</v>
      </c>
      <c r="BJ371" s="22">
        <v>3</v>
      </c>
    </row>
    <row r="372" spans="1:62" ht="13">
      <c r="A372" s="22" t="s">
        <v>3606</v>
      </c>
      <c r="B372" s="22"/>
      <c r="C372" s="22"/>
      <c r="D372" s="22"/>
      <c r="E372" s="22">
        <v>1</v>
      </c>
      <c r="F372" s="22">
        <v>1</v>
      </c>
      <c r="G372" s="28">
        <v>14</v>
      </c>
      <c r="H372" s="28">
        <v>10</v>
      </c>
      <c r="I372" s="30">
        <v>1962</v>
      </c>
      <c r="J372" s="34">
        <f t="shared" si="0"/>
        <v>22933</v>
      </c>
      <c r="K372" s="11" t="s">
        <v>1675</v>
      </c>
      <c r="L372" s="25" t="s">
        <v>1644</v>
      </c>
      <c r="M372" s="30">
        <v>1</v>
      </c>
      <c r="N372" s="17" t="s">
        <v>233</v>
      </c>
      <c r="O372" s="17"/>
      <c r="P372" s="25" t="s">
        <v>1645</v>
      </c>
      <c r="Q372" s="25" t="s">
        <v>1698</v>
      </c>
      <c r="R372" s="105"/>
      <c r="S372" s="105"/>
      <c r="T372" s="22">
        <v>2</v>
      </c>
      <c r="U372" s="22">
        <v>1</v>
      </c>
      <c r="V372" s="22">
        <v>99</v>
      </c>
      <c r="W372" s="22">
        <v>2</v>
      </c>
      <c r="X372" s="22">
        <v>2</v>
      </c>
      <c r="Y372" s="18"/>
      <c r="Z372" s="22">
        <v>3</v>
      </c>
      <c r="AA372" s="22">
        <v>1</v>
      </c>
      <c r="AB372" s="18" t="s">
        <v>221</v>
      </c>
      <c r="AC372" s="22">
        <v>6</v>
      </c>
      <c r="AD372" s="22">
        <v>1</v>
      </c>
      <c r="AE372" s="18" t="s">
        <v>221</v>
      </c>
      <c r="AF372" s="22">
        <v>99</v>
      </c>
      <c r="AG372" s="18"/>
      <c r="AH372" s="22">
        <v>99</v>
      </c>
      <c r="AI372" s="28">
        <v>21</v>
      </c>
      <c r="AJ372" s="18"/>
      <c r="AK372" s="22">
        <v>99</v>
      </c>
      <c r="AL372" s="22">
        <v>99</v>
      </c>
      <c r="AM372" s="22">
        <v>99</v>
      </c>
      <c r="AN372" s="22">
        <v>2</v>
      </c>
      <c r="AO372" s="22">
        <v>99</v>
      </c>
      <c r="AP372" s="22">
        <v>99</v>
      </c>
      <c r="AQ372" s="22" t="s">
        <v>3608</v>
      </c>
      <c r="AR372" s="2" t="s">
        <v>3105</v>
      </c>
      <c r="AS372" s="22">
        <v>5</v>
      </c>
      <c r="AT372" s="18"/>
      <c r="AU372" s="22">
        <v>3</v>
      </c>
      <c r="AV372" s="22">
        <v>3</v>
      </c>
      <c r="AW372" s="22">
        <v>4</v>
      </c>
      <c r="AX372" s="37">
        <v>4</v>
      </c>
      <c r="AY372" s="22">
        <v>4</v>
      </c>
      <c r="AZ372" s="22">
        <v>1</v>
      </c>
      <c r="BA372" s="38">
        <v>9</v>
      </c>
      <c r="BB372" s="22">
        <v>2</v>
      </c>
      <c r="BC372" s="18"/>
      <c r="BD372" s="18"/>
      <c r="BE372" s="89"/>
      <c r="BF372" s="22">
        <v>0</v>
      </c>
      <c r="BG372" s="22">
        <v>1</v>
      </c>
      <c r="BH372" s="22">
        <v>1</v>
      </c>
      <c r="BI372" s="22">
        <v>999</v>
      </c>
      <c r="BJ372" s="22">
        <v>12</v>
      </c>
    </row>
    <row r="373" spans="1:62" ht="13">
      <c r="A373" s="22" t="s">
        <v>3609</v>
      </c>
      <c r="B373" s="22"/>
      <c r="C373" s="22"/>
      <c r="D373" s="22"/>
      <c r="E373" s="22">
        <v>1</v>
      </c>
      <c r="F373" s="22">
        <v>1</v>
      </c>
      <c r="G373" s="28">
        <v>6</v>
      </c>
      <c r="H373" s="28">
        <v>11</v>
      </c>
      <c r="I373" s="30">
        <v>1962</v>
      </c>
      <c r="J373" s="34">
        <f t="shared" si="0"/>
        <v>22956</v>
      </c>
      <c r="K373" s="35" t="s">
        <v>221</v>
      </c>
      <c r="L373" s="25" t="s">
        <v>1648</v>
      </c>
      <c r="M373" s="30">
        <v>1</v>
      </c>
      <c r="N373" s="17" t="s">
        <v>233</v>
      </c>
      <c r="O373" s="17"/>
      <c r="P373" s="25" t="s">
        <v>1599</v>
      </c>
      <c r="Q373" s="25" t="s">
        <v>1680</v>
      </c>
      <c r="R373" s="25">
        <v>32.482477000000003</v>
      </c>
      <c r="S373" s="25">
        <v>35.421370199999998</v>
      </c>
      <c r="T373" s="22">
        <v>2</v>
      </c>
      <c r="U373" s="22">
        <v>1</v>
      </c>
      <c r="V373" s="22">
        <v>99</v>
      </c>
      <c r="W373" s="22">
        <v>2</v>
      </c>
      <c r="X373" s="22">
        <v>2</v>
      </c>
      <c r="Y373" s="18"/>
      <c r="Z373" s="22">
        <v>3</v>
      </c>
      <c r="AA373" s="22">
        <v>1</v>
      </c>
      <c r="AB373" s="2" t="s">
        <v>2217</v>
      </c>
      <c r="AC373" s="22">
        <v>6</v>
      </c>
      <c r="AD373" s="22">
        <v>2</v>
      </c>
      <c r="AE373" s="2" t="s">
        <v>994</v>
      </c>
      <c r="AF373" s="22">
        <v>99</v>
      </c>
      <c r="AG373" s="18"/>
      <c r="AH373" s="22">
        <v>99</v>
      </c>
      <c r="AI373" s="28">
        <v>18</v>
      </c>
      <c r="AJ373" s="18"/>
      <c r="AK373" s="22">
        <v>99</v>
      </c>
      <c r="AL373" s="22">
        <v>99</v>
      </c>
      <c r="AM373" s="22">
        <v>99</v>
      </c>
      <c r="AN373" s="22">
        <v>2</v>
      </c>
      <c r="AO373" s="22">
        <v>99</v>
      </c>
      <c r="AP373" s="22">
        <v>99</v>
      </c>
      <c r="AQ373" s="18" t="s">
        <v>221</v>
      </c>
      <c r="AR373" s="18" t="s">
        <v>221</v>
      </c>
      <c r="AS373" s="18"/>
      <c r="AT373" s="18"/>
      <c r="AU373" s="22">
        <v>3</v>
      </c>
      <c r="AV373" s="22">
        <v>3</v>
      </c>
      <c r="AW373" s="22">
        <v>4</v>
      </c>
      <c r="AX373" s="37">
        <v>4</v>
      </c>
      <c r="AY373" s="22">
        <v>4</v>
      </c>
      <c r="AZ373" s="22">
        <v>2</v>
      </c>
      <c r="BA373" s="38">
        <v>99</v>
      </c>
      <c r="BB373" s="22">
        <v>99</v>
      </c>
      <c r="BC373" s="18"/>
      <c r="BD373" s="18"/>
      <c r="BE373" s="89"/>
      <c r="BF373" s="22">
        <v>0</v>
      </c>
      <c r="BG373" s="22">
        <v>0</v>
      </c>
      <c r="BH373" s="22">
        <v>0</v>
      </c>
      <c r="BI373" s="22">
        <v>999</v>
      </c>
      <c r="BJ373" s="22">
        <v>3</v>
      </c>
    </row>
    <row r="374" spans="1:62" ht="13">
      <c r="A374" s="22" t="s">
        <v>3610</v>
      </c>
      <c r="B374" s="22"/>
      <c r="C374" s="22"/>
      <c r="D374" s="22"/>
      <c r="E374" s="22">
        <v>1</v>
      </c>
      <c r="F374" s="22">
        <v>1</v>
      </c>
      <c r="G374" s="28">
        <v>6</v>
      </c>
      <c r="H374" s="28">
        <v>11</v>
      </c>
      <c r="I374" s="30">
        <v>1962</v>
      </c>
      <c r="J374" s="34">
        <f t="shared" si="0"/>
        <v>22956</v>
      </c>
      <c r="K374" s="11" t="s">
        <v>3175</v>
      </c>
      <c r="L374" s="25" t="s">
        <v>1649</v>
      </c>
      <c r="M374" s="30">
        <v>1</v>
      </c>
      <c r="N374" s="17" t="s">
        <v>233</v>
      </c>
      <c r="O374" s="17"/>
      <c r="P374" s="25" t="s">
        <v>1650</v>
      </c>
      <c r="Q374" s="25" t="s">
        <v>1700</v>
      </c>
      <c r="R374" s="25">
        <v>-28.7710969</v>
      </c>
      <c r="S374" s="25">
        <v>114.6629161</v>
      </c>
      <c r="T374" s="22">
        <v>2</v>
      </c>
      <c r="U374" s="22">
        <v>1</v>
      </c>
      <c r="V374" s="22">
        <v>99</v>
      </c>
      <c r="W374" s="22">
        <v>1</v>
      </c>
      <c r="X374" s="22">
        <v>1</v>
      </c>
      <c r="Y374" s="18"/>
      <c r="Z374" s="22">
        <v>99</v>
      </c>
      <c r="AA374" s="22">
        <v>2</v>
      </c>
      <c r="AB374" s="2" t="s">
        <v>2217</v>
      </c>
      <c r="AC374" s="22">
        <v>6</v>
      </c>
      <c r="AD374" s="22">
        <v>2</v>
      </c>
      <c r="AE374" s="18" t="s">
        <v>221</v>
      </c>
      <c r="AF374" s="22">
        <v>99</v>
      </c>
      <c r="AG374" s="18"/>
      <c r="AH374" s="22">
        <v>99</v>
      </c>
      <c r="AI374" s="28">
        <v>18</v>
      </c>
      <c r="AJ374" s="18"/>
      <c r="AK374" s="22">
        <v>99</v>
      </c>
      <c r="AL374" s="22">
        <v>99</v>
      </c>
      <c r="AM374" s="22">
        <v>99</v>
      </c>
      <c r="AN374" s="22">
        <v>2</v>
      </c>
      <c r="AO374" s="22">
        <v>99</v>
      </c>
      <c r="AP374" s="22">
        <v>99</v>
      </c>
      <c r="AQ374" s="18" t="s">
        <v>221</v>
      </c>
      <c r="AR374" s="18" t="s">
        <v>221</v>
      </c>
      <c r="AS374" s="18"/>
      <c r="AT374" s="18"/>
      <c r="AU374" s="22">
        <v>3</v>
      </c>
      <c r="AV374" s="22">
        <v>3</v>
      </c>
      <c r="AW374" s="22">
        <v>4</v>
      </c>
      <c r="AX374" s="37">
        <v>4</v>
      </c>
      <c r="AY374" s="22">
        <v>4</v>
      </c>
      <c r="AZ374" s="22">
        <v>1</v>
      </c>
      <c r="BA374" s="38">
        <v>8</v>
      </c>
      <c r="BB374" s="22">
        <v>2</v>
      </c>
      <c r="BC374" s="18"/>
      <c r="BD374" s="18"/>
      <c r="BE374" s="89"/>
      <c r="BF374" s="22">
        <v>0</v>
      </c>
      <c r="BG374" s="22">
        <v>0</v>
      </c>
      <c r="BH374" s="22">
        <v>0</v>
      </c>
      <c r="BI374" s="22">
        <v>999</v>
      </c>
      <c r="BJ374" s="22">
        <v>7</v>
      </c>
    </row>
    <row r="375" spans="1:62" ht="13">
      <c r="A375" s="22" t="s">
        <v>3611</v>
      </c>
      <c r="B375" s="22"/>
      <c r="C375" s="22"/>
      <c r="D375" s="22"/>
      <c r="E375" s="22">
        <v>5</v>
      </c>
      <c r="F375" s="22">
        <v>1</v>
      </c>
      <c r="G375" s="28">
        <v>4</v>
      </c>
      <c r="H375" s="28">
        <v>12</v>
      </c>
      <c r="I375" s="30">
        <v>1962</v>
      </c>
      <c r="J375" s="34">
        <f t="shared" si="0"/>
        <v>22984</v>
      </c>
      <c r="K375" s="11" t="s">
        <v>993</v>
      </c>
      <c r="L375" s="25" t="s">
        <v>1651</v>
      </c>
      <c r="M375" s="30">
        <v>1</v>
      </c>
      <c r="N375" s="17" t="s">
        <v>233</v>
      </c>
      <c r="O375" s="17"/>
      <c r="P375" s="25" t="s">
        <v>1652</v>
      </c>
      <c r="Q375" s="25" t="s">
        <v>1702</v>
      </c>
      <c r="R375" s="25">
        <v>31.729683000000001</v>
      </c>
      <c r="S375" s="25">
        <v>35.073414</v>
      </c>
      <c r="T375" s="22">
        <v>2</v>
      </c>
      <c r="U375" s="22">
        <v>1</v>
      </c>
      <c r="V375" s="22">
        <v>99</v>
      </c>
      <c r="W375" s="22">
        <v>2</v>
      </c>
      <c r="X375" s="22">
        <v>2</v>
      </c>
      <c r="Y375" s="18"/>
      <c r="Z375" s="22">
        <v>99</v>
      </c>
      <c r="AA375" s="22">
        <v>2</v>
      </c>
      <c r="AB375" s="2" t="s">
        <v>1464</v>
      </c>
      <c r="AC375" s="22">
        <v>6</v>
      </c>
      <c r="AD375" s="22">
        <v>2</v>
      </c>
      <c r="AE375" s="18" t="s">
        <v>221</v>
      </c>
      <c r="AF375" s="22">
        <v>99</v>
      </c>
      <c r="AG375" s="18"/>
      <c r="AH375" s="22">
        <v>99</v>
      </c>
      <c r="AI375" s="28">
        <v>18</v>
      </c>
      <c r="AJ375" s="18"/>
      <c r="AK375" s="22">
        <v>99</v>
      </c>
      <c r="AL375" s="22">
        <v>99</v>
      </c>
      <c r="AM375" s="22">
        <v>99</v>
      </c>
      <c r="AN375" s="22">
        <v>2</v>
      </c>
      <c r="AO375" s="22">
        <v>99</v>
      </c>
      <c r="AP375" s="22">
        <v>99</v>
      </c>
      <c r="AQ375" s="18" t="s">
        <v>221</v>
      </c>
      <c r="AR375" s="18" t="s">
        <v>221</v>
      </c>
      <c r="AS375" s="18"/>
      <c r="AT375" s="18"/>
      <c r="AU375" s="22">
        <v>3</v>
      </c>
      <c r="AV375" s="22">
        <v>3</v>
      </c>
      <c r="AW375" s="22">
        <v>4</v>
      </c>
      <c r="AX375" s="37">
        <v>4</v>
      </c>
      <c r="AY375" s="22">
        <v>4</v>
      </c>
      <c r="AZ375" s="22">
        <v>1</v>
      </c>
      <c r="BA375" s="38">
        <v>8</v>
      </c>
      <c r="BB375" s="22">
        <v>2</v>
      </c>
      <c r="BC375" s="18"/>
      <c r="BD375" s="18"/>
      <c r="BE375" s="89"/>
      <c r="BF375" s="22">
        <v>0</v>
      </c>
      <c r="BG375" s="22">
        <v>0</v>
      </c>
      <c r="BH375" s="22">
        <v>0</v>
      </c>
      <c r="BI375" s="22">
        <v>999</v>
      </c>
      <c r="BJ375" s="22">
        <v>7</v>
      </c>
    </row>
    <row r="376" spans="1:62" ht="13">
      <c r="A376" s="22" t="s">
        <v>3612</v>
      </c>
      <c r="B376" s="22"/>
      <c r="C376" s="22"/>
      <c r="D376" s="22"/>
      <c r="E376" s="22">
        <v>3</v>
      </c>
      <c r="F376" s="22">
        <v>1</v>
      </c>
      <c r="G376" s="28">
        <v>7</v>
      </c>
      <c r="H376" s="28">
        <v>12</v>
      </c>
      <c r="I376" s="30">
        <v>1962</v>
      </c>
      <c r="J376" s="34">
        <f t="shared" si="0"/>
        <v>22987</v>
      </c>
      <c r="K376" s="35" t="s">
        <v>221</v>
      </c>
      <c r="L376" s="25" t="s">
        <v>1654</v>
      </c>
      <c r="M376" s="30">
        <v>1</v>
      </c>
      <c r="N376" s="17" t="s">
        <v>233</v>
      </c>
      <c r="O376" s="17"/>
      <c r="P376" s="25" t="s">
        <v>1655</v>
      </c>
      <c r="Q376" s="25" t="s">
        <v>1703</v>
      </c>
      <c r="R376" s="105"/>
      <c r="S376" s="105"/>
      <c r="T376" s="22">
        <v>99</v>
      </c>
      <c r="U376" s="22">
        <v>1</v>
      </c>
      <c r="V376" s="22">
        <v>99</v>
      </c>
      <c r="W376" s="22">
        <v>3</v>
      </c>
      <c r="X376" s="22">
        <v>2</v>
      </c>
      <c r="Y376" s="18"/>
      <c r="Z376" s="22">
        <v>99</v>
      </c>
      <c r="AA376" s="22">
        <v>2</v>
      </c>
      <c r="AB376" s="2" t="s">
        <v>1735</v>
      </c>
      <c r="AC376" s="22">
        <v>6</v>
      </c>
      <c r="AD376" s="22">
        <v>2</v>
      </c>
      <c r="AE376" s="18" t="s">
        <v>221</v>
      </c>
      <c r="AF376" s="22">
        <v>99</v>
      </c>
      <c r="AG376" s="18"/>
      <c r="AH376" s="22">
        <v>99</v>
      </c>
      <c r="AI376" s="28">
        <v>18</v>
      </c>
      <c r="AJ376" s="18"/>
      <c r="AK376" s="22">
        <v>99</v>
      </c>
      <c r="AL376" s="22">
        <v>99</v>
      </c>
      <c r="AM376" s="22">
        <v>99</v>
      </c>
      <c r="AN376" s="22">
        <v>2</v>
      </c>
      <c r="AO376" s="22">
        <v>99</v>
      </c>
      <c r="AP376" s="22">
        <v>99</v>
      </c>
      <c r="AQ376" s="18" t="s">
        <v>221</v>
      </c>
      <c r="AR376" s="18" t="s">
        <v>221</v>
      </c>
      <c r="AS376" s="18"/>
      <c r="AT376" s="18"/>
      <c r="AU376" s="22">
        <v>3</v>
      </c>
      <c r="AV376" s="22">
        <v>3</v>
      </c>
      <c r="AW376" s="22">
        <v>4</v>
      </c>
      <c r="AX376" s="37">
        <v>4</v>
      </c>
      <c r="AY376" s="22">
        <v>4</v>
      </c>
      <c r="AZ376" s="22">
        <v>2</v>
      </c>
      <c r="BA376" s="38">
        <v>99</v>
      </c>
      <c r="BB376" s="22">
        <v>99</v>
      </c>
      <c r="BC376" s="18"/>
      <c r="BD376" s="18"/>
      <c r="BE376" s="89"/>
      <c r="BF376" s="22">
        <v>0</v>
      </c>
      <c r="BG376" s="22">
        <v>0</v>
      </c>
      <c r="BH376" s="22">
        <v>0</v>
      </c>
      <c r="BI376" s="22">
        <v>999</v>
      </c>
      <c r="BJ376" s="22">
        <v>9</v>
      </c>
    </row>
    <row r="377" spans="1:62" ht="13">
      <c r="A377" s="22" t="s">
        <v>3613</v>
      </c>
      <c r="B377" s="22"/>
      <c r="C377" s="22"/>
      <c r="D377" s="22"/>
      <c r="E377" s="22">
        <v>3</v>
      </c>
      <c r="F377" s="22">
        <v>1</v>
      </c>
      <c r="G377" s="28">
        <v>23</v>
      </c>
      <c r="H377" s="28">
        <v>1</v>
      </c>
      <c r="I377" s="30">
        <v>1963</v>
      </c>
      <c r="J377" s="34">
        <f t="shared" si="0"/>
        <v>23034</v>
      </c>
      <c r="K377" s="35" t="s">
        <v>221</v>
      </c>
      <c r="L377" s="25" t="s">
        <v>1657</v>
      </c>
      <c r="M377" s="30">
        <v>2</v>
      </c>
      <c r="N377" s="17" t="s">
        <v>1180</v>
      </c>
      <c r="O377" s="17"/>
      <c r="P377" s="18"/>
      <c r="Q377" s="41" t="s">
        <v>582</v>
      </c>
      <c r="R377" s="124"/>
      <c r="S377" s="124"/>
      <c r="T377" s="22">
        <v>2</v>
      </c>
      <c r="U377" s="22">
        <v>1</v>
      </c>
      <c r="V377" s="22">
        <v>99</v>
      </c>
      <c r="W377" s="22">
        <v>99</v>
      </c>
      <c r="X377" s="22">
        <v>3</v>
      </c>
      <c r="Y377" s="18"/>
      <c r="Z377" s="22">
        <v>5</v>
      </c>
      <c r="AA377" s="22">
        <v>3</v>
      </c>
      <c r="AB377" s="18" t="s">
        <v>221</v>
      </c>
      <c r="AC377" s="22">
        <v>6</v>
      </c>
      <c r="AD377" s="22">
        <v>2</v>
      </c>
      <c r="AE377" s="18" t="s">
        <v>221</v>
      </c>
      <c r="AF377" s="22">
        <v>2</v>
      </c>
      <c r="AG377" s="18"/>
      <c r="AH377" s="22">
        <v>99</v>
      </c>
      <c r="AI377" s="28">
        <v>21</v>
      </c>
      <c r="AJ377" s="18"/>
      <c r="AK377" s="22">
        <v>99</v>
      </c>
      <c r="AL377" s="22">
        <v>99</v>
      </c>
      <c r="AM377" s="22">
        <v>99</v>
      </c>
      <c r="AN377" s="22">
        <v>2</v>
      </c>
      <c r="AO377" s="22">
        <v>99</v>
      </c>
      <c r="AP377" s="22">
        <v>99</v>
      </c>
      <c r="AQ377" s="22" t="s">
        <v>3614</v>
      </c>
      <c r="AR377" s="2" t="s">
        <v>1281</v>
      </c>
      <c r="AS377" s="18"/>
      <c r="AT377" s="22">
        <v>5</v>
      </c>
      <c r="AU377" s="22">
        <v>3</v>
      </c>
      <c r="AV377" s="22">
        <v>3</v>
      </c>
      <c r="AW377" s="22">
        <v>4</v>
      </c>
      <c r="AX377" s="37">
        <v>4</v>
      </c>
      <c r="AY377" s="22">
        <v>4</v>
      </c>
      <c r="AZ377" s="22">
        <v>2</v>
      </c>
      <c r="BA377" s="38">
        <v>99</v>
      </c>
      <c r="BB377" s="22">
        <v>99</v>
      </c>
      <c r="BC377" s="18"/>
      <c r="BD377" s="18"/>
      <c r="BE377" s="89"/>
      <c r="BF377" s="22">
        <v>1</v>
      </c>
      <c r="BG377" s="22">
        <v>0</v>
      </c>
      <c r="BH377" s="22">
        <v>1</v>
      </c>
      <c r="BI377" s="22">
        <v>2</v>
      </c>
      <c r="BJ377" s="22">
        <v>8</v>
      </c>
    </row>
    <row r="378" spans="1:62" ht="13">
      <c r="A378" s="22" t="s">
        <v>3615</v>
      </c>
      <c r="B378" s="18"/>
      <c r="C378" s="18"/>
      <c r="D378" s="18"/>
      <c r="E378" s="18"/>
      <c r="F378" s="18"/>
      <c r="G378" s="28">
        <v>23</v>
      </c>
      <c r="H378" s="28">
        <v>1</v>
      </c>
      <c r="I378" s="30">
        <v>1963</v>
      </c>
      <c r="J378" s="34">
        <f t="shared" si="0"/>
        <v>23034</v>
      </c>
      <c r="K378" s="35" t="s">
        <v>221</v>
      </c>
      <c r="L378" s="25" t="s">
        <v>1658</v>
      </c>
      <c r="M378" s="30">
        <v>7</v>
      </c>
      <c r="N378" s="17" t="s">
        <v>447</v>
      </c>
      <c r="O378" s="17"/>
      <c r="P378" s="18"/>
      <c r="Q378" s="41" t="s">
        <v>582</v>
      </c>
      <c r="R378" s="124"/>
      <c r="S378" s="124"/>
      <c r="T378" s="22">
        <v>2</v>
      </c>
      <c r="U378" s="22">
        <v>99</v>
      </c>
      <c r="V378" s="22">
        <v>99</v>
      </c>
      <c r="W378" s="22">
        <v>2</v>
      </c>
      <c r="X378" s="22">
        <v>2</v>
      </c>
      <c r="Y378" s="18"/>
      <c r="Z378" s="22">
        <v>5</v>
      </c>
      <c r="AA378" s="22">
        <v>1</v>
      </c>
      <c r="AB378" s="18" t="s">
        <v>221</v>
      </c>
      <c r="AC378" s="22">
        <v>6</v>
      </c>
      <c r="AD378" s="22">
        <v>2</v>
      </c>
      <c r="AE378" s="18" t="s">
        <v>221</v>
      </c>
      <c r="AF378" s="22">
        <v>99</v>
      </c>
      <c r="AG378" s="18"/>
      <c r="AH378" s="22">
        <v>99</v>
      </c>
      <c r="AI378" s="28">
        <v>18</v>
      </c>
      <c r="AJ378" s="18"/>
      <c r="AK378" s="22">
        <v>99</v>
      </c>
      <c r="AL378" s="22">
        <v>99</v>
      </c>
      <c r="AM378" s="22">
        <v>99</v>
      </c>
      <c r="AN378" s="22">
        <v>2</v>
      </c>
      <c r="AO378" s="22">
        <v>99</v>
      </c>
      <c r="AP378" s="22">
        <v>99</v>
      </c>
      <c r="AQ378" s="18" t="s">
        <v>221</v>
      </c>
      <c r="AR378" s="18" t="s">
        <v>221</v>
      </c>
      <c r="AS378" s="18"/>
      <c r="AT378" s="18"/>
      <c r="AU378" s="22">
        <v>3</v>
      </c>
      <c r="AV378" s="22">
        <v>3</v>
      </c>
      <c r="AW378" s="22">
        <v>4</v>
      </c>
      <c r="AX378" s="37">
        <v>4</v>
      </c>
      <c r="AY378" s="22">
        <v>4</v>
      </c>
      <c r="AZ378" s="22">
        <v>2</v>
      </c>
      <c r="BA378" s="38">
        <v>99</v>
      </c>
      <c r="BB378" s="22">
        <v>99</v>
      </c>
      <c r="BC378" s="18"/>
      <c r="BD378" s="18"/>
      <c r="BE378" s="89"/>
      <c r="BF378" s="22">
        <v>0</v>
      </c>
      <c r="BG378" s="22">
        <v>0</v>
      </c>
      <c r="BH378" s="22">
        <v>0</v>
      </c>
      <c r="BI378" s="22">
        <v>999</v>
      </c>
      <c r="BJ378" s="22">
        <v>3</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73"/>
  <sheetViews>
    <sheetView workbookViewId="0">
      <pane ySplit="1" topLeftCell="A2" activePane="bottomLeft" state="frozen"/>
      <selection pane="bottomLeft" activeCell="B3" sqref="B3"/>
    </sheetView>
  </sheetViews>
  <sheetFormatPr baseColWidth="10" defaultColWidth="14.5" defaultRowHeight="15.75" customHeight="1"/>
  <sheetData>
    <row r="1" spans="1:4" ht="15.75" customHeight="1">
      <c r="A1" s="24" t="s">
        <v>136</v>
      </c>
      <c r="B1" s="24" t="s">
        <v>153</v>
      </c>
      <c r="C1" s="24" t="s">
        <v>154</v>
      </c>
      <c r="D1" s="24" t="s">
        <v>155</v>
      </c>
    </row>
    <row r="2" spans="1:4" ht="15.75" customHeight="1">
      <c r="A2" s="1" t="s">
        <v>32</v>
      </c>
      <c r="B2" s="26" t="s">
        <v>160</v>
      </c>
      <c r="C2" s="26" t="s">
        <v>161</v>
      </c>
    </row>
    <row r="3" spans="1:4" ht="15.75" customHeight="1">
      <c r="A3" s="1" t="s">
        <v>38</v>
      </c>
      <c r="B3" s="26" t="s">
        <v>162</v>
      </c>
      <c r="C3" s="26" t="s">
        <v>163</v>
      </c>
    </row>
    <row r="4" spans="1:4" ht="15.75" customHeight="1">
      <c r="A4" s="1" t="s">
        <v>43</v>
      </c>
      <c r="B4" s="26" t="s">
        <v>164</v>
      </c>
      <c r="C4" s="26" t="s">
        <v>165</v>
      </c>
    </row>
    <row r="5" spans="1:4" ht="15.75" customHeight="1">
      <c r="A5" s="1" t="s">
        <v>48</v>
      </c>
      <c r="B5" s="26" t="s">
        <v>166</v>
      </c>
      <c r="C5" s="26" t="s">
        <v>167</v>
      </c>
    </row>
    <row r="6" spans="1:4" ht="15.75" customHeight="1">
      <c r="A6" s="1" t="s">
        <v>58</v>
      </c>
      <c r="B6" s="26" t="s">
        <v>168</v>
      </c>
      <c r="C6" s="26" t="s">
        <v>169</v>
      </c>
    </row>
    <row r="7" spans="1:4" ht="15.75" customHeight="1">
      <c r="A7" s="1" t="s">
        <v>32</v>
      </c>
      <c r="B7" s="26" t="s">
        <v>160</v>
      </c>
      <c r="C7" s="26" t="s">
        <v>161</v>
      </c>
    </row>
    <row r="8" spans="1:4" ht="15.75" customHeight="1">
      <c r="A8" s="1" t="s">
        <v>67</v>
      </c>
      <c r="B8" s="26" t="s">
        <v>171</v>
      </c>
      <c r="C8" s="26" t="s">
        <v>172</v>
      </c>
    </row>
    <row r="9" spans="1:4" ht="15.75" customHeight="1">
      <c r="A9" s="1" t="s">
        <v>43</v>
      </c>
      <c r="B9" s="26" t="s">
        <v>164</v>
      </c>
      <c r="C9" s="26" t="s">
        <v>165</v>
      </c>
    </row>
    <row r="10" spans="1:4" ht="15.75" customHeight="1">
      <c r="A10" s="1" t="s">
        <v>78</v>
      </c>
      <c r="B10" s="26" t="s">
        <v>177</v>
      </c>
      <c r="C10" s="26" t="s">
        <v>178</v>
      </c>
    </row>
    <row r="11" spans="1:4" ht="15.75" customHeight="1">
      <c r="A11" s="1" t="s">
        <v>91</v>
      </c>
      <c r="B11" s="26" t="s">
        <v>179</v>
      </c>
      <c r="C11" s="26" t="s">
        <v>180</v>
      </c>
    </row>
    <row r="12" spans="1:4" ht="15.75" customHeight="1">
      <c r="A12" s="1" t="s">
        <v>101</v>
      </c>
      <c r="B12" s="26" t="s">
        <v>181</v>
      </c>
      <c r="C12" s="26" t="s">
        <v>182</v>
      </c>
    </row>
    <row r="13" spans="1:4" ht="15.75" customHeight="1">
      <c r="A13" s="1" t="s">
        <v>183</v>
      </c>
      <c r="B13" s="26" t="s">
        <v>184</v>
      </c>
      <c r="C13" s="26" t="s">
        <v>185</v>
      </c>
    </row>
    <row r="14" spans="1:4" ht="15.75" customHeight="1">
      <c r="A14" s="1" t="s">
        <v>119</v>
      </c>
      <c r="B14" s="26" t="s">
        <v>186</v>
      </c>
      <c r="C14" s="26" t="s">
        <v>187</v>
      </c>
    </row>
    <row r="15" spans="1:4" ht="15.75" customHeight="1">
      <c r="A15" s="1" t="s">
        <v>131</v>
      </c>
      <c r="B15" s="26" t="s">
        <v>189</v>
      </c>
      <c r="C15" s="26" t="s">
        <v>190</v>
      </c>
    </row>
    <row r="16" spans="1:4" ht="15.75" customHeight="1">
      <c r="A16" s="1" t="s">
        <v>141</v>
      </c>
      <c r="B16" s="26" t="s">
        <v>194</v>
      </c>
      <c r="C16" s="26" t="s">
        <v>196</v>
      </c>
    </row>
    <row r="17" spans="1:4" ht="15.75" customHeight="1">
      <c r="A17" s="1" t="s">
        <v>38</v>
      </c>
      <c r="B17" s="26" t="s">
        <v>162</v>
      </c>
      <c r="C17" s="26" t="s">
        <v>163</v>
      </c>
    </row>
    <row r="18" spans="1:4" ht="15.75" customHeight="1">
      <c r="A18" s="1" t="s">
        <v>148</v>
      </c>
      <c r="B18" s="26" t="s">
        <v>197</v>
      </c>
      <c r="C18" s="26" t="s">
        <v>198</v>
      </c>
    </row>
    <row r="19" spans="1:4" ht="15.75" customHeight="1">
      <c r="A19" s="1" t="s">
        <v>152</v>
      </c>
      <c r="B19" s="26" t="s">
        <v>199</v>
      </c>
      <c r="C19" s="26" t="s">
        <v>200</v>
      </c>
    </row>
    <row r="20" spans="1:4" ht="15.75" customHeight="1">
      <c r="A20" s="1" t="s">
        <v>201</v>
      </c>
      <c r="D20" s="1" t="s">
        <v>202</v>
      </c>
    </row>
    <row r="21" spans="1:4" ht="15.75" customHeight="1">
      <c r="A21" s="1" t="s">
        <v>203</v>
      </c>
      <c r="B21" s="26" t="s">
        <v>204</v>
      </c>
      <c r="C21" s="26" t="s">
        <v>205</v>
      </c>
    </row>
    <row r="22" spans="1:4" ht="15.75" customHeight="1">
      <c r="A22" s="1" t="s">
        <v>207</v>
      </c>
      <c r="D22" s="1" t="s">
        <v>202</v>
      </c>
    </row>
    <row r="23" spans="1:4" ht="15.75" customHeight="1">
      <c r="A23" s="1" t="s">
        <v>203</v>
      </c>
      <c r="B23" s="26" t="s">
        <v>204</v>
      </c>
      <c r="C23" s="26" t="s">
        <v>205</v>
      </c>
    </row>
    <row r="24" spans="1:4" ht="15.75" customHeight="1">
      <c r="A24" s="1" t="s">
        <v>210</v>
      </c>
      <c r="B24" s="26" t="s">
        <v>211</v>
      </c>
      <c r="C24" s="26" t="s">
        <v>213</v>
      </c>
    </row>
    <row r="25" spans="1:4" ht="15.75" customHeight="1">
      <c r="A25" s="1" t="s">
        <v>215</v>
      </c>
      <c r="B25" s="26" t="s">
        <v>216</v>
      </c>
      <c r="C25" s="26" t="s">
        <v>218</v>
      </c>
    </row>
    <row r="26" spans="1:4" ht="15.75" customHeight="1">
      <c r="A26" s="1" t="s">
        <v>32</v>
      </c>
      <c r="B26" s="26" t="s">
        <v>160</v>
      </c>
      <c r="C26" s="26" t="s">
        <v>161</v>
      </c>
    </row>
    <row r="27" spans="1:4" ht="15.75" customHeight="1">
      <c r="A27" s="1" t="s">
        <v>222</v>
      </c>
      <c r="B27" s="26" t="s">
        <v>224</v>
      </c>
      <c r="C27" s="26" t="s">
        <v>226</v>
      </c>
    </row>
    <row r="28" spans="1:4" ht="15.75" customHeight="1">
      <c r="A28" s="1" t="s">
        <v>230</v>
      </c>
      <c r="D28" s="1" t="s">
        <v>202</v>
      </c>
    </row>
    <row r="29" spans="1:4" ht="15.75" customHeight="1">
      <c r="A29" s="1" t="s">
        <v>232</v>
      </c>
      <c r="B29" s="26" t="s">
        <v>235</v>
      </c>
      <c r="C29" s="26" t="s">
        <v>236</v>
      </c>
    </row>
    <row r="30" spans="1:4" ht="15.75" customHeight="1">
      <c r="A30" s="1" t="s">
        <v>16</v>
      </c>
      <c r="B30" s="26" t="s">
        <v>238</v>
      </c>
      <c r="C30" s="26" t="s">
        <v>239</v>
      </c>
    </row>
    <row r="31" spans="1:4" ht="15.75" customHeight="1">
      <c r="A31" s="1" t="s">
        <v>240</v>
      </c>
      <c r="D31" s="1" t="s">
        <v>202</v>
      </c>
    </row>
    <row r="32" spans="1:4" ht="15.75" customHeight="1">
      <c r="A32" s="1" t="s">
        <v>244</v>
      </c>
      <c r="B32" s="26" t="s">
        <v>245</v>
      </c>
      <c r="C32" s="26" t="s">
        <v>247</v>
      </c>
    </row>
    <row r="33" spans="1:4" ht="15.75" customHeight="1">
      <c r="A33" s="1" t="s">
        <v>32</v>
      </c>
      <c r="B33" s="26" t="s">
        <v>160</v>
      </c>
      <c r="C33" s="26" t="s">
        <v>161</v>
      </c>
    </row>
    <row r="34" spans="1:4" ht="15.75" customHeight="1">
      <c r="A34" s="1" t="s">
        <v>252</v>
      </c>
      <c r="B34" s="26" t="s">
        <v>254</v>
      </c>
      <c r="C34" s="26" t="s">
        <v>255</v>
      </c>
    </row>
    <row r="35" spans="1:4" ht="15.75" customHeight="1">
      <c r="A35" s="1" t="s">
        <v>256</v>
      </c>
      <c r="B35" s="26" t="s">
        <v>257</v>
      </c>
      <c r="C35" s="26" t="s">
        <v>259</v>
      </c>
    </row>
    <row r="36" spans="1:4" ht="15.75" customHeight="1">
      <c r="A36" s="1" t="s">
        <v>262</v>
      </c>
      <c r="D36" s="1" t="s">
        <v>202</v>
      </c>
    </row>
    <row r="37" spans="1:4" ht="15.75" customHeight="1">
      <c r="A37" s="1" t="s">
        <v>264</v>
      </c>
      <c r="D37" s="1" t="s">
        <v>202</v>
      </c>
    </row>
    <row r="38" spans="1:4" ht="15.75" customHeight="1">
      <c r="A38" s="1" t="s">
        <v>265</v>
      </c>
      <c r="B38" s="26" t="s">
        <v>266</v>
      </c>
      <c r="C38" s="26" t="s">
        <v>267</v>
      </c>
    </row>
    <row r="39" spans="1:4" ht="15.75" customHeight="1">
      <c r="A39" s="1" t="s">
        <v>268</v>
      </c>
      <c r="B39" s="26" t="s">
        <v>204</v>
      </c>
      <c r="C39" s="26" t="s">
        <v>205</v>
      </c>
    </row>
    <row r="40" spans="1:4" ht="15.75" customHeight="1">
      <c r="A40" s="1" t="s">
        <v>269</v>
      </c>
      <c r="B40" s="26" t="s">
        <v>224</v>
      </c>
      <c r="C40" s="26" t="s">
        <v>226</v>
      </c>
    </row>
    <row r="41" spans="1:4" ht="15.75" customHeight="1">
      <c r="A41" s="1" t="s">
        <v>270</v>
      </c>
      <c r="B41" s="26" t="s">
        <v>271</v>
      </c>
      <c r="C41" s="26" t="s">
        <v>272</v>
      </c>
    </row>
    <row r="42" spans="1:4" ht="15.75" customHeight="1">
      <c r="A42" s="1" t="s">
        <v>274</v>
      </c>
      <c r="D42" s="1" t="s">
        <v>202</v>
      </c>
    </row>
    <row r="43" spans="1:4" ht="15.75" customHeight="1">
      <c r="A43" s="1" t="s">
        <v>276</v>
      </c>
      <c r="B43" s="26" t="s">
        <v>277</v>
      </c>
      <c r="C43" s="26" t="s">
        <v>279</v>
      </c>
    </row>
    <row r="44" spans="1:4" ht="15.75" customHeight="1">
      <c r="A44" s="1" t="s">
        <v>281</v>
      </c>
      <c r="B44" s="26" t="s">
        <v>283</v>
      </c>
      <c r="C44" s="26" t="s">
        <v>284</v>
      </c>
    </row>
    <row r="45" spans="1:4" ht="15.75" customHeight="1">
      <c r="A45" s="1" t="s">
        <v>286</v>
      </c>
      <c r="B45" s="26" t="s">
        <v>287</v>
      </c>
      <c r="C45" s="26" t="s">
        <v>288</v>
      </c>
    </row>
    <row r="46" spans="1:4" ht="15.75" customHeight="1">
      <c r="A46" s="1" t="s">
        <v>290</v>
      </c>
      <c r="B46" s="26" t="s">
        <v>291</v>
      </c>
      <c r="C46" s="26" t="s">
        <v>292</v>
      </c>
    </row>
    <row r="47" spans="1:4" ht="15.75" customHeight="1">
      <c r="A47" s="1" t="s">
        <v>256</v>
      </c>
      <c r="B47" s="26" t="s">
        <v>257</v>
      </c>
      <c r="C47" s="26" t="s">
        <v>259</v>
      </c>
    </row>
    <row r="48" spans="1:4" ht="15.75" customHeight="1">
      <c r="A48" s="1" t="s">
        <v>297</v>
      </c>
      <c r="B48" s="26" t="s">
        <v>298</v>
      </c>
      <c r="C48" s="26" t="s">
        <v>299</v>
      </c>
    </row>
    <row r="49" spans="1:4" ht="15.75" customHeight="1">
      <c r="A49" s="1" t="s">
        <v>301</v>
      </c>
      <c r="B49" s="26" t="s">
        <v>303</v>
      </c>
      <c r="C49" s="26" t="s">
        <v>304</v>
      </c>
    </row>
    <row r="50" spans="1:4" ht="15.75" customHeight="1">
      <c r="A50" s="1" t="s">
        <v>305</v>
      </c>
      <c r="B50" s="26" t="s">
        <v>306</v>
      </c>
      <c r="C50" s="26" t="s">
        <v>307</v>
      </c>
    </row>
    <row r="51" spans="1:4" ht="15.75" customHeight="1">
      <c r="A51" s="1" t="s">
        <v>131</v>
      </c>
      <c r="B51" s="26" t="s">
        <v>189</v>
      </c>
      <c r="C51" s="26" t="s">
        <v>190</v>
      </c>
    </row>
    <row r="52" spans="1:4" ht="15.75" customHeight="1">
      <c r="A52" s="1" t="s">
        <v>265</v>
      </c>
      <c r="B52" s="26" t="s">
        <v>266</v>
      </c>
      <c r="C52" s="26" t="s">
        <v>267</v>
      </c>
    </row>
    <row r="53" spans="1:4" ht="15.75" customHeight="1">
      <c r="A53" s="1" t="s">
        <v>131</v>
      </c>
      <c r="B53" s="26" t="s">
        <v>189</v>
      </c>
      <c r="C53" s="26" t="s">
        <v>190</v>
      </c>
    </row>
    <row r="54" spans="1:4" ht="15.75" customHeight="1">
      <c r="A54" s="1" t="s">
        <v>316</v>
      </c>
      <c r="B54" s="26" t="s">
        <v>317</v>
      </c>
      <c r="C54" s="26" t="s">
        <v>318</v>
      </c>
    </row>
    <row r="55" spans="1:4" ht="15.75" customHeight="1">
      <c r="A55" s="1" t="s">
        <v>135</v>
      </c>
      <c r="B55" s="26" t="s">
        <v>320</v>
      </c>
      <c r="C55" s="26" t="s">
        <v>321</v>
      </c>
    </row>
    <row r="56" spans="1:4" ht="15.75" customHeight="1">
      <c r="A56" s="1" t="s">
        <v>316</v>
      </c>
      <c r="B56" s="26" t="s">
        <v>317</v>
      </c>
      <c r="C56" s="26" t="s">
        <v>318</v>
      </c>
    </row>
    <row r="57" spans="1:4" ht="15.75" customHeight="1">
      <c r="A57" s="1" t="s">
        <v>326</v>
      </c>
      <c r="B57" s="26" t="s">
        <v>327</v>
      </c>
      <c r="C57" s="26" t="s">
        <v>329</v>
      </c>
    </row>
    <row r="58" spans="1:4" ht="15.75" customHeight="1">
      <c r="A58" s="1" t="s">
        <v>281</v>
      </c>
      <c r="B58" s="26" t="s">
        <v>283</v>
      </c>
      <c r="C58" s="26" t="s">
        <v>284</v>
      </c>
    </row>
    <row r="59" spans="1:4" ht="15.75" customHeight="1">
      <c r="A59" s="1" t="s">
        <v>332</v>
      </c>
      <c r="D59" s="1" t="s">
        <v>202</v>
      </c>
    </row>
    <row r="60" spans="1:4" ht="15.75" customHeight="1">
      <c r="A60" s="1" t="s">
        <v>336</v>
      </c>
      <c r="D60" s="1" t="s">
        <v>202</v>
      </c>
    </row>
    <row r="61" spans="1:4" ht="15.75" customHeight="1">
      <c r="A61" s="1" t="s">
        <v>337</v>
      </c>
      <c r="D61" s="1" t="s">
        <v>202</v>
      </c>
    </row>
    <row r="62" spans="1:4" ht="15.75" customHeight="1">
      <c r="A62" s="1" t="s">
        <v>201</v>
      </c>
      <c r="D62" s="1" t="s">
        <v>202</v>
      </c>
    </row>
    <row r="63" spans="1:4" ht="15.75" customHeight="1">
      <c r="A63" s="1" t="s">
        <v>338</v>
      </c>
      <c r="B63" s="26" t="s">
        <v>339</v>
      </c>
      <c r="C63" s="26" t="s">
        <v>340</v>
      </c>
    </row>
    <row r="64" spans="1:4" ht="15.75" customHeight="1">
      <c r="A64" s="1" t="s">
        <v>342</v>
      </c>
      <c r="B64" s="26" t="s">
        <v>343</v>
      </c>
      <c r="C64" s="26" t="s">
        <v>344</v>
      </c>
    </row>
    <row r="65" spans="1:4" ht="15.75" customHeight="1">
      <c r="A65" s="1" t="s">
        <v>345</v>
      </c>
      <c r="D65" s="1" t="s">
        <v>202</v>
      </c>
    </row>
    <row r="66" spans="1:4" ht="15.75" customHeight="1">
      <c r="A66" s="1" t="s">
        <v>347</v>
      </c>
      <c r="B66" s="26" t="s">
        <v>348</v>
      </c>
      <c r="C66" s="26" t="s">
        <v>349</v>
      </c>
    </row>
    <row r="67" spans="1:4" ht="15.75" customHeight="1">
      <c r="A67" s="1" t="s">
        <v>350</v>
      </c>
      <c r="B67" s="26" t="s">
        <v>351</v>
      </c>
      <c r="C67" s="26" t="s">
        <v>352</v>
      </c>
    </row>
    <row r="68" spans="1:4" ht="15.75" customHeight="1">
      <c r="A68" s="1" t="s">
        <v>353</v>
      </c>
      <c r="B68" s="26" t="s">
        <v>354</v>
      </c>
      <c r="C68" s="26" t="s">
        <v>355</v>
      </c>
    </row>
    <row r="69" spans="1:4" ht="15.75" customHeight="1">
      <c r="A69" s="1" t="s">
        <v>357</v>
      </c>
      <c r="B69" s="26" t="s">
        <v>358</v>
      </c>
      <c r="C69" s="26" t="s">
        <v>359</v>
      </c>
    </row>
    <row r="70" spans="1:4" ht="15.75" customHeight="1">
      <c r="A70" s="1" t="s">
        <v>362</v>
      </c>
      <c r="B70" s="26" t="s">
        <v>364</v>
      </c>
      <c r="C70" s="26" t="s">
        <v>365</v>
      </c>
    </row>
    <row r="71" spans="1:4" ht="15.75" customHeight="1">
      <c r="A71" s="1" t="s">
        <v>366</v>
      </c>
      <c r="B71" s="26" t="s">
        <v>367</v>
      </c>
      <c r="C71" s="26" t="s">
        <v>368</v>
      </c>
    </row>
    <row r="72" spans="1:4" ht="15.75" customHeight="1">
      <c r="A72" s="1" t="s">
        <v>370</v>
      </c>
      <c r="B72" s="26" t="s">
        <v>372</v>
      </c>
      <c r="C72" s="26" t="s">
        <v>374</v>
      </c>
    </row>
    <row r="73" spans="1:4" ht="15.75" customHeight="1">
      <c r="A73" s="1" t="s">
        <v>345</v>
      </c>
      <c r="D73" s="1" t="s">
        <v>202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E1000"/>
  <sheetViews>
    <sheetView workbookViewId="0"/>
  </sheetViews>
  <sheetFormatPr baseColWidth="10" defaultColWidth="14.5" defaultRowHeight="15.75" customHeight="1"/>
  <cols>
    <col min="1" max="1" width="29.5" customWidth="1"/>
    <col min="2" max="2" width="35.1640625" customWidth="1"/>
    <col min="3" max="3" width="83.5" customWidth="1"/>
    <col min="5" max="5" width="77.83203125" customWidth="1"/>
  </cols>
  <sheetData>
    <row r="1" spans="1:5">
      <c r="A1" s="43" t="s">
        <v>27</v>
      </c>
      <c r="B1" s="44" t="s">
        <v>21</v>
      </c>
      <c r="C1" s="45" t="s">
        <v>521</v>
      </c>
      <c r="D1" s="44" t="s">
        <v>24</v>
      </c>
      <c r="E1" s="44" t="s">
        <v>26</v>
      </c>
    </row>
    <row r="2" spans="1:5">
      <c r="A2" s="46">
        <v>17667</v>
      </c>
      <c r="B2" s="47" t="s">
        <v>229</v>
      </c>
      <c r="C2" s="47" t="s">
        <v>135</v>
      </c>
      <c r="D2" s="47">
        <v>33.239637000000002</v>
      </c>
      <c r="E2" s="47">
        <v>35.653953000000001</v>
      </c>
    </row>
    <row r="3" spans="1:5">
      <c r="A3" s="46">
        <v>17668</v>
      </c>
      <c r="B3" s="47" t="s">
        <v>341</v>
      </c>
      <c r="C3" s="47" t="s">
        <v>32</v>
      </c>
      <c r="D3" s="47">
        <v>31.768319000000002</v>
      </c>
      <c r="E3" s="47">
        <v>35.213709999999999</v>
      </c>
    </row>
    <row r="4" spans="1:5">
      <c r="A4" s="46">
        <v>17677</v>
      </c>
      <c r="B4" s="47" t="s">
        <v>404</v>
      </c>
      <c r="C4" s="47" t="s">
        <v>409</v>
      </c>
      <c r="D4" s="48">
        <v>31.7859178</v>
      </c>
      <c r="E4" s="48">
        <v>35.242329599999998</v>
      </c>
    </row>
    <row r="5" spans="1:5">
      <c r="A5" s="46">
        <v>17677</v>
      </c>
      <c r="B5" s="47" t="s">
        <v>444</v>
      </c>
      <c r="C5" s="49" t="s">
        <v>530</v>
      </c>
      <c r="D5" s="50">
        <v>30.5</v>
      </c>
      <c r="E5" s="50">
        <v>34.917000000000002</v>
      </c>
    </row>
    <row r="6" spans="1:5">
      <c r="A6" s="46">
        <v>17692</v>
      </c>
      <c r="B6" s="47" t="s">
        <v>509</v>
      </c>
      <c r="C6" s="47" t="s">
        <v>512</v>
      </c>
      <c r="D6" s="47">
        <v>32.497103000000003</v>
      </c>
      <c r="E6" s="47">
        <v>35.497335999999997</v>
      </c>
    </row>
    <row r="7" spans="1:5">
      <c r="A7" s="46">
        <v>17712</v>
      </c>
      <c r="B7" s="47" t="s">
        <v>518</v>
      </c>
      <c r="C7" s="47" t="s">
        <v>519</v>
      </c>
      <c r="D7" s="47">
        <v>33.049922000000002</v>
      </c>
      <c r="E7" s="47">
        <v>35.487062000000002</v>
      </c>
    </row>
    <row r="8" spans="1:5">
      <c r="A8" s="46">
        <v>17716</v>
      </c>
      <c r="B8" s="47" t="s">
        <v>525</v>
      </c>
      <c r="C8" s="47" t="s">
        <v>526</v>
      </c>
      <c r="D8" s="48">
        <v>31.518459</v>
      </c>
      <c r="E8" s="48">
        <v>34.580544000000003</v>
      </c>
    </row>
    <row r="9" spans="1:5">
      <c r="A9" s="46">
        <v>17726</v>
      </c>
      <c r="B9" s="47" t="s">
        <v>538</v>
      </c>
      <c r="C9" s="49" t="s">
        <v>539</v>
      </c>
      <c r="D9" s="50">
        <v>32.066699999999997</v>
      </c>
      <c r="E9" s="50">
        <v>34.799999999999997</v>
      </c>
    </row>
    <row r="10" spans="1:5">
      <c r="A10" s="46">
        <v>17755</v>
      </c>
      <c r="B10" s="47" t="s">
        <v>529</v>
      </c>
      <c r="C10" s="47" t="s">
        <v>531</v>
      </c>
      <c r="D10" s="53">
        <v>31.252973000000001</v>
      </c>
      <c r="E10" s="47">
        <v>34.791462000000003</v>
      </c>
    </row>
    <row r="11" spans="1:5">
      <c r="A11" s="46">
        <v>17765</v>
      </c>
      <c r="B11" s="47" t="s">
        <v>535</v>
      </c>
      <c r="C11" s="47" t="s">
        <v>536</v>
      </c>
      <c r="D11" s="47">
        <v>31.663664600000001</v>
      </c>
      <c r="E11" s="47">
        <v>35.1390575</v>
      </c>
    </row>
    <row r="12" spans="1:5">
      <c r="A12" s="46">
        <v>17782</v>
      </c>
      <c r="B12" s="47" t="s">
        <v>544</v>
      </c>
      <c r="C12" s="47" t="s">
        <v>539</v>
      </c>
      <c r="D12" s="47">
        <v>32.085299900000003</v>
      </c>
      <c r="E12" s="47">
        <v>34.781767599999903</v>
      </c>
    </row>
    <row r="13" spans="1:5">
      <c r="A13" s="46">
        <v>17789</v>
      </c>
      <c r="B13" s="47" t="s">
        <v>546</v>
      </c>
      <c r="C13" s="47" t="s">
        <v>547</v>
      </c>
      <c r="D13" s="47">
        <v>31.681260399999999</v>
      </c>
      <c r="E13" s="47">
        <v>34.585908400000001</v>
      </c>
    </row>
    <row r="14" spans="1:5">
      <c r="A14" s="46">
        <v>17958</v>
      </c>
      <c r="B14" s="47" t="s">
        <v>548</v>
      </c>
      <c r="C14" s="47" t="s">
        <v>531</v>
      </c>
      <c r="D14" s="48">
        <v>31.252973000000001</v>
      </c>
      <c r="E14" s="48">
        <v>34.791462000000003</v>
      </c>
    </row>
    <row r="15" spans="1:5">
      <c r="A15" s="46">
        <v>18006</v>
      </c>
      <c r="B15" s="47" t="s">
        <v>549</v>
      </c>
      <c r="C15" s="49"/>
      <c r="D15" s="54">
        <v>39.912941199999999</v>
      </c>
      <c r="E15" s="54">
        <v>-104.79560549999999</v>
      </c>
    </row>
    <row r="16" spans="1:5">
      <c r="A16" s="46">
        <v>18007</v>
      </c>
      <c r="B16" s="47" t="s">
        <v>554</v>
      </c>
      <c r="C16" s="49"/>
      <c r="D16" s="54">
        <v>39.912941199999999</v>
      </c>
      <c r="E16" s="54">
        <v>-104.79560549999999</v>
      </c>
    </row>
    <row r="17" spans="1:5">
      <c r="A17" s="46">
        <v>18048</v>
      </c>
      <c r="B17" s="47" t="s">
        <v>556</v>
      </c>
      <c r="C17" s="47" t="s">
        <v>32</v>
      </c>
      <c r="D17" s="47">
        <v>31.768319000000002</v>
      </c>
      <c r="E17" s="47">
        <v>35.213709999999999</v>
      </c>
    </row>
    <row r="18" spans="1:5">
      <c r="A18" s="46">
        <v>18232</v>
      </c>
      <c r="B18" s="47" t="s">
        <v>557</v>
      </c>
      <c r="C18" s="47" t="s">
        <v>558</v>
      </c>
      <c r="D18" s="48">
        <v>31.560907</v>
      </c>
      <c r="E18" s="48">
        <v>34.844090000000001</v>
      </c>
    </row>
    <row r="19" spans="1:5">
      <c r="A19" s="46">
        <v>18232</v>
      </c>
      <c r="B19" s="47" t="s">
        <v>560</v>
      </c>
      <c r="C19" s="49"/>
      <c r="D19" s="54">
        <v>39.912941199999999</v>
      </c>
      <c r="E19" s="54">
        <v>-104.79560549999999</v>
      </c>
    </row>
    <row r="20" spans="1:5">
      <c r="A20" s="46">
        <v>18339</v>
      </c>
      <c r="B20" s="47" t="s">
        <v>561</v>
      </c>
      <c r="C20" s="47" t="s">
        <v>563</v>
      </c>
      <c r="D20" s="48">
        <v>31.419462500000002</v>
      </c>
      <c r="E20" s="48">
        <v>34.568954900000001</v>
      </c>
    </row>
    <row r="21" spans="1:5">
      <c r="A21" s="46">
        <v>18354</v>
      </c>
      <c r="B21" s="47" t="s">
        <v>564</v>
      </c>
      <c r="C21" s="49"/>
      <c r="D21" s="54">
        <v>39.912941199999999</v>
      </c>
      <c r="E21" s="54">
        <v>-104.79560549999999</v>
      </c>
    </row>
    <row r="22" spans="1:5">
      <c r="A22" s="46">
        <v>18439</v>
      </c>
      <c r="B22" s="47" t="s">
        <v>565</v>
      </c>
      <c r="C22" s="47" t="s">
        <v>566</v>
      </c>
      <c r="D22" s="47">
        <v>31.522693999999898</v>
      </c>
      <c r="E22" s="47">
        <v>34.595581000000003</v>
      </c>
    </row>
    <row r="23" spans="1:5">
      <c r="A23" s="46">
        <v>18450</v>
      </c>
      <c r="B23" s="47" t="s">
        <v>567</v>
      </c>
      <c r="C23" s="47" t="s">
        <v>569</v>
      </c>
      <c r="D23" s="47">
        <v>46.664433899999999</v>
      </c>
      <c r="E23" s="47">
        <v>-95.799303399999999</v>
      </c>
    </row>
    <row r="24" spans="1:5">
      <c r="A24" s="46">
        <v>18491</v>
      </c>
      <c r="B24" s="47" t="s">
        <v>571</v>
      </c>
      <c r="C24" s="47" t="s">
        <v>572</v>
      </c>
      <c r="D24" s="47">
        <v>40.625931600000001</v>
      </c>
      <c r="E24" s="47">
        <v>-75.370457899999906</v>
      </c>
    </row>
    <row r="25" spans="1:5">
      <c r="A25" s="46">
        <v>18495</v>
      </c>
      <c r="B25" s="47" t="s">
        <v>573</v>
      </c>
      <c r="C25" s="47" t="s">
        <v>575</v>
      </c>
      <c r="D25" s="47">
        <v>46.1865606</v>
      </c>
      <c r="E25" s="47">
        <v>21.3122677</v>
      </c>
    </row>
    <row r="26" spans="1:5">
      <c r="A26" s="46">
        <v>18502</v>
      </c>
      <c r="B26" s="47" t="s">
        <v>577</v>
      </c>
      <c r="C26" s="47" t="s">
        <v>578</v>
      </c>
      <c r="D26" s="48">
        <v>50.930395999999902</v>
      </c>
      <c r="E26" s="48">
        <v>-1.3446841</v>
      </c>
    </row>
    <row r="27" spans="1:5">
      <c r="A27" s="46">
        <v>18597</v>
      </c>
      <c r="B27" s="47" t="s">
        <v>579</v>
      </c>
      <c r="C27" s="55" t="s">
        <v>580</v>
      </c>
      <c r="D27" s="50">
        <v>31.374545000000001</v>
      </c>
      <c r="E27" s="50">
        <v>34.398992</v>
      </c>
    </row>
    <row r="28" spans="1:5">
      <c r="A28" s="46">
        <v>18598</v>
      </c>
      <c r="B28" s="47" t="s">
        <v>583</v>
      </c>
      <c r="C28" s="47" t="s">
        <v>32</v>
      </c>
      <c r="D28" s="47">
        <v>31.768319000000002</v>
      </c>
      <c r="E28" s="47">
        <v>35.213709999999999</v>
      </c>
    </row>
    <row r="29" spans="1:5">
      <c r="A29" s="46">
        <v>18610</v>
      </c>
      <c r="B29" s="47" t="s">
        <v>585</v>
      </c>
      <c r="C29" s="47" t="s">
        <v>32</v>
      </c>
      <c r="D29" s="47">
        <v>31.768319000000002</v>
      </c>
      <c r="E29" s="47">
        <v>35.213709999999999</v>
      </c>
    </row>
    <row r="30" spans="1:5">
      <c r="A30" s="46">
        <v>18612</v>
      </c>
      <c r="B30" s="47" t="s">
        <v>587</v>
      </c>
      <c r="C30" s="47" t="s">
        <v>588</v>
      </c>
      <c r="D30" s="47">
        <v>31.733404799999999</v>
      </c>
      <c r="E30" s="47">
        <v>35.193938299999999</v>
      </c>
    </row>
    <row r="31" spans="1:5">
      <c r="A31" s="46">
        <v>18613</v>
      </c>
      <c r="B31" s="47" t="s">
        <v>589</v>
      </c>
      <c r="C31" s="47" t="s">
        <v>32</v>
      </c>
      <c r="D31" s="48">
        <v>31.768319000000002</v>
      </c>
      <c r="E31" s="48">
        <v>35.213709999999999</v>
      </c>
    </row>
    <row r="32" spans="1:5">
      <c r="A32" s="46">
        <v>18652</v>
      </c>
      <c r="B32" s="47" t="s">
        <v>590</v>
      </c>
      <c r="C32" s="55" t="s">
        <v>591</v>
      </c>
      <c r="D32" s="50">
        <v>31.532568999999999</v>
      </c>
      <c r="E32" s="50">
        <v>35.099826</v>
      </c>
    </row>
    <row r="33" spans="1:5">
      <c r="A33" s="46">
        <v>18732</v>
      </c>
      <c r="B33" s="47" t="s">
        <v>592</v>
      </c>
      <c r="C33" s="47" t="s">
        <v>593</v>
      </c>
      <c r="D33" s="48">
        <v>40.625931600000001</v>
      </c>
      <c r="E33" s="48">
        <v>-75.370457899999906</v>
      </c>
    </row>
    <row r="34" spans="1:5">
      <c r="A34" s="46">
        <v>18736</v>
      </c>
      <c r="B34" s="47" t="s">
        <v>594</v>
      </c>
      <c r="C34" s="49" t="s">
        <v>595</v>
      </c>
      <c r="D34" s="54">
        <v>39.912941199999999</v>
      </c>
      <c r="E34" s="54">
        <v>-104.79560549999999</v>
      </c>
    </row>
    <row r="35" spans="1:5">
      <c r="A35" s="46">
        <v>18755</v>
      </c>
      <c r="B35" s="47" t="s">
        <v>596</v>
      </c>
      <c r="C35" s="47" t="s">
        <v>32</v>
      </c>
      <c r="D35" s="47">
        <v>31.768319000000002</v>
      </c>
      <c r="E35" s="47">
        <v>35.213709999999999</v>
      </c>
    </row>
    <row r="36" spans="1:5">
      <c r="A36" s="46">
        <v>18763</v>
      </c>
      <c r="B36" s="47" t="s">
        <v>597</v>
      </c>
      <c r="C36" s="47" t="s">
        <v>598</v>
      </c>
      <c r="D36" s="47">
        <v>32.663418999999998</v>
      </c>
      <c r="E36" s="47">
        <v>35.259861000000001</v>
      </c>
    </row>
    <row r="37" spans="1:5">
      <c r="A37" s="46">
        <v>18814</v>
      </c>
      <c r="B37" s="47" t="s">
        <v>599</v>
      </c>
      <c r="C37" s="47" t="s">
        <v>32</v>
      </c>
      <c r="D37" s="47">
        <v>31.768319000000002</v>
      </c>
      <c r="E37" s="47">
        <v>35.213709999999999</v>
      </c>
    </row>
    <row r="38" spans="1:5">
      <c r="A38" s="46">
        <v>18858</v>
      </c>
      <c r="B38" s="47" t="s">
        <v>600</v>
      </c>
      <c r="C38" s="47" t="s">
        <v>539</v>
      </c>
      <c r="D38" s="48">
        <v>32.085299900000003</v>
      </c>
      <c r="E38" s="48">
        <v>34.781767599999903</v>
      </c>
    </row>
    <row r="39" spans="1:5">
      <c r="A39" s="46">
        <v>18861</v>
      </c>
      <c r="B39" s="47" t="s">
        <v>601</v>
      </c>
      <c r="C39" s="49"/>
      <c r="D39" s="54">
        <v>39.912941199999999</v>
      </c>
      <c r="E39" s="54">
        <v>-104.79560549999999</v>
      </c>
    </row>
    <row r="40" spans="1:5">
      <c r="A40" s="46">
        <v>18876</v>
      </c>
      <c r="B40" s="47" t="s">
        <v>602</v>
      </c>
      <c r="C40" s="49"/>
      <c r="D40" s="54">
        <v>39.912941199999999</v>
      </c>
      <c r="E40" s="54">
        <v>-104.79560549999999</v>
      </c>
    </row>
    <row r="41" spans="1:5">
      <c r="A41" s="46">
        <v>18923</v>
      </c>
      <c r="B41" s="47" t="s">
        <v>604</v>
      </c>
      <c r="C41" s="55" t="s">
        <v>605</v>
      </c>
      <c r="D41" s="54">
        <v>30.6035255</v>
      </c>
      <c r="E41" s="54">
        <v>-87.903604700000002</v>
      </c>
    </row>
    <row r="42" spans="1:5">
      <c r="A42" s="60">
        <v>18957</v>
      </c>
      <c r="B42" s="47" t="s">
        <v>613</v>
      </c>
      <c r="C42" s="47" t="s">
        <v>32</v>
      </c>
      <c r="D42" s="48">
        <v>31.768319000000002</v>
      </c>
      <c r="E42" s="48">
        <v>35.213709999999999</v>
      </c>
    </row>
    <row r="43" spans="1:5">
      <c r="A43" s="62">
        <v>18962</v>
      </c>
      <c r="B43" s="47" t="s">
        <v>615</v>
      </c>
      <c r="C43" s="49" t="s">
        <v>616</v>
      </c>
      <c r="D43" s="50">
        <v>31.933</v>
      </c>
      <c r="E43" s="50">
        <v>34.866</v>
      </c>
    </row>
    <row r="44" spans="1:5">
      <c r="A44" s="62">
        <v>18962</v>
      </c>
      <c r="B44" s="65" t="s">
        <v>617</v>
      </c>
      <c r="C44" s="47" t="s">
        <v>32</v>
      </c>
      <c r="D44" s="48">
        <v>31.768319000000002</v>
      </c>
      <c r="E44" s="48">
        <v>35.213709999999999</v>
      </c>
    </row>
    <row r="45" spans="1:5">
      <c r="A45" s="46">
        <v>18962</v>
      </c>
      <c r="B45" s="47" t="s">
        <v>619</v>
      </c>
      <c r="C45" s="49"/>
      <c r="D45" s="54">
        <v>39.912941199999999</v>
      </c>
      <c r="E45" s="54">
        <v>-104.79560549999999</v>
      </c>
    </row>
    <row r="46" spans="1:5">
      <c r="A46" s="46">
        <v>18965</v>
      </c>
      <c r="B46" s="47" t="s">
        <v>623</v>
      </c>
      <c r="C46" s="55" t="s">
        <v>624</v>
      </c>
      <c r="D46" s="54">
        <v>30.071952899999999</v>
      </c>
      <c r="E46" s="54">
        <v>31.3300391</v>
      </c>
    </row>
    <row r="47" spans="1:5">
      <c r="A47" s="46">
        <v>18966</v>
      </c>
      <c r="B47" s="47" t="s">
        <v>626</v>
      </c>
      <c r="C47" s="47" t="s">
        <v>627</v>
      </c>
      <c r="D47" s="47">
        <v>32.499578999999997</v>
      </c>
      <c r="E47" s="47">
        <v>35.114134</v>
      </c>
    </row>
    <row r="48" spans="1:5">
      <c r="A48" s="46">
        <v>18978</v>
      </c>
      <c r="B48" s="47" t="s">
        <v>628</v>
      </c>
      <c r="C48" s="47" t="s">
        <v>32</v>
      </c>
      <c r="D48" s="48">
        <v>31.768319000000002</v>
      </c>
      <c r="E48" s="48">
        <v>35.213709999999999</v>
      </c>
    </row>
    <row r="49" spans="1:5">
      <c r="A49" s="46">
        <v>18990</v>
      </c>
      <c r="B49" s="47" t="s">
        <v>629</v>
      </c>
      <c r="C49" s="55" t="s">
        <v>630</v>
      </c>
      <c r="D49" s="54">
        <v>14.7654254</v>
      </c>
      <c r="E49" s="54">
        <v>121.041528</v>
      </c>
    </row>
    <row r="50" spans="1:5">
      <c r="A50" s="46">
        <v>18994</v>
      </c>
      <c r="B50" s="47" t="s">
        <v>632</v>
      </c>
      <c r="C50" s="49"/>
      <c r="D50" s="54">
        <v>39.912941199999999</v>
      </c>
      <c r="E50" s="54">
        <v>-104.79560549999999</v>
      </c>
    </row>
    <row r="51" spans="1:5">
      <c r="A51" s="43" t="s">
        <v>634</v>
      </c>
      <c r="B51" s="66" t="s">
        <v>29</v>
      </c>
      <c r="C51" s="45" t="s">
        <v>32</v>
      </c>
      <c r="D51" s="68">
        <v>31.768319000000002</v>
      </c>
      <c r="E51" s="68">
        <v>35.213709999999999</v>
      </c>
    </row>
    <row r="52" spans="1:5">
      <c r="A52" s="46">
        <v>19050</v>
      </c>
      <c r="B52" s="47" t="s">
        <v>635</v>
      </c>
      <c r="C52" s="47" t="s">
        <v>32</v>
      </c>
      <c r="D52" s="47">
        <v>31.768319000000002</v>
      </c>
      <c r="E52" s="47">
        <v>35.213709999999999</v>
      </c>
    </row>
    <row r="53" spans="1:5">
      <c r="A53" s="46">
        <v>19177</v>
      </c>
      <c r="B53" s="47" t="s">
        <v>638</v>
      </c>
      <c r="C53" s="47" t="s">
        <v>32</v>
      </c>
      <c r="D53" s="48">
        <v>31.768319000000002</v>
      </c>
      <c r="E53" s="48">
        <v>35.213709999999999</v>
      </c>
    </row>
    <row r="54" spans="1:5">
      <c r="A54" s="46">
        <v>19189</v>
      </c>
      <c r="B54" s="47" t="s">
        <v>639</v>
      </c>
      <c r="C54" s="49"/>
      <c r="D54" s="54">
        <v>39.912941199999999</v>
      </c>
      <c r="E54" s="54">
        <v>-104.79560549999999</v>
      </c>
    </row>
    <row r="55" spans="1:5">
      <c r="A55" s="46">
        <v>19263</v>
      </c>
      <c r="B55" s="47" t="s">
        <v>643</v>
      </c>
      <c r="C55" s="47" t="s">
        <v>32</v>
      </c>
      <c r="D55" s="47">
        <v>31.768319000000002</v>
      </c>
      <c r="E55" s="47">
        <v>35.213709999999999</v>
      </c>
    </row>
    <row r="56" spans="1:5">
      <c r="A56" s="46">
        <v>19304</v>
      </c>
      <c r="B56" s="47" t="s">
        <v>645</v>
      </c>
      <c r="C56" s="47" t="s">
        <v>539</v>
      </c>
      <c r="D56" s="47">
        <v>32.085299900000003</v>
      </c>
      <c r="E56" s="47">
        <v>34.781767599999903</v>
      </c>
    </row>
    <row r="57" spans="1:5">
      <c r="A57" s="46">
        <v>19316</v>
      </c>
      <c r="B57" s="47" t="s">
        <v>646</v>
      </c>
      <c r="C57" s="47" t="s">
        <v>647</v>
      </c>
      <c r="D57" s="47">
        <v>32.178195000000002</v>
      </c>
      <c r="E57" s="47">
        <v>34.907609999999998</v>
      </c>
    </row>
    <row r="58" spans="1:5">
      <c r="A58" s="46">
        <v>19324</v>
      </c>
      <c r="B58" s="47" t="s">
        <v>648</v>
      </c>
      <c r="C58" s="47" t="s">
        <v>649</v>
      </c>
      <c r="D58" s="47">
        <v>32.321458</v>
      </c>
      <c r="E58" s="47">
        <v>34.853195999999997</v>
      </c>
    </row>
    <row r="59" spans="1:5">
      <c r="A59" s="46">
        <v>19324</v>
      </c>
      <c r="B59" s="47" t="s">
        <v>651</v>
      </c>
      <c r="C59" s="47" t="s">
        <v>32</v>
      </c>
      <c r="D59" s="47">
        <v>31.768319000000002</v>
      </c>
      <c r="E59" s="47">
        <v>35.213709999999999</v>
      </c>
    </row>
    <row r="60" spans="1:5">
      <c r="A60" s="46">
        <v>19325</v>
      </c>
      <c r="B60" s="47" t="s">
        <v>652</v>
      </c>
      <c r="C60" s="47" t="s">
        <v>32</v>
      </c>
      <c r="D60" s="48">
        <v>31.768319000000002</v>
      </c>
      <c r="E60" s="48">
        <v>35.213709999999999</v>
      </c>
    </row>
    <row r="61" spans="1:5">
      <c r="A61" s="46">
        <v>19347</v>
      </c>
      <c r="B61" s="47" t="s">
        <v>653</v>
      </c>
      <c r="C61" s="49"/>
      <c r="D61" s="54">
        <v>39.912941199999999</v>
      </c>
      <c r="E61" s="54">
        <v>-104.79560549999999</v>
      </c>
    </row>
    <row r="62" spans="1:5">
      <c r="A62" s="46">
        <v>19350</v>
      </c>
      <c r="B62" s="47" t="s">
        <v>655</v>
      </c>
      <c r="C62" s="47" t="s">
        <v>656</v>
      </c>
      <c r="D62" s="47">
        <v>31.898042799999999</v>
      </c>
      <c r="E62" s="47">
        <v>35.204271400000003</v>
      </c>
    </row>
    <row r="63" spans="1:5">
      <c r="A63" s="46">
        <v>19358</v>
      </c>
      <c r="B63" s="47" t="s">
        <v>657</v>
      </c>
      <c r="C63" s="47" t="s">
        <v>658</v>
      </c>
      <c r="D63" s="47">
        <v>32.015833000000001</v>
      </c>
      <c r="E63" s="47">
        <v>34.787384000000003</v>
      </c>
    </row>
    <row r="64" spans="1:5">
      <c r="A64" s="46" t="s">
        <v>659</v>
      </c>
      <c r="B64" s="66" t="s">
        <v>36</v>
      </c>
      <c r="C64" s="45" t="s">
        <v>38</v>
      </c>
      <c r="D64" s="68">
        <v>32.128972900000001</v>
      </c>
      <c r="E64" s="68">
        <v>34.853284000000002</v>
      </c>
    </row>
    <row r="65" spans="1:5">
      <c r="A65" s="46" t="s">
        <v>662</v>
      </c>
      <c r="B65" s="66" t="s">
        <v>41</v>
      </c>
      <c r="C65" s="45" t="s">
        <v>43</v>
      </c>
      <c r="D65" s="68">
        <v>32.247720999999999</v>
      </c>
      <c r="E65" s="68">
        <v>34.935136999999997</v>
      </c>
    </row>
    <row r="66" spans="1:5">
      <c r="A66" s="46" t="s">
        <v>665</v>
      </c>
      <c r="B66" s="66" t="s">
        <v>46</v>
      </c>
      <c r="C66" s="45" t="s">
        <v>48</v>
      </c>
      <c r="D66" s="68">
        <v>31.977142000000001</v>
      </c>
      <c r="E66" s="68">
        <v>34.953834999999998</v>
      </c>
    </row>
    <row r="67" spans="1:5">
      <c r="A67" s="46" t="s">
        <v>667</v>
      </c>
      <c r="B67" s="66" t="s">
        <v>55</v>
      </c>
      <c r="C67" s="45" t="s">
        <v>58</v>
      </c>
      <c r="D67" s="68">
        <v>32.095838000000001</v>
      </c>
      <c r="E67" s="68">
        <v>34.952176999999999</v>
      </c>
    </row>
    <row r="68" spans="1:5">
      <c r="A68" s="46" t="s">
        <v>670</v>
      </c>
      <c r="B68" s="66" t="s">
        <v>63</v>
      </c>
      <c r="C68" s="45" t="s">
        <v>32</v>
      </c>
      <c r="D68" s="68">
        <v>31.768319000000002</v>
      </c>
      <c r="E68" s="68">
        <v>35.213709999999999</v>
      </c>
    </row>
    <row r="69" spans="1:5">
      <c r="A69" s="46" t="s">
        <v>671</v>
      </c>
      <c r="B69" s="66" t="s">
        <v>65</v>
      </c>
      <c r="C69" s="45" t="s">
        <v>67</v>
      </c>
      <c r="D69" s="68">
        <v>31.872478000000001</v>
      </c>
      <c r="E69" s="68">
        <v>34.943252999999999</v>
      </c>
    </row>
    <row r="70" spans="1:5">
      <c r="A70" s="46" t="s">
        <v>672</v>
      </c>
      <c r="B70" s="66" t="s">
        <v>69</v>
      </c>
      <c r="C70" s="45" t="s">
        <v>43</v>
      </c>
      <c r="D70" s="68">
        <v>32.247720999999999</v>
      </c>
      <c r="E70" s="68">
        <v>34.935136999999997</v>
      </c>
    </row>
    <row r="71" spans="1:5">
      <c r="A71" s="46" t="s">
        <v>673</v>
      </c>
      <c r="B71" s="66" t="s">
        <v>74</v>
      </c>
      <c r="C71" s="45" t="s">
        <v>78</v>
      </c>
      <c r="D71" s="68">
        <v>31.804392</v>
      </c>
      <c r="E71" s="68">
        <v>35.126876000000003</v>
      </c>
    </row>
    <row r="72" spans="1:5">
      <c r="A72" s="46" t="s">
        <v>676</v>
      </c>
      <c r="B72" s="66" t="s">
        <v>88</v>
      </c>
      <c r="C72" s="45" t="s">
        <v>91</v>
      </c>
      <c r="D72" s="68">
        <v>31.762499999999999</v>
      </c>
      <c r="E72" s="68">
        <v>35.134990999999999</v>
      </c>
    </row>
    <row r="73" spans="1:5">
      <c r="A73" s="46" t="s">
        <v>677</v>
      </c>
      <c r="B73" s="66" t="s">
        <v>98</v>
      </c>
      <c r="C73" s="45" t="s">
        <v>101</v>
      </c>
      <c r="D73" s="71">
        <v>31.803757999999998</v>
      </c>
      <c r="E73" s="71">
        <v>35.102508</v>
      </c>
    </row>
    <row r="74" spans="1:5">
      <c r="A74" s="46" t="s">
        <v>681</v>
      </c>
      <c r="B74" s="66" t="s">
        <v>109</v>
      </c>
      <c r="C74" s="72" t="s">
        <v>111</v>
      </c>
      <c r="D74" s="74">
        <v>30.328610999999999</v>
      </c>
      <c r="E74" s="74">
        <v>35.441943999999999</v>
      </c>
    </row>
    <row r="75" spans="1:5">
      <c r="A75" s="46" t="s">
        <v>693</v>
      </c>
      <c r="B75" s="66" t="s">
        <v>117</v>
      </c>
      <c r="C75" s="45" t="s">
        <v>119</v>
      </c>
      <c r="D75" s="68">
        <v>31.951014000000001</v>
      </c>
      <c r="E75" s="68">
        <v>34.888075000000001</v>
      </c>
    </row>
    <row r="76" spans="1:5">
      <c r="A76" s="46" t="s">
        <v>695</v>
      </c>
      <c r="B76" s="66" t="s">
        <v>139</v>
      </c>
      <c r="C76" s="45" t="s">
        <v>141</v>
      </c>
      <c r="D76" s="68">
        <v>32.030338999999998</v>
      </c>
      <c r="E76" s="68">
        <v>34.8870985</v>
      </c>
    </row>
    <row r="77" spans="1:5">
      <c r="A77" s="46" t="s">
        <v>697</v>
      </c>
      <c r="B77" s="66" t="s">
        <v>143</v>
      </c>
      <c r="C77" s="45" t="s">
        <v>38</v>
      </c>
      <c r="D77" s="68">
        <v>32.128972900000001</v>
      </c>
      <c r="E77" s="68">
        <v>34.853284000000002</v>
      </c>
    </row>
    <row r="78" spans="1:5">
      <c r="A78" s="46" t="s">
        <v>698</v>
      </c>
      <c r="B78" s="66" t="s">
        <v>146</v>
      </c>
      <c r="C78" s="45" t="s">
        <v>148</v>
      </c>
      <c r="D78" s="71">
        <v>31.794129000000002</v>
      </c>
      <c r="E78" s="71">
        <v>34.631909</v>
      </c>
    </row>
    <row r="79" spans="1:5">
      <c r="A79" s="46">
        <v>19736</v>
      </c>
      <c r="B79" s="47" t="s">
        <v>701</v>
      </c>
      <c r="C79" s="55" t="s">
        <v>703</v>
      </c>
      <c r="D79" s="54">
        <v>38.873021999999999</v>
      </c>
      <c r="E79" s="54">
        <v>-76.997738400000003</v>
      </c>
    </row>
    <row r="80" spans="1:5">
      <c r="A80" s="46">
        <v>19743</v>
      </c>
      <c r="B80" s="65" t="s">
        <v>617</v>
      </c>
      <c r="C80" s="47" t="s">
        <v>707</v>
      </c>
      <c r="D80" s="47">
        <v>31.252973000000001</v>
      </c>
      <c r="E80" s="47">
        <v>34.791462000000003</v>
      </c>
    </row>
    <row r="81" spans="1:5">
      <c r="A81" s="46">
        <v>19751</v>
      </c>
      <c r="B81" s="47" t="s">
        <v>708</v>
      </c>
      <c r="C81" s="47" t="s">
        <v>709</v>
      </c>
      <c r="D81" s="47">
        <v>32.049357000000001</v>
      </c>
      <c r="E81" s="47">
        <v>34.758355000000002</v>
      </c>
    </row>
    <row r="82" spans="1:5">
      <c r="A82" s="46" t="s">
        <v>710</v>
      </c>
      <c r="B82" s="66" t="s">
        <v>150</v>
      </c>
      <c r="C82" s="45" t="s">
        <v>152</v>
      </c>
      <c r="D82" s="68">
        <v>29.562427499999998</v>
      </c>
      <c r="E82" s="68">
        <v>34.944801200000001</v>
      </c>
    </row>
    <row r="83" spans="1:5">
      <c r="A83" s="46">
        <v>19760</v>
      </c>
      <c r="B83" s="47" t="s">
        <v>713</v>
      </c>
      <c r="C83" s="47" t="s">
        <v>542</v>
      </c>
      <c r="D83" s="47">
        <v>31.7403163</v>
      </c>
      <c r="E83" s="47">
        <v>35.217882500000002</v>
      </c>
    </row>
    <row r="84" spans="1:5">
      <c r="A84" s="46">
        <v>19762</v>
      </c>
      <c r="B84" s="47" t="s">
        <v>715</v>
      </c>
      <c r="C84" s="47" t="s">
        <v>716</v>
      </c>
      <c r="D84" s="47">
        <v>-27.986423200000001</v>
      </c>
      <c r="E84" s="47">
        <v>153.38071859999999</v>
      </c>
    </row>
    <row r="85" spans="1:5">
      <c r="A85" s="46">
        <v>19770</v>
      </c>
      <c r="B85" s="47" t="s">
        <v>717</v>
      </c>
      <c r="C85" s="47" t="s">
        <v>709</v>
      </c>
      <c r="D85" s="47">
        <v>32.049357000000001</v>
      </c>
      <c r="E85" s="47">
        <v>34.758355000000002</v>
      </c>
    </row>
    <row r="86" spans="1:5">
      <c r="A86" s="60">
        <v>19790</v>
      </c>
      <c r="B86" s="47" t="s">
        <v>720</v>
      </c>
      <c r="C86" s="47" t="s">
        <v>721</v>
      </c>
      <c r="D86" s="48">
        <v>32.290630399999998</v>
      </c>
      <c r="E86" s="48">
        <v>34.998832</v>
      </c>
    </row>
    <row r="87" spans="1:5">
      <c r="A87" s="62">
        <v>19800</v>
      </c>
      <c r="B87" s="47" t="s">
        <v>722</v>
      </c>
      <c r="C87" s="76"/>
      <c r="D87" s="54">
        <v>39.912941199999999</v>
      </c>
      <c r="E87" s="54">
        <v>-104.79560549999999</v>
      </c>
    </row>
    <row r="88" spans="1:5">
      <c r="A88" s="62" t="s">
        <v>733</v>
      </c>
      <c r="B88" s="77" t="s">
        <v>157</v>
      </c>
      <c r="C88" s="78" t="s">
        <v>159</v>
      </c>
      <c r="D88" s="79">
        <v>30.906666999999999</v>
      </c>
      <c r="E88" s="79">
        <v>35.131388999999999</v>
      </c>
    </row>
    <row r="89" spans="1:5">
      <c r="A89" s="46">
        <v>19802</v>
      </c>
      <c r="B89" s="47" t="s">
        <v>738</v>
      </c>
      <c r="C89" s="49"/>
      <c r="D89" s="54">
        <v>39.912941199999999</v>
      </c>
      <c r="E89" s="54">
        <v>-104.79560549999999</v>
      </c>
    </row>
    <row r="90" spans="1:5">
      <c r="A90" s="46">
        <v>19804</v>
      </c>
      <c r="B90" s="47" t="s">
        <v>740</v>
      </c>
      <c r="C90" s="48" t="s">
        <v>539</v>
      </c>
      <c r="D90" s="48">
        <v>32.085299900000003</v>
      </c>
      <c r="E90" s="48">
        <v>34.781767599999903</v>
      </c>
    </row>
    <row r="91" spans="1:5">
      <c r="A91" s="46" t="s">
        <v>742</v>
      </c>
      <c r="B91" s="77" t="s">
        <v>174</v>
      </c>
      <c r="C91" s="80" t="s">
        <v>176</v>
      </c>
      <c r="D91" s="79">
        <v>31.374167</v>
      </c>
      <c r="E91" s="79">
        <v>34.399444000000003</v>
      </c>
    </row>
    <row r="92" spans="1:5">
      <c r="A92" s="46">
        <v>19809</v>
      </c>
      <c r="B92" s="47" t="s">
        <v>746</v>
      </c>
      <c r="C92" s="48" t="s">
        <v>747</v>
      </c>
      <c r="D92" s="47">
        <v>33.098984999999999</v>
      </c>
      <c r="E92" s="48">
        <v>35.288522</v>
      </c>
    </row>
    <row r="93" spans="1:5">
      <c r="A93" s="46" t="s">
        <v>748</v>
      </c>
      <c r="B93" s="77" t="s">
        <v>192</v>
      </c>
      <c r="C93" s="81" t="s">
        <v>195</v>
      </c>
      <c r="D93" s="82">
        <v>31.773900000000001</v>
      </c>
      <c r="E93" s="83">
        <v>35.049396999999999</v>
      </c>
    </row>
    <row r="94" spans="1:5">
      <c r="A94" s="46">
        <v>19828</v>
      </c>
      <c r="B94" s="47" t="s">
        <v>757</v>
      </c>
      <c r="C94" s="47" t="s">
        <v>575</v>
      </c>
      <c r="D94" s="47">
        <v>46.1865606</v>
      </c>
      <c r="E94" s="47">
        <v>21.3122677</v>
      </c>
    </row>
    <row r="95" spans="1:5">
      <c r="A95" s="46">
        <v>19833</v>
      </c>
      <c r="B95" s="65" t="s">
        <v>617</v>
      </c>
      <c r="C95" s="47" t="s">
        <v>32</v>
      </c>
      <c r="D95" s="47">
        <v>31.768319000000002</v>
      </c>
      <c r="E95" s="47">
        <v>35.213709999999999</v>
      </c>
    </row>
    <row r="96" spans="1:5">
      <c r="A96" s="46">
        <v>19849</v>
      </c>
      <c r="B96" s="47" t="s">
        <v>759</v>
      </c>
      <c r="C96" s="47" t="s">
        <v>760</v>
      </c>
      <c r="D96" s="47">
        <v>33.085918999999997</v>
      </c>
      <c r="E96" s="47">
        <v>35.315626999999999</v>
      </c>
    </row>
    <row r="97" spans="1:5">
      <c r="A97" s="46">
        <v>19851</v>
      </c>
      <c r="B97" s="47" t="s">
        <v>762</v>
      </c>
      <c r="C97" s="47" t="s">
        <v>32</v>
      </c>
      <c r="D97" s="47">
        <v>31.768319000000002</v>
      </c>
      <c r="E97" s="47">
        <v>35.213709999999999</v>
      </c>
    </row>
    <row r="98" spans="1:5">
      <c r="A98" s="46" t="s">
        <v>764</v>
      </c>
      <c r="B98" s="66" t="s">
        <v>219</v>
      </c>
      <c r="C98" s="45" t="s">
        <v>210</v>
      </c>
      <c r="D98" s="71">
        <v>31.707272</v>
      </c>
      <c r="E98" s="71">
        <v>35.104193000000002</v>
      </c>
    </row>
    <row r="99" spans="1:5">
      <c r="A99" s="46">
        <v>19854</v>
      </c>
      <c r="B99" s="47" t="s">
        <v>765</v>
      </c>
      <c r="C99" s="55" t="s">
        <v>766</v>
      </c>
      <c r="D99" s="54">
        <v>30.829561999999999</v>
      </c>
      <c r="E99" s="54">
        <v>35.038816400000002</v>
      </c>
    </row>
    <row r="100" spans="1:5">
      <c r="A100" s="46">
        <v>19881</v>
      </c>
      <c r="B100" s="47" t="s">
        <v>768</v>
      </c>
      <c r="C100" s="49"/>
      <c r="D100" s="54">
        <v>39.912941199999999</v>
      </c>
      <c r="E100" s="54">
        <v>-104.79560549999999</v>
      </c>
    </row>
    <row r="101" spans="1:5">
      <c r="A101" s="46">
        <v>19894</v>
      </c>
      <c r="B101" s="47" t="s">
        <v>773</v>
      </c>
      <c r="C101" s="47" t="s">
        <v>119</v>
      </c>
      <c r="D101" s="47">
        <v>31.951014000000001</v>
      </c>
      <c r="E101" s="47">
        <v>34.888075000000001</v>
      </c>
    </row>
    <row r="102" spans="1:5">
      <c r="A102" s="46">
        <v>19894</v>
      </c>
      <c r="B102" s="47" t="s">
        <v>776</v>
      </c>
      <c r="C102" s="47" t="s">
        <v>539</v>
      </c>
      <c r="D102" s="48">
        <v>32.085299900000003</v>
      </c>
      <c r="E102" s="48">
        <v>34.781767599999903</v>
      </c>
    </row>
    <row r="103" spans="1:5">
      <c r="A103" s="46">
        <v>19899</v>
      </c>
      <c r="B103" s="47" t="s">
        <v>779</v>
      </c>
      <c r="C103" s="49"/>
      <c r="D103" s="54">
        <v>39.912941199999999</v>
      </c>
      <c r="E103" s="54">
        <v>-104.79560549999999</v>
      </c>
    </row>
    <row r="104" spans="1:5">
      <c r="A104" s="46" t="s">
        <v>783</v>
      </c>
      <c r="B104" s="66" t="s">
        <v>225</v>
      </c>
      <c r="C104" s="45" t="s">
        <v>215</v>
      </c>
      <c r="D104" s="71">
        <v>32.184781000000001</v>
      </c>
      <c r="E104" s="71">
        <v>34.871326000000003</v>
      </c>
    </row>
    <row r="105" spans="1:5">
      <c r="A105" s="46">
        <v>19902</v>
      </c>
      <c r="B105" s="47" t="s">
        <v>784</v>
      </c>
      <c r="C105" s="49"/>
      <c r="D105" s="54">
        <v>39.912941199999999</v>
      </c>
      <c r="E105" s="54">
        <v>-104.79560549999999</v>
      </c>
    </row>
    <row r="106" spans="1:5">
      <c r="A106" s="46">
        <v>19905</v>
      </c>
      <c r="B106" s="47" t="s">
        <v>787</v>
      </c>
      <c r="C106" s="55" t="s">
        <v>788</v>
      </c>
      <c r="D106" s="54">
        <v>37.6096</v>
      </c>
      <c r="E106" s="54">
        <v>-80.587989999999905</v>
      </c>
    </row>
    <row r="107" spans="1:5">
      <c r="A107" s="46">
        <v>19905</v>
      </c>
      <c r="B107" s="47" t="s">
        <v>792</v>
      </c>
      <c r="C107" s="47" t="s">
        <v>793</v>
      </c>
      <c r="D107" s="47">
        <v>33.242077999999999</v>
      </c>
      <c r="E107" s="47">
        <v>35.574142000000002</v>
      </c>
    </row>
    <row r="108" spans="1:5">
      <c r="A108" s="46">
        <v>19906</v>
      </c>
      <c r="B108" s="47" t="s">
        <v>795</v>
      </c>
      <c r="C108" s="47" t="s">
        <v>796</v>
      </c>
      <c r="D108" s="47">
        <v>32.128972900000001</v>
      </c>
      <c r="E108" s="47">
        <v>34.853284000000002</v>
      </c>
    </row>
    <row r="109" spans="1:5">
      <c r="A109" s="46">
        <v>19906</v>
      </c>
      <c r="B109" s="47" t="s">
        <v>799</v>
      </c>
      <c r="C109" s="47" t="s">
        <v>800</v>
      </c>
      <c r="D109" s="47">
        <v>33.087634000000001</v>
      </c>
      <c r="E109" s="47">
        <v>35.173430000000003</v>
      </c>
    </row>
    <row r="110" spans="1:5">
      <c r="A110" s="46" t="s">
        <v>801</v>
      </c>
      <c r="B110" s="66" t="s">
        <v>234</v>
      </c>
      <c r="C110" s="45" t="s">
        <v>32</v>
      </c>
      <c r="D110" s="68">
        <v>31.768319000000002</v>
      </c>
      <c r="E110" s="68">
        <v>35.213709999999999</v>
      </c>
    </row>
    <row r="111" spans="1:5">
      <c r="A111" s="46">
        <v>19912</v>
      </c>
      <c r="B111" s="47" t="s">
        <v>804</v>
      </c>
      <c r="C111" s="47" t="s">
        <v>32</v>
      </c>
      <c r="D111" s="47">
        <v>31.768319000000002</v>
      </c>
      <c r="E111" s="47">
        <v>35.213709999999999</v>
      </c>
    </row>
    <row r="112" spans="1:5">
      <c r="A112" s="46">
        <v>19918</v>
      </c>
      <c r="B112" s="47" t="s">
        <v>805</v>
      </c>
      <c r="C112" s="47" t="s">
        <v>32</v>
      </c>
      <c r="D112" s="48">
        <v>31.768319000000002</v>
      </c>
      <c r="E112" s="48">
        <v>35.213709999999999</v>
      </c>
    </row>
    <row r="113" spans="1:5">
      <c r="A113" s="46">
        <v>19926</v>
      </c>
      <c r="B113" s="47" t="s">
        <v>807</v>
      </c>
      <c r="C113" s="55" t="s">
        <v>808</v>
      </c>
      <c r="D113" s="54">
        <v>30.798611099999999</v>
      </c>
      <c r="E113" s="54">
        <v>35.2461111</v>
      </c>
    </row>
    <row r="114" spans="1:5">
      <c r="A114" s="46">
        <v>19929</v>
      </c>
      <c r="B114" s="47" t="s">
        <v>812</v>
      </c>
      <c r="C114" s="49"/>
      <c r="D114" s="54">
        <v>39.912941199999999</v>
      </c>
      <c r="E114" s="54">
        <v>-104.79560549999999</v>
      </c>
    </row>
    <row r="115" spans="1:5">
      <c r="A115" s="46">
        <v>19931</v>
      </c>
      <c r="B115" s="47" t="s">
        <v>818</v>
      </c>
      <c r="C115" s="47" t="s">
        <v>819</v>
      </c>
      <c r="D115" s="47">
        <v>33.015585399999999</v>
      </c>
      <c r="E115" s="47">
        <v>35.784354</v>
      </c>
    </row>
    <row r="116" spans="1:5">
      <c r="A116" s="46">
        <v>19940</v>
      </c>
      <c r="B116" s="47" t="s">
        <v>821</v>
      </c>
      <c r="C116" s="47" t="s">
        <v>822</v>
      </c>
      <c r="D116" s="47">
        <v>33.058979000000001</v>
      </c>
      <c r="E116" s="47">
        <v>35.433235000000003</v>
      </c>
    </row>
    <row r="117" spans="1:5">
      <c r="A117" s="46">
        <v>19945</v>
      </c>
      <c r="B117" s="47" t="s">
        <v>823</v>
      </c>
      <c r="C117" s="47" t="s">
        <v>32</v>
      </c>
      <c r="D117" s="48">
        <v>31.768319000000002</v>
      </c>
      <c r="E117" s="48">
        <v>35.213709999999999</v>
      </c>
    </row>
    <row r="118" spans="1:5">
      <c r="A118" s="46">
        <v>19948</v>
      </c>
      <c r="B118" s="47" t="s">
        <v>825</v>
      </c>
      <c r="C118" s="49"/>
      <c r="D118" s="54">
        <v>39.912941199999999</v>
      </c>
      <c r="E118" s="54">
        <v>-104.79560549999999</v>
      </c>
    </row>
    <row r="119" spans="1:5">
      <c r="A119" s="46">
        <v>19963</v>
      </c>
      <c r="B119" s="47" t="s">
        <v>828</v>
      </c>
      <c r="C119" s="49"/>
      <c r="D119" s="54">
        <v>39.912941199999999</v>
      </c>
      <c r="E119" s="54">
        <v>-104.79560549999999</v>
      </c>
    </row>
    <row r="120" spans="1:5">
      <c r="A120" s="46">
        <v>19965</v>
      </c>
      <c r="B120" s="47" t="s">
        <v>832</v>
      </c>
      <c r="C120" s="76"/>
      <c r="D120" s="54">
        <v>39.912941199999999</v>
      </c>
      <c r="E120" s="54">
        <v>-104.79560549999999</v>
      </c>
    </row>
    <row r="121" spans="1:5">
      <c r="A121" s="46" t="s">
        <v>834</v>
      </c>
      <c r="B121" s="77" t="s">
        <v>250</v>
      </c>
      <c r="C121" s="78" t="s">
        <v>253</v>
      </c>
      <c r="D121" s="79">
        <v>31.8687</v>
      </c>
      <c r="E121" s="79">
        <v>34.985196999999999</v>
      </c>
    </row>
    <row r="122" spans="1:5">
      <c r="A122" s="46">
        <v>19972</v>
      </c>
      <c r="B122" s="47" t="s">
        <v>837</v>
      </c>
      <c r="C122" s="49"/>
      <c r="D122" s="54">
        <v>39.912941199999999</v>
      </c>
      <c r="E122" s="54">
        <v>-104.79560549999999</v>
      </c>
    </row>
    <row r="123" spans="1:5">
      <c r="A123" s="46">
        <v>19972</v>
      </c>
      <c r="B123" s="47" t="s">
        <v>840</v>
      </c>
      <c r="C123" s="55" t="s">
        <v>841</v>
      </c>
      <c r="D123" s="54">
        <v>30.489355499999999</v>
      </c>
      <c r="E123" s="54">
        <v>-99.772010899999998</v>
      </c>
    </row>
    <row r="124" spans="1:5">
      <c r="A124" s="46">
        <v>19988</v>
      </c>
      <c r="B124" s="47" t="s">
        <v>842</v>
      </c>
      <c r="C124" s="49"/>
      <c r="D124" s="54">
        <v>39.912941199999999</v>
      </c>
      <c r="E124" s="54">
        <v>-104.79560549999999</v>
      </c>
    </row>
    <row r="125" spans="1:5">
      <c r="A125" s="60">
        <v>19988</v>
      </c>
      <c r="B125" s="47" t="s">
        <v>846</v>
      </c>
      <c r="C125" s="55" t="s">
        <v>847</v>
      </c>
      <c r="D125" s="54">
        <v>31.522561</v>
      </c>
      <c r="E125" s="54">
        <v>34.453592999999998</v>
      </c>
    </row>
    <row r="126" spans="1:5">
      <c r="A126" s="62">
        <v>19992</v>
      </c>
      <c r="B126" s="47" t="s">
        <v>852</v>
      </c>
      <c r="C126" s="49"/>
      <c r="D126" s="54">
        <v>39.912941199999999</v>
      </c>
      <c r="E126" s="54">
        <v>-104.79560549999999</v>
      </c>
    </row>
    <row r="127" spans="1:5">
      <c r="A127" s="62">
        <v>19992</v>
      </c>
      <c r="B127" s="47" t="s">
        <v>854</v>
      </c>
      <c r="C127" s="49"/>
      <c r="D127" s="54">
        <v>39.912941199999999</v>
      </c>
      <c r="E127" s="54">
        <v>-104.79560549999999</v>
      </c>
    </row>
    <row r="128" spans="1:5">
      <c r="A128" s="62">
        <v>19992</v>
      </c>
      <c r="B128" s="47" t="s">
        <v>856</v>
      </c>
      <c r="C128" s="76"/>
      <c r="D128" s="54">
        <v>39.912941199999999</v>
      </c>
      <c r="E128" s="54">
        <v>-104.79560549999999</v>
      </c>
    </row>
    <row r="129" spans="1:5">
      <c r="A129" s="46" t="s">
        <v>858</v>
      </c>
      <c r="B129" s="77" t="s">
        <v>260</v>
      </c>
      <c r="C129" s="84" t="s">
        <v>263</v>
      </c>
      <c r="D129" s="79">
        <v>32.5959</v>
      </c>
      <c r="E129" s="79">
        <v>35.101100000000002</v>
      </c>
    </row>
    <row r="130" spans="1:5">
      <c r="A130" s="46">
        <v>19997</v>
      </c>
      <c r="B130" s="47" t="s">
        <v>863</v>
      </c>
      <c r="C130" s="49"/>
      <c r="D130" s="54">
        <v>39.912941199999999</v>
      </c>
      <c r="E130" s="54">
        <v>-104.79560549999999</v>
      </c>
    </row>
    <row r="131" spans="1:5">
      <c r="A131" s="46">
        <v>20000</v>
      </c>
      <c r="B131" s="47" t="s">
        <v>866</v>
      </c>
      <c r="C131" s="49"/>
      <c r="D131" s="54">
        <v>39.912941199999999</v>
      </c>
      <c r="E131" s="54">
        <v>-104.79560549999999</v>
      </c>
    </row>
    <row r="132" spans="1:5">
      <c r="A132" s="46">
        <v>20002</v>
      </c>
      <c r="B132" s="47" t="s">
        <v>868</v>
      </c>
      <c r="C132" s="49"/>
      <c r="D132" s="54">
        <v>39.912941199999999</v>
      </c>
      <c r="E132" s="54">
        <v>-104.79560549999999</v>
      </c>
    </row>
    <row r="133" spans="1:5">
      <c r="A133" s="46">
        <v>20023</v>
      </c>
      <c r="B133" s="47" t="s">
        <v>870</v>
      </c>
      <c r="C133" s="49"/>
      <c r="D133" s="54">
        <v>39.912941199999999</v>
      </c>
      <c r="E133" s="54">
        <v>-104.79560549999999</v>
      </c>
    </row>
    <row r="134" spans="1:5">
      <c r="A134" s="46">
        <v>20030</v>
      </c>
      <c r="B134" s="47" t="s">
        <v>871</v>
      </c>
      <c r="C134" s="49"/>
      <c r="D134" s="54">
        <v>39.912941199999999</v>
      </c>
      <c r="E134" s="54">
        <v>-104.79560549999999</v>
      </c>
    </row>
    <row r="135" spans="1:5">
      <c r="A135" s="46">
        <v>20033</v>
      </c>
      <c r="B135" s="47" t="s">
        <v>872</v>
      </c>
      <c r="C135" s="55" t="s">
        <v>873</v>
      </c>
      <c r="D135" s="54">
        <v>47.950736900000003</v>
      </c>
      <c r="E135" s="54">
        <v>-90.800822599999904</v>
      </c>
    </row>
    <row r="136" spans="1:5">
      <c r="A136" s="46">
        <v>20051</v>
      </c>
      <c r="B136" s="47" t="s">
        <v>874</v>
      </c>
      <c r="C136" s="49"/>
      <c r="D136" s="54">
        <v>39.912941199999999</v>
      </c>
      <c r="E136" s="54">
        <v>-104.79560549999999</v>
      </c>
    </row>
    <row r="137" spans="1:5">
      <c r="A137" s="46">
        <v>20058</v>
      </c>
      <c r="B137" s="47" t="s">
        <v>877</v>
      </c>
      <c r="C137" s="55" t="s">
        <v>878</v>
      </c>
      <c r="D137" s="54">
        <v>31.650404300000002</v>
      </c>
      <c r="E137" s="54">
        <v>34.585953600000003</v>
      </c>
    </row>
    <row r="138" spans="1:5">
      <c r="A138" s="46">
        <v>20058</v>
      </c>
      <c r="B138" s="47" t="s">
        <v>880</v>
      </c>
      <c r="C138" s="47" t="s">
        <v>881</v>
      </c>
      <c r="D138" s="48">
        <v>33.208781999999999</v>
      </c>
      <c r="E138" s="48">
        <v>35.606515000000002</v>
      </c>
    </row>
    <row r="139" spans="1:5">
      <c r="A139" s="46">
        <v>20058</v>
      </c>
      <c r="B139" s="47" t="s">
        <v>882</v>
      </c>
      <c r="C139" s="49"/>
      <c r="D139" s="54">
        <v>39.912941199999999</v>
      </c>
      <c r="E139" s="54">
        <v>-104.79560549999999</v>
      </c>
    </row>
    <row r="140" spans="1:5">
      <c r="A140" s="46">
        <v>20058</v>
      </c>
      <c r="B140" s="47" t="s">
        <v>883</v>
      </c>
      <c r="C140" s="55" t="s">
        <v>884</v>
      </c>
      <c r="D140" s="54">
        <v>44.638672300000003</v>
      </c>
      <c r="E140" s="54">
        <v>-72.724214199999906</v>
      </c>
    </row>
    <row r="141" spans="1:5">
      <c r="A141" s="46">
        <v>20058</v>
      </c>
      <c r="B141" s="47" t="s">
        <v>888</v>
      </c>
      <c r="C141" s="47" t="s">
        <v>889</v>
      </c>
      <c r="D141" s="47">
        <v>32.630552199999997</v>
      </c>
      <c r="E141" s="47">
        <v>51.299747199999999</v>
      </c>
    </row>
    <row r="142" spans="1:5">
      <c r="A142" s="46">
        <v>20072</v>
      </c>
      <c r="B142" s="47" t="s">
        <v>890</v>
      </c>
      <c r="C142" s="47" t="s">
        <v>891</v>
      </c>
      <c r="D142" s="48">
        <v>31.877958</v>
      </c>
      <c r="E142" s="48">
        <v>34.739449</v>
      </c>
    </row>
    <row r="143" spans="1:5">
      <c r="A143" s="46">
        <v>20092</v>
      </c>
      <c r="B143" s="47" t="s">
        <v>892</v>
      </c>
      <c r="C143" s="49"/>
      <c r="D143" s="54">
        <v>39.912941199999999</v>
      </c>
      <c r="E143" s="54">
        <v>-104.79560549999999</v>
      </c>
    </row>
    <row r="144" spans="1:5">
      <c r="A144" s="46">
        <v>20103</v>
      </c>
      <c r="B144" s="47" t="s">
        <v>894</v>
      </c>
      <c r="C144" s="47" t="s">
        <v>895</v>
      </c>
      <c r="D144" s="47">
        <v>50.937531</v>
      </c>
      <c r="E144" s="47">
        <v>6.9602785999999996</v>
      </c>
    </row>
    <row r="145" spans="1:5">
      <c r="A145" s="60">
        <v>20104</v>
      </c>
      <c r="B145" s="47" t="s">
        <v>896</v>
      </c>
      <c r="C145" s="47" t="s">
        <v>897</v>
      </c>
      <c r="D145" s="48">
        <v>31.335729999999899</v>
      </c>
      <c r="E145" s="48">
        <v>34.394086999999999</v>
      </c>
    </row>
    <row r="146" spans="1:5">
      <c r="A146" s="62">
        <v>20107</v>
      </c>
      <c r="B146" s="47" t="s">
        <v>898</v>
      </c>
      <c r="C146" s="55" t="s">
        <v>900</v>
      </c>
      <c r="D146" s="87"/>
      <c r="E146" s="87"/>
    </row>
    <row r="147" spans="1:5">
      <c r="A147" s="62">
        <v>20107</v>
      </c>
      <c r="B147" s="47" t="s">
        <v>902</v>
      </c>
      <c r="C147" s="48" t="s">
        <v>32</v>
      </c>
      <c r="D147" s="47">
        <v>31.768319000000002</v>
      </c>
      <c r="E147" s="47">
        <v>35.213709999999999</v>
      </c>
    </row>
    <row r="148" spans="1:5">
      <c r="A148" s="60" t="s">
        <v>904</v>
      </c>
      <c r="B148" s="77" t="s">
        <v>278</v>
      </c>
      <c r="C148" s="78" t="s">
        <v>282</v>
      </c>
      <c r="D148" s="71">
        <v>31.688032</v>
      </c>
      <c r="E148" s="71">
        <v>34.982531999999999</v>
      </c>
    </row>
    <row r="149" spans="1:5">
      <c r="A149" s="62">
        <v>20114</v>
      </c>
      <c r="B149" s="47" t="s">
        <v>907</v>
      </c>
      <c r="C149" s="76"/>
      <c r="D149" s="54">
        <v>39.912941199999999</v>
      </c>
      <c r="E149" s="54">
        <v>-104.79560549999999</v>
      </c>
    </row>
    <row r="150" spans="1:5">
      <c r="A150" s="62" t="s">
        <v>909</v>
      </c>
      <c r="B150" s="77" t="s">
        <v>293</v>
      </c>
      <c r="C150" s="78" t="s">
        <v>295</v>
      </c>
      <c r="D150" s="79">
        <v>31.897964000000002</v>
      </c>
      <c r="E150" s="71">
        <v>34.808121999999997</v>
      </c>
    </row>
    <row r="151" spans="1:5">
      <c r="A151" s="46">
        <v>20119</v>
      </c>
      <c r="B151" s="47" t="s">
        <v>910</v>
      </c>
      <c r="C151" s="55" t="s">
        <v>900</v>
      </c>
      <c r="D151" s="87"/>
      <c r="E151" s="87"/>
    </row>
    <row r="152" spans="1:5">
      <c r="A152" s="46">
        <v>20121</v>
      </c>
      <c r="B152" s="47" t="s">
        <v>915</v>
      </c>
      <c r="C152" s="47" t="s">
        <v>916</v>
      </c>
      <c r="D152" s="47">
        <v>31.938992200000001</v>
      </c>
      <c r="E152" s="47">
        <v>34.834816400000001</v>
      </c>
    </row>
    <row r="153" spans="1:5">
      <c r="A153" s="46">
        <v>20122</v>
      </c>
      <c r="B153" s="47" t="s">
        <v>918</v>
      </c>
      <c r="C153" s="47" t="s">
        <v>919</v>
      </c>
      <c r="D153" s="48">
        <v>33.207932999999997</v>
      </c>
      <c r="E153" s="48">
        <v>35.570245999999997</v>
      </c>
    </row>
    <row r="154" spans="1:5">
      <c r="A154" s="46">
        <v>20122</v>
      </c>
      <c r="B154" s="47" t="s">
        <v>920</v>
      </c>
      <c r="C154" s="49"/>
      <c r="D154" s="54">
        <v>39.912941199999999</v>
      </c>
      <c r="E154" s="54">
        <v>-104.79560549999999</v>
      </c>
    </row>
    <row r="155" spans="1:5">
      <c r="A155" s="46">
        <v>20124</v>
      </c>
      <c r="B155" s="47" t="s">
        <v>925</v>
      </c>
      <c r="C155" s="55" t="s">
        <v>926</v>
      </c>
      <c r="D155" s="54">
        <v>52.054356400000003</v>
      </c>
      <c r="E155" s="54">
        <v>31.5858952</v>
      </c>
    </row>
    <row r="156" spans="1:5">
      <c r="A156" s="46">
        <v>20128</v>
      </c>
      <c r="B156" s="47" t="s">
        <v>927</v>
      </c>
      <c r="C156" s="47" t="s">
        <v>928</v>
      </c>
      <c r="D156" s="47">
        <v>32.178195000000002</v>
      </c>
      <c r="E156" s="47">
        <v>34.907609999999998</v>
      </c>
    </row>
    <row r="157" spans="1:5">
      <c r="A157" s="46" t="s">
        <v>929</v>
      </c>
      <c r="B157" s="66" t="s">
        <v>302</v>
      </c>
      <c r="C157" s="45" t="s">
        <v>32</v>
      </c>
      <c r="D157" s="71">
        <v>31.768319000000002</v>
      </c>
      <c r="E157" s="71">
        <v>35.213709999999999</v>
      </c>
    </row>
    <row r="158" spans="1:5">
      <c r="A158" s="46">
        <v>20130</v>
      </c>
      <c r="B158" s="47" t="s">
        <v>931</v>
      </c>
      <c r="C158" s="55" t="s">
        <v>932</v>
      </c>
      <c r="D158" s="54">
        <v>31.784251999999999</v>
      </c>
      <c r="E158" s="54">
        <v>34.661743000000001</v>
      </c>
    </row>
    <row r="159" spans="1:5">
      <c r="A159" s="46">
        <v>20133</v>
      </c>
      <c r="B159" s="47" t="s">
        <v>935</v>
      </c>
      <c r="C159" s="47" t="s">
        <v>936</v>
      </c>
      <c r="D159" s="48">
        <v>31.986984</v>
      </c>
      <c r="E159" s="48">
        <v>34.915773000000002</v>
      </c>
    </row>
    <row r="160" spans="1:5">
      <c r="A160" s="46">
        <v>20133</v>
      </c>
      <c r="B160" s="47" t="s">
        <v>937</v>
      </c>
      <c r="C160" s="55" t="s">
        <v>938</v>
      </c>
      <c r="D160" s="54">
        <v>32.1157465</v>
      </c>
      <c r="E160" s="54">
        <v>34.966594800000003</v>
      </c>
    </row>
    <row r="161" spans="1:5">
      <c r="A161" s="60">
        <v>20134</v>
      </c>
      <c r="B161" s="47" t="s">
        <v>940</v>
      </c>
      <c r="C161" s="47" t="s">
        <v>32</v>
      </c>
      <c r="D161" s="47">
        <v>31.768319000000002</v>
      </c>
      <c r="E161" s="47">
        <v>35.213709999999999</v>
      </c>
    </row>
    <row r="162" spans="1:5">
      <c r="A162" s="62">
        <v>20137</v>
      </c>
      <c r="B162" s="47" t="s">
        <v>942</v>
      </c>
      <c r="C162" s="47" t="s">
        <v>944</v>
      </c>
      <c r="D162" s="47">
        <v>32.491475000000001</v>
      </c>
      <c r="E162" s="47">
        <v>34.967412000000003</v>
      </c>
    </row>
    <row r="163" spans="1:5">
      <c r="A163" s="62">
        <v>20137</v>
      </c>
      <c r="B163" s="47" t="s">
        <v>946</v>
      </c>
      <c r="C163" s="47" t="s">
        <v>682</v>
      </c>
      <c r="D163" s="47">
        <v>31.767764</v>
      </c>
      <c r="E163" s="47">
        <v>35.160212999999999</v>
      </c>
    </row>
    <row r="164" spans="1:5">
      <c r="A164" s="46">
        <v>20139</v>
      </c>
      <c r="B164" s="47" t="s">
        <v>948</v>
      </c>
      <c r="C164" s="47" t="s">
        <v>950</v>
      </c>
      <c r="D164" s="47">
        <v>31.794452400000001</v>
      </c>
      <c r="E164" s="47">
        <v>35.200602799999999</v>
      </c>
    </row>
    <row r="165" spans="1:5">
      <c r="A165" s="46">
        <v>20140</v>
      </c>
      <c r="B165" s="47" t="s">
        <v>952</v>
      </c>
      <c r="C165" s="47" t="s">
        <v>953</v>
      </c>
      <c r="D165" s="47">
        <v>32.085299900000003</v>
      </c>
      <c r="E165" s="47">
        <v>34.781767599999903</v>
      </c>
    </row>
    <row r="166" spans="1:5">
      <c r="A166" s="46" t="s">
        <v>955</v>
      </c>
      <c r="B166" s="66" t="s">
        <v>310</v>
      </c>
      <c r="C166" s="45" t="s">
        <v>252</v>
      </c>
      <c r="D166" s="68">
        <v>31.973001499999999</v>
      </c>
      <c r="E166" s="68">
        <v>34.792501299999998</v>
      </c>
    </row>
    <row r="167" spans="1:5">
      <c r="A167" s="46">
        <v>20144</v>
      </c>
      <c r="B167" s="47" t="s">
        <v>956</v>
      </c>
      <c r="C167" s="47" t="s">
        <v>958</v>
      </c>
      <c r="D167" s="47">
        <v>31.801798000000002</v>
      </c>
      <c r="E167" s="47">
        <v>35.216002000000003</v>
      </c>
    </row>
    <row r="168" spans="1:5">
      <c r="A168" s="46" t="s">
        <v>959</v>
      </c>
      <c r="B168" s="66" t="s">
        <v>314</v>
      </c>
      <c r="C168" s="45" t="s">
        <v>256</v>
      </c>
      <c r="D168" s="71">
        <v>31.806493</v>
      </c>
      <c r="E168" s="71">
        <v>34.655611</v>
      </c>
    </row>
    <row r="169" spans="1:5">
      <c r="A169" s="46">
        <v>20146</v>
      </c>
      <c r="B169" s="47" t="s">
        <v>961</v>
      </c>
      <c r="C169" s="55" t="s">
        <v>962</v>
      </c>
      <c r="D169" s="54">
        <v>32.783392999999997</v>
      </c>
      <c r="E169" s="54">
        <v>35.640118999999999</v>
      </c>
    </row>
    <row r="170" spans="1:5">
      <c r="A170" s="46">
        <v>20146</v>
      </c>
      <c r="B170" s="47" t="s">
        <v>966</v>
      </c>
      <c r="C170" s="49"/>
      <c r="D170" s="54">
        <v>39.912941199999999</v>
      </c>
      <c r="E170" s="54">
        <v>-104.79560549999999</v>
      </c>
    </row>
    <row r="171" spans="1:5">
      <c r="A171" s="46">
        <v>20147</v>
      </c>
      <c r="B171" s="47" t="s">
        <v>969</v>
      </c>
      <c r="C171" s="47" t="s">
        <v>32</v>
      </c>
      <c r="D171" s="47">
        <v>31.768319000000002</v>
      </c>
      <c r="E171" s="47">
        <v>35.213709999999999</v>
      </c>
    </row>
    <row r="172" spans="1:5">
      <c r="A172" s="46">
        <v>20150</v>
      </c>
      <c r="B172" s="47" t="s">
        <v>970</v>
      </c>
      <c r="C172" s="47" t="s">
        <v>971</v>
      </c>
      <c r="D172" s="48">
        <v>47.9967842</v>
      </c>
      <c r="E172" s="48">
        <v>-91.596116199999997</v>
      </c>
    </row>
    <row r="173" spans="1:5">
      <c r="A173" s="60">
        <v>20153</v>
      </c>
      <c r="B173" s="47" t="s">
        <v>972</v>
      </c>
      <c r="C173" s="49"/>
      <c r="D173" s="54">
        <v>39.912941199999999</v>
      </c>
      <c r="E173" s="54">
        <v>-104.79560549999999</v>
      </c>
    </row>
    <row r="174" spans="1:5">
      <c r="A174" s="62">
        <v>20164</v>
      </c>
      <c r="B174" s="47" t="s">
        <v>976</v>
      </c>
      <c r="C174" s="76"/>
      <c r="D174" s="54">
        <v>39.912941199999999</v>
      </c>
      <c r="E174" s="54">
        <v>-104.79560549999999</v>
      </c>
    </row>
    <row r="175" spans="1:5">
      <c r="A175" s="62" t="s">
        <v>979</v>
      </c>
      <c r="B175" s="77" t="s">
        <v>323</v>
      </c>
      <c r="C175" s="78" t="s">
        <v>325</v>
      </c>
      <c r="D175" s="82">
        <v>31.404496999999999</v>
      </c>
      <c r="E175" s="83">
        <v>34.603296999999998</v>
      </c>
    </row>
    <row r="176" spans="1:5">
      <c r="A176" s="46">
        <v>20168</v>
      </c>
      <c r="B176" s="65" t="s">
        <v>617</v>
      </c>
      <c r="C176" s="47" t="s">
        <v>981</v>
      </c>
      <c r="D176" s="48">
        <v>32.610492999999998</v>
      </c>
      <c r="E176" s="48">
        <v>35.287922000000002</v>
      </c>
    </row>
    <row r="177" spans="1:5">
      <c r="A177" s="60">
        <v>20169</v>
      </c>
      <c r="B177" s="47" t="s">
        <v>983</v>
      </c>
      <c r="C177" s="49"/>
      <c r="D177" s="54">
        <v>39.912941199999999</v>
      </c>
      <c r="E177" s="54">
        <v>-104.79560549999999</v>
      </c>
    </row>
    <row r="178" spans="1:5">
      <c r="A178" s="62">
        <v>20170</v>
      </c>
      <c r="B178" s="47" t="s">
        <v>985</v>
      </c>
      <c r="C178" s="47" t="s">
        <v>971</v>
      </c>
      <c r="D178" s="47">
        <v>47.9967842</v>
      </c>
      <c r="E178" s="47">
        <v>-91.596116199999997</v>
      </c>
    </row>
    <row r="179" spans="1:5">
      <c r="A179" s="62">
        <v>20170</v>
      </c>
      <c r="B179" s="47" t="s">
        <v>987</v>
      </c>
      <c r="C179" s="47" t="s">
        <v>889</v>
      </c>
      <c r="D179" s="47">
        <v>32.630552199999997</v>
      </c>
      <c r="E179" s="47">
        <v>51.299747199999999</v>
      </c>
    </row>
    <row r="180" spans="1:5">
      <c r="A180" s="60">
        <v>20171</v>
      </c>
      <c r="B180" s="47" t="s">
        <v>988</v>
      </c>
      <c r="C180" s="47" t="s">
        <v>32</v>
      </c>
      <c r="D180" s="48">
        <v>31.768319000000002</v>
      </c>
      <c r="E180" s="48">
        <v>35.213709999999999</v>
      </c>
    </row>
    <row r="181" spans="1:5">
      <c r="A181" s="62">
        <v>20173</v>
      </c>
      <c r="B181" s="47" t="s">
        <v>989</v>
      </c>
      <c r="C181" s="76"/>
      <c r="D181" s="54">
        <v>39.912941199999999</v>
      </c>
      <c r="E181" s="54">
        <v>-104.79560549999999</v>
      </c>
    </row>
    <row r="182" spans="1:5">
      <c r="A182" s="62" t="s">
        <v>991</v>
      </c>
      <c r="B182" s="77" t="s">
        <v>333</v>
      </c>
      <c r="C182" s="91" t="s">
        <v>335</v>
      </c>
      <c r="D182" s="79">
        <v>31.326796999999999</v>
      </c>
      <c r="E182" s="71">
        <v>34.560200000000002</v>
      </c>
    </row>
    <row r="183" spans="1:5">
      <c r="A183" s="46">
        <v>20182</v>
      </c>
      <c r="B183" s="47" t="s">
        <v>997</v>
      </c>
      <c r="C183" s="49"/>
      <c r="D183" s="87"/>
      <c r="E183" s="87"/>
    </row>
    <row r="184" spans="1:5">
      <c r="A184" s="46">
        <v>20183</v>
      </c>
      <c r="B184" s="47" t="s">
        <v>999</v>
      </c>
      <c r="C184" s="55" t="s">
        <v>1001</v>
      </c>
      <c r="D184" s="87"/>
      <c r="E184" s="87"/>
    </row>
    <row r="185" spans="1:5">
      <c r="A185" s="46">
        <v>20187</v>
      </c>
      <c r="B185" s="47" t="s">
        <v>1002</v>
      </c>
      <c r="C185" s="55" t="s">
        <v>1003</v>
      </c>
      <c r="D185" s="87"/>
      <c r="E185" s="87"/>
    </row>
    <row r="186" spans="1:5">
      <c r="A186" s="46" t="s">
        <v>1004</v>
      </c>
      <c r="B186" s="66" t="s">
        <v>361</v>
      </c>
      <c r="C186" s="45" t="s">
        <v>265</v>
      </c>
      <c r="D186" s="68">
        <v>31.335730000000002</v>
      </c>
      <c r="E186" s="68">
        <v>34.394086999999999</v>
      </c>
    </row>
    <row r="187" spans="1:5">
      <c r="A187" s="46">
        <v>20192</v>
      </c>
      <c r="B187" s="47" t="s">
        <v>1005</v>
      </c>
      <c r="C187" s="47" t="s">
        <v>711</v>
      </c>
      <c r="D187" s="47">
        <v>29.557669000000001</v>
      </c>
      <c r="E187" s="47">
        <v>34.951925000000003</v>
      </c>
    </row>
    <row r="188" spans="1:5">
      <c r="A188" s="46">
        <v>20196</v>
      </c>
      <c r="B188" s="47" t="s">
        <v>1007</v>
      </c>
      <c r="C188" s="47" t="s">
        <v>32</v>
      </c>
      <c r="D188" s="47">
        <v>31.768319000000002</v>
      </c>
      <c r="E188" s="47">
        <v>35.213709999999999</v>
      </c>
    </row>
    <row r="189" spans="1:5">
      <c r="A189" s="46">
        <v>20197</v>
      </c>
      <c r="B189" s="47" t="s">
        <v>1008</v>
      </c>
      <c r="C189" s="47" t="s">
        <v>32</v>
      </c>
      <c r="D189" s="47">
        <v>31.768319000000002</v>
      </c>
      <c r="E189" s="47">
        <v>35.213709999999999</v>
      </c>
    </row>
    <row r="190" spans="1:5">
      <c r="A190" s="46">
        <v>20199</v>
      </c>
      <c r="B190" s="47" t="s">
        <v>1009</v>
      </c>
      <c r="C190" s="47" t="s">
        <v>32</v>
      </c>
      <c r="D190" s="47">
        <v>31.768319000000002</v>
      </c>
      <c r="E190" s="47">
        <v>35.213709999999999</v>
      </c>
    </row>
    <row r="191" spans="1:5">
      <c r="A191" s="46">
        <v>20208</v>
      </c>
      <c r="B191" s="47" t="s">
        <v>1011</v>
      </c>
      <c r="C191" s="47" t="s">
        <v>1012</v>
      </c>
      <c r="D191" s="47">
        <v>31.559028699999999</v>
      </c>
      <c r="E191" s="47">
        <v>35.473189499999997</v>
      </c>
    </row>
    <row r="192" spans="1:5">
      <c r="A192" s="46">
        <v>20216</v>
      </c>
      <c r="B192" s="47" t="s">
        <v>1015</v>
      </c>
      <c r="C192" s="47" t="s">
        <v>1016</v>
      </c>
      <c r="D192" s="47">
        <v>31.767764</v>
      </c>
      <c r="E192" s="47">
        <v>35.160212999999999</v>
      </c>
    </row>
    <row r="193" spans="1:5">
      <c r="A193" s="46">
        <v>20221</v>
      </c>
      <c r="B193" s="47" t="s">
        <v>1017</v>
      </c>
      <c r="C193" s="47" t="s">
        <v>1018</v>
      </c>
      <c r="D193" s="47">
        <v>4.4166799999999897</v>
      </c>
      <c r="E193" s="47">
        <v>-75.449979999999996</v>
      </c>
    </row>
    <row r="194" spans="1:5">
      <c r="A194" s="46">
        <v>20221</v>
      </c>
      <c r="B194" s="47" t="s">
        <v>1019</v>
      </c>
      <c r="C194" s="47" t="s">
        <v>1022</v>
      </c>
      <c r="D194" s="47">
        <v>32.074806199999998</v>
      </c>
      <c r="E194" s="47">
        <v>34.765366999999998</v>
      </c>
    </row>
    <row r="195" spans="1:5">
      <c r="A195" s="46">
        <v>20227</v>
      </c>
      <c r="B195" s="47" t="s">
        <v>1023</v>
      </c>
      <c r="C195" s="47" t="s">
        <v>889</v>
      </c>
      <c r="D195" s="47">
        <v>32.630552199999997</v>
      </c>
      <c r="E195" s="47">
        <v>51.299747199999999</v>
      </c>
    </row>
    <row r="196" spans="1:5">
      <c r="A196" s="60" t="s">
        <v>1024</v>
      </c>
      <c r="B196" s="66" t="s">
        <v>378</v>
      </c>
      <c r="C196" s="45" t="s">
        <v>269</v>
      </c>
      <c r="D196" s="68">
        <v>31.374545000000001</v>
      </c>
      <c r="E196" s="68">
        <v>34.398992</v>
      </c>
    </row>
    <row r="197" spans="1:5">
      <c r="A197" s="62">
        <v>20232</v>
      </c>
      <c r="B197" s="47" t="s">
        <v>1026</v>
      </c>
      <c r="C197" s="47" t="s">
        <v>889</v>
      </c>
      <c r="D197" s="47">
        <v>32.630552199999997</v>
      </c>
      <c r="E197" s="47">
        <v>51.299747199999999</v>
      </c>
    </row>
    <row r="198" spans="1:5">
      <c r="A198" s="62">
        <v>20232</v>
      </c>
      <c r="B198" s="47" t="s">
        <v>1027</v>
      </c>
      <c r="C198" s="47" t="s">
        <v>1029</v>
      </c>
      <c r="D198" s="47">
        <v>31.522693999999898</v>
      </c>
      <c r="E198" s="47">
        <v>34.595581000000003</v>
      </c>
    </row>
    <row r="199" spans="1:5">
      <c r="A199" s="46">
        <v>20238</v>
      </c>
      <c r="B199" s="47" t="s">
        <v>1030</v>
      </c>
      <c r="C199" s="47" t="s">
        <v>1032</v>
      </c>
      <c r="D199" s="48">
        <v>31.522693999999898</v>
      </c>
      <c r="E199" s="48">
        <v>34.595581000000003</v>
      </c>
    </row>
    <row r="200" spans="1:5">
      <c r="A200" s="46">
        <v>20238</v>
      </c>
      <c r="B200" s="47" t="s">
        <v>1036</v>
      </c>
      <c r="C200" s="55" t="s">
        <v>1037</v>
      </c>
      <c r="D200" s="87"/>
      <c r="E200" s="87"/>
    </row>
    <row r="201" spans="1:5">
      <c r="A201" s="46">
        <v>20247</v>
      </c>
      <c r="B201" s="47" t="s">
        <v>1041</v>
      </c>
      <c r="C201" s="47" t="s">
        <v>1042</v>
      </c>
      <c r="D201" s="48">
        <v>32.723787000000002</v>
      </c>
      <c r="E201" s="48">
        <v>35.565241999999998</v>
      </c>
    </row>
    <row r="202" spans="1:5">
      <c r="A202" s="46">
        <v>20258</v>
      </c>
      <c r="B202" s="47" t="s">
        <v>1043</v>
      </c>
      <c r="C202" s="55" t="s">
        <v>1044</v>
      </c>
      <c r="D202" s="87"/>
      <c r="E202" s="87"/>
    </row>
    <row r="203" spans="1:5">
      <c r="A203" s="46">
        <v>20259</v>
      </c>
      <c r="B203" s="47" t="s">
        <v>1047</v>
      </c>
      <c r="C203" s="49"/>
      <c r="D203" s="87"/>
      <c r="E203" s="87"/>
    </row>
    <row r="204" spans="1:5">
      <c r="A204" s="46">
        <v>20260</v>
      </c>
      <c r="B204" s="65" t="s">
        <v>617</v>
      </c>
      <c r="C204" s="47" t="s">
        <v>1050</v>
      </c>
      <c r="D204" s="48">
        <v>51.253774999999997</v>
      </c>
      <c r="E204" s="48">
        <v>-85.323213899999999</v>
      </c>
    </row>
    <row r="205" spans="1:5">
      <c r="A205" s="46">
        <v>20261</v>
      </c>
      <c r="B205" s="47" t="s">
        <v>1053</v>
      </c>
      <c r="C205" s="55" t="s">
        <v>1054</v>
      </c>
      <c r="D205" s="87"/>
      <c r="E205" s="87"/>
    </row>
    <row r="206" spans="1:5">
      <c r="A206" s="46">
        <v>20264</v>
      </c>
      <c r="B206" s="47" t="s">
        <v>1057</v>
      </c>
      <c r="C206" s="47" t="s">
        <v>1058</v>
      </c>
      <c r="D206" s="48">
        <v>33.818502100000003</v>
      </c>
      <c r="E206" s="48">
        <v>-84.368981199999993</v>
      </c>
    </row>
    <row r="207" spans="1:5">
      <c r="A207" s="60">
        <v>20265</v>
      </c>
      <c r="B207" s="47" t="s">
        <v>1060</v>
      </c>
      <c r="C207" s="49"/>
      <c r="D207" s="87"/>
      <c r="E207" s="87"/>
    </row>
    <row r="208" spans="1:5">
      <c r="A208" s="62">
        <v>20272</v>
      </c>
      <c r="B208" s="47" t="s">
        <v>1063</v>
      </c>
      <c r="C208" s="47" t="s">
        <v>616</v>
      </c>
      <c r="D208" s="48">
        <v>31.931566</v>
      </c>
      <c r="E208" s="48">
        <v>34.872937999999998</v>
      </c>
    </row>
    <row r="209" spans="1:5">
      <c r="A209" s="62">
        <v>20272</v>
      </c>
      <c r="B209" s="47" t="s">
        <v>1067</v>
      </c>
      <c r="C209" s="76"/>
      <c r="D209" s="87"/>
      <c r="E209" s="87"/>
    </row>
    <row r="210" spans="1:5">
      <c r="A210" s="60" t="s">
        <v>1069</v>
      </c>
      <c r="B210" s="77" t="s">
        <v>470</v>
      </c>
      <c r="C210" s="78" t="s">
        <v>159</v>
      </c>
      <c r="D210" s="79">
        <v>30.906666999999999</v>
      </c>
      <c r="E210" s="79">
        <v>35.131388999999999</v>
      </c>
    </row>
    <row r="211" spans="1:5">
      <c r="A211" s="62">
        <v>20281</v>
      </c>
      <c r="B211" s="47" t="s">
        <v>1070</v>
      </c>
      <c r="C211" s="49"/>
      <c r="D211" s="87"/>
      <c r="E211" s="87"/>
    </row>
    <row r="212" spans="1:5">
      <c r="A212" s="62">
        <v>20281</v>
      </c>
      <c r="B212" s="47" t="s">
        <v>1072</v>
      </c>
      <c r="C212" s="47" t="s">
        <v>1073</v>
      </c>
      <c r="D212" s="48">
        <v>32.574984200000003</v>
      </c>
      <c r="E212" s="48">
        <v>-117.02800569999999</v>
      </c>
    </row>
    <row r="213" spans="1:5">
      <c r="A213" s="62">
        <v>20281</v>
      </c>
      <c r="B213" s="65" t="s">
        <v>617</v>
      </c>
      <c r="C213" s="55" t="s">
        <v>1074</v>
      </c>
      <c r="D213" s="87"/>
      <c r="E213" s="87"/>
    </row>
    <row r="214" spans="1:5">
      <c r="A214" s="46">
        <v>20289</v>
      </c>
      <c r="B214" s="47" t="s">
        <v>1076</v>
      </c>
      <c r="C214" s="47" t="s">
        <v>1078</v>
      </c>
      <c r="D214" s="48">
        <v>32.196015000000003</v>
      </c>
      <c r="E214" s="48">
        <v>34.981513</v>
      </c>
    </row>
    <row r="215" spans="1:5">
      <c r="A215" s="46">
        <v>20290</v>
      </c>
      <c r="B215" s="47" t="s">
        <v>1079</v>
      </c>
      <c r="C215" s="49"/>
      <c r="D215" s="87"/>
      <c r="E215" s="87"/>
    </row>
    <row r="216" spans="1:5">
      <c r="A216" s="46">
        <v>20290</v>
      </c>
      <c r="B216" s="47" t="s">
        <v>1082</v>
      </c>
      <c r="C216" s="55" t="s">
        <v>1083</v>
      </c>
      <c r="D216" s="87"/>
      <c r="E216" s="87"/>
    </row>
    <row r="217" spans="1:5">
      <c r="A217" s="46">
        <v>20293</v>
      </c>
      <c r="B217" s="47" t="s">
        <v>1085</v>
      </c>
      <c r="C217" s="55" t="s">
        <v>1086</v>
      </c>
      <c r="D217" s="87"/>
      <c r="E217" s="87"/>
    </row>
    <row r="218" spans="1:5">
      <c r="A218" s="46">
        <v>20295</v>
      </c>
      <c r="B218" s="47" t="s">
        <v>1091</v>
      </c>
      <c r="C218" s="49"/>
      <c r="D218" s="87"/>
      <c r="E218" s="87"/>
    </row>
    <row r="219" spans="1:5">
      <c r="A219" s="46">
        <v>20309</v>
      </c>
      <c r="B219" s="47" t="s">
        <v>1093</v>
      </c>
      <c r="C219" s="49"/>
      <c r="D219" s="87"/>
      <c r="E219" s="87"/>
    </row>
    <row r="220" spans="1:5">
      <c r="A220" s="46">
        <v>20314</v>
      </c>
      <c r="B220" s="47" t="s">
        <v>1095</v>
      </c>
      <c r="C220" s="49"/>
      <c r="D220" s="87"/>
      <c r="E220" s="87"/>
    </row>
    <row r="221" spans="1:5">
      <c r="A221" s="46" t="s">
        <v>1098</v>
      </c>
      <c r="B221" s="66" t="s">
        <v>384</v>
      </c>
      <c r="C221" s="45" t="s">
        <v>270</v>
      </c>
      <c r="D221" s="68">
        <v>31.47268</v>
      </c>
      <c r="E221" s="68">
        <v>34.497675000000001</v>
      </c>
    </row>
    <row r="222" spans="1:5">
      <c r="A222" s="60">
        <v>20320</v>
      </c>
      <c r="B222" s="47" t="s">
        <v>1099</v>
      </c>
      <c r="C222" s="47" t="s">
        <v>32</v>
      </c>
      <c r="D222" s="48">
        <v>31.768319000000002</v>
      </c>
      <c r="E222" s="48">
        <v>35.213709999999999</v>
      </c>
    </row>
    <row r="223" spans="1:5">
      <c r="A223" s="62">
        <v>20323</v>
      </c>
      <c r="B223" s="47" t="s">
        <v>1100</v>
      </c>
      <c r="C223" s="92" t="s">
        <v>1101</v>
      </c>
      <c r="D223" s="87"/>
      <c r="E223" s="87"/>
    </row>
    <row r="224" spans="1:5">
      <c r="A224" s="62" t="s">
        <v>1104</v>
      </c>
      <c r="B224" s="77" t="s">
        <v>388</v>
      </c>
      <c r="C224" s="78" t="s">
        <v>390</v>
      </c>
      <c r="D224" s="79">
        <v>31.501998</v>
      </c>
      <c r="E224" s="79">
        <v>34.561931999999999</v>
      </c>
    </row>
    <row r="225" spans="1:5">
      <c r="A225" s="46" t="s">
        <v>1106</v>
      </c>
      <c r="B225" s="66" t="s">
        <v>393</v>
      </c>
      <c r="C225" s="45" t="s">
        <v>276</v>
      </c>
      <c r="D225" s="71">
        <v>31.559840000000001</v>
      </c>
      <c r="E225" s="71">
        <v>34.564889000000001</v>
      </c>
    </row>
    <row r="226" spans="1:5">
      <c r="A226" s="46">
        <v>20327</v>
      </c>
      <c r="B226" s="47" t="s">
        <v>1108</v>
      </c>
      <c r="C226" s="49"/>
      <c r="D226" s="87"/>
      <c r="E226" s="87"/>
    </row>
    <row r="227" spans="1:5">
      <c r="A227" s="46" t="s">
        <v>1109</v>
      </c>
      <c r="B227" s="66" t="s">
        <v>397</v>
      </c>
      <c r="C227" s="45" t="s">
        <v>281</v>
      </c>
      <c r="D227" s="68">
        <v>31.668788500000002</v>
      </c>
      <c r="E227" s="68">
        <v>34.574252299999998</v>
      </c>
    </row>
    <row r="228" spans="1:5">
      <c r="A228" s="60" t="s">
        <v>1113</v>
      </c>
      <c r="B228" s="66" t="s">
        <v>401</v>
      </c>
      <c r="C228" s="93" t="s">
        <v>286</v>
      </c>
      <c r="D228" s="71">
        <v>31.424513000000001</v>
      </c>
      <c r="E228" s="71">
        <v>34.492567000000001</v>
      </c>
    </row>
    <row r="229" spans="1:5">
      <c r="A229" s="62" t="s">
        <v>1117</v>
      </c>
      <c r="B229" s="77" t="s">
        <v>406</v>
      </c>
      <c r="C229" s="78" t="s">
        <v>408</v>
      </c>
      <c r="D229" s="79">
        <v>31.921800000000001</v>
      </c>
      <c r="E229" s="79">
        <v>34.773600000000002</v>
      </c>
    </row>
    <row r="230" spans="1:5">
      <c r="A230" s="62" t="s">
        <v>1117</v>
      </c>
      <c r="B230" s="66" t="s">
        <v>413</v>
      </c>
      <c r="C230" s="45" t="s">
        <v>256</v>
      </c>
      <c r="D230" s="68">
        <v>31.806493</v>
      </c>
      <c r="E230" s="68">
        <v>34.655611</v>
      </c>
    </row>
    <row r="231" spans="1:5">
      <c r="A231" s="60" t="s">
        <v>1117</v>
      </c>
      <c r="B231" s="66" t="s">
        <v>415</v>
      </c>
      <c r="C231" s="45" t="s">
        <v>297</v>
      </c>
      <c r="D231" s="71">
        <v>31.870474999999999</v>
      </c>
      <c r="E231" s="71">
        <v>34.826734000000002</v>
      </c>
    </row>
    <row r="232" spans="1:5">
      <c r="A232" s="62">
        <v>20331</v>
      </c>
      <c r="B232" s="47" t="s">
        <v>1121</v>
      </c>
      <c r="C232" s="92" t="s">
        <v>1122</v>
      </c>
      <c r="D232" s="87"/>
      <c r="E232" s="87"/>
    </row>
    <row r="233" spans="1:5">
      <c r="A233" s="62" t="s">
        <v>1126</v>
      </c>
      <c r="B233" s="77" t="s">
        <v>418</v>
      </c>
      <c r="C233" s="81" t="s">
        <v>420</v>
      </c>
      <c r="D233" s="79">
        <v>31.658166999999999</v>
      </c>
      <c r="E233" s="79">
        <v>34.794925999999997</v>
      </c>
    </row>
    <row r="234" spans="1:5">
      <c r="A234" s="46">
        <v>20332</v>
      </c>
      <c r="B234" s="47" t="s">
        <v>1128</v>
      </c>
      <c r="C234" s="47" t="s">
        <v>1129</v>
      </c>
      <c r="D234" s="47">
        <v>-1.2769527000000001</v>
      </c>
      <c r="E234" s="47">
        <v>36.827576299999997</v>
      </c>
    </row>
    <row r="235" spans="1:5">
      <c r="A235" s="46">
        <v>20333</v>
      </c>
      <c r="B235" s="47" t="s">
        <v>1130</v>
      </c>
      <c r="C235" s="47" t="s">
        <v>1131</v>
      </c>
      <c r="D235" s="48">
        <v>32.2250364</v>
      </c>
      <c r="E235" s="48">
        <v>35.260968200000001</v>
      </c>
    </row>
    <row r="236" spans="1:5">
      <c r="A236" s="46">
        <v>20335</v>
      </c>
      <c r="B236" s="47" t="s">
        <v>1134</v>
      </c>
      <c r="C236" s="49"/>
      <c r="D236" s="87"/>
      <c r="E236" s="87"/>
    </row>
    <row r="237" spans="1:5">
      <c r="A237" s="46">
        <v>20339</v>
      </c>
      <c r="B237" s="47" t="s">
        <v>1137</v>
      </c>
      <c r="C237" s="47" t="s">
        <v>1138</v>
      </c>
      <c r="D237" s="47">
        <v>46.1865606</v>
      </c>
      <c r="E237" s="47">
        <v>21.3122677</v>
      </c>
    </row>
    <row r="238" spans="1:5">
      <c r="A238" s="46">
        <v>20345</v>
      </c>
      <c r="B238" s="47" t="s">
        <v>1139</v>
      </c>
      <c r="C238" s="47" t="s">
        <v>32</v>
      </c>
      <c r="D238" s="48">
        <v>31.768319000000002</v>
      </c>
      <c r="E238" s="48">
        <v>35.213709999999999</v>
      </c>
    </row>
    <row r="239" spans="1:5">
      <c r="A239" s="46">
        <v>20354</v>
      </c>
      <c r="B239" s="47" t="s">
        <v>1141</v>
      </c>
      <c r="C239" s="55" t="s">
        <v>1142</v>
      </c>
      <c r="D239" s="87"/>
      <c r="E239" s="87"/>
    </row>
    <row r="240" spans="1:5">
      <c r="A240" s="46">
        <v>20359</v>
      </c>
      <c r="B240" s="47" t="s">
        <v>1144</v>
      </c>
      <c r="C240" s="55" t="s">
        <v>1145</v>
      </c>
      <c r="D240" s="87"/>
      <c r="E240" s="87"/>
    </row>
    <row r="241" spans="1:5">
      <c r="A241" s="46">
        <v>20362</v>
      </c>
      <c r="B241" s="47" t="s">
        <v>1147</v>
      </c>
      <c r="C241" s="47" t="s">
        <v>32</v>
      </c>
      <c r="D241" s="48">
        <v>31.768319000000002</v>
      </c>
      <c r="E241" s="48">
        <v>35.213709999999999</v>
      </c>
    </row>
    <row r="242" spans="1:5">
      <c r="A242" s="46">
        <v>20366</v>
      </c>
      <c r="B242" s="47" t="s">
        <v>1148</v>
      </c>
      <c r="C242" s="49"/>
      <c r="D242" s="87"/>
      <c r="E242" s="87"/>
    </row>
    <row r="243" spans="1:5">
      <c r="A243" s="46">
        <v>20369</v>
      </c>
      <c r="B243" s="47" t="s">
        <v>1153</v>
      </c>
      <c r="C243" s="47" t="s">
        <v>1154</v>
      </c>
      <c r="D243" s="48">
        <v>37.512227000000003</v>
      </c>
      <c r="E243" s="48">
        <v>27.276866999999999</v>
      </c>
    </row>
    <row r="244" spans="1:5">
      <c r="A244" s="46">
        <v>20372</v>
      </c>
      <c r="B244" s="47" t="s">
        <v>1155</v>
      </c>
      <c r="C244" s="55" t="s">
        <v>1156</v>
      </c>
      <c r="D244" s="87"/>
      <c r="E244" s="87"/>
    </row>
    <row r="245" spans="1:5">
      <c r="A245" s="46">
        <v>20376</v>
      </c>
      <c r="B245" s="47" t="s">
        <v>1159</v>
      </c>
      <c r="C245" s="47" t="s">
        <v>1160</v>
      </c>
      <c r="D245" s="47">
        <v>31.805599000000001</v>
      </c>
      <c r="E245" s="47">
        <v>34.931797000000003</v>
      </c>
    </row>
    <row r="246" spans="1:5">
      <c r="A246" s="46">
        <v>20377</v>
      </c>
      <c r="B246" s="47" t="s">
        <v>1161</v>
      </c>
      <c r="C246" s="47" t="s">
        <v>32</v>
      </c>
      <c r="D246" s="47">
        <v>31.768319000000002</v>
      </c>
      <c r="E246" s="47">
        <v>35.213709999999999</v>
      </c>
    </row>
    <row r="247" spans="1:5">
      <c r="A247" s="46">
        <v>20378</v>
      </c>
      <c r="B247" s="47" t="s">
        <v>1163</v>
      </c>
      <c r="C247" s="48" t="s">
        <v>1160</v>
      </c>
      <c r="D247" s="47">
        <v>31.805599000000001</v>
      </c>
      <c r="E247" s="47">
        <v>34.931797000000003</v>
      </c>
    </row>
    <row r="248" spans="1:5">
      <c r="A248" s="46">
        <v>20380</v>
      </c>
      <c r="B248" s="77" t="s">
        <v>423</v>
      </c>
      <c r="C248" s="91" t="s">
        <v>16</v>
      </c>
      <c r="D248" s="94"/>
      <c r="E248" s="94"/>
    </row>
    <row r="249" spans="1:5">
      <c r="A249" s="46">
        <v>20380</v>
      </c>
      <c r="B249" s="47" t="s">
        <v>1168</v>
      </c>
      <c r="C249" s="47" t="s">
        <v>1169</v>
      </c>
      <c r="D249" s="47">
        <v>30.873611</v>
      </c>
      <c r="E249" s="47">
        <v>34.793098000000001</v>
      </c>
    </row>
    <row r="250" spans="1:5">
      <c r="A250" s="46">
        <v>20386</v>
      </c>
      <c r="B250" s="47" t="s">
        <v>1170</v>
      </c>
      <c r="C250" s="47" t="s">
        <v>32</v>
      </c>
      <c r="D250" s="47">
        <v>31.768319000000002</v>
      </c>
      <c r="E250" s="47">
        <v>35.213709999999999</v>
      </c>
    </row>
    <row r="251" spans="1:5">
      <c r="A251" s="60" t="s">
        <v>1171</v>
      </c>
      <c r="B251" s="66" t="s">
        <v>427</v>
      </c>
      <c r="C251" s="45" t="s">
        <v>131</v>
      </c>
      <c r="D251" s="68">
        <v>30.885983</v>
      </c>
      <c r="E251" s="68">
        <v>34.422569000000003</v>
      </c>
    </row>
    <row r="252" spans="1:5">
      <c r="A252" s="62" t="s">
        <v>1173</v>
      </c>
      <c r="B252" s="66" t="s">
        <v>434</v>
      </c>
      <c r="C252" s="45" t="s">
        <v>265</v>
      </c>
      <c r="D252" s="68">
        <v>31.335730000000002</v>
      </c>
      <c r="E252" s="68">
        <v>34.394086999999999</v>
      </c>
    </row>
    <row r="253" spans="1:5">
      <c r="A253" s="62" t="s">
        <v>1173</v>
      </c>
      <c r="B253" s="66" t="s">
        <v>437</v>
      </c>
      <c r="C253" s="45" t="s">
        <v>131</v>
      </c>
      <c r="D253" s="68">
        <v>30.885983</v>
      </c>
      <c r="E253" s="68">
        <v>34.422569000000003</v>
      </c>
    </row>
    <row r="254" spans="1:5">
      <c r="A254" s="46">
        <v>20399</v>
      </c>
      <c r="B254" s="47" t="s">
        <v>1175</v>
      </c>
      <c r="C254" s="47" t="s">
        <v>1177</v>
      </c>
      <c r="D254" s="48">
        <v>-22.883119600000001</v>
      </c>
      <c r="E254" s="48">
        <v>-43.619495299999997</v>
      </c>
    </row>
    <row r="255" spans="1:5">
      <c r="A255" s="46">
        <v>20399</v>
      </c>
      <c r="B255" s="47" t="s">
        <v>1178</v>
      </c>
      <c r="C255" s="49"/>
      <c r="D255" s="87"/>
      <c r="E255" s="87"/>
    </row>
    <row r="256" spans="1:5">
      <c r="A256" s="46">
        <v>20401</v>
      </c>
      <c r="B256" s="47" t="s">
        <v>1181</v>
      </c>
      <c r="C256" s="55" t="s">
        <v>1182</v>
      </c>
      <c r="D256" s="87"/>
      <c r="E256" s="87"/>
    </row>
    <row r="257" spans="1:5">
      <c r="A257" s="46">
        <v>20405</v>
      </c>
      <c r="B257" s="65" t="s">
        <v>617</v>
      </c>
      <c r="C257" s="47" t="s">
        <v>1184</v>
      </c>
      <c r="D257" s="47">
        <v>54.644497100000002</v>
      </c>
      <c r="E257" s="47">
        <v>-7.3424860999999897</v>
      </c>
    </row>
    <row r="258" spans="1:5">
      <c r="A258" s="46">
        <v>20411</v>
      </c>
      <c r="B258" s="47" t="s">
        <v>1185</v>
      </c>
      <c r="C258" s="47" t="s">
        <v>1186</v>
      </c>
      <c r="D258" s="48">
        <v>31.775162000000002</v>
      </c>
      <c r="E258" s="48">
        <v>35.231895999999999</v>
      </c>
    </row>
    <row r="259" spans="1:5">
      <c r="A259" s="46">
        <v>20411</v>
      </c>
      <c r="B259" s="47" t="s">
        <v>1187</v>
      </c>
      <c r="C259" s="49"/>
      <c r="D259" s="87"/>
      <c r="E259" s="87"/>
    </row>
    <row r="260" spans="1:5">
      <c r="A260" s="46">
        <v>20411</v>
      </c>
      <c r="B260" s="47" t="s">
        <v>1190</v>
      </c>
      <c r="C260" s="55" t="s">
        <v>1191</v>
      </c>
      <c r="D260" s="87"/>
      <c r="E260" s="87"/>
    </row>
    <row r="261" spans="1:5">
      <c r="A261" s="46">
        <v>20412</v>
      </c>
      <c r="B261" s="47" t="s">
        <v>1195</v>
      </c>
      <c r="C261" s="47" t="s">
        <v>1196</v>
      </c>
      <c r="D261" s="47">
        <v>32.699069999999999</v>
      </c>
      <c r="E261" s="47">
        <v>35.577551</v>
      </c>
    </row>
    <row r="262" spans="1:5">
      <c r="A262" s="46">
        <v>20412</v>
      </c>
      <c r="B262" s="47" t="s">
        <v>1197</v>
      </c>
      <c r="C262" s="47" t="s">
        <v>1198</v>
      </c>
      <c r="D262" s="48">
        <v>31.532568999999999</v>
      </c>
      <c r="E262" s="48">
        <v>35.099826</v>
      </c>
    </row>
    <row r="263" spans="1:5">
      <c r="A263" s="46">
        <v>20420</v>
      </c>
      <c r="B263" s="47" t="s">
        <v>1199</v>
      </c>
      <c r="C263" s="55" t="s">
        <v>1200</v>
      </c>
      <c r="D263" s="87"/>
      <c r="E263" s="87"/>
    </row>
    <row r="264" spans="1:5">
      <c r="A264" s="46">
        <v>20420</v>
      </c>
      <c r="B264" s="47" t="s">
        <v>1202</v>
      </c>
      <c r="C264" s="47" t="s">
        <v>1203</v>
      </c>
      <c r="D264" s="47">
        <v>33.277231999999998</v>
      </c>
      <c r="E264" s="47">
        <v>35.578234999999999</v>
      </c>
    </row>
    <row r="265" spans="1:5">
      <c r="A265" s="46" t="s">
        <v>1204</v>
      </c>
      <c r="B265" s="66" t="s">
        <v>445</v>
      </c>
      <c r="C265" s="45" t="s">
        <v>135</v>
      </c>
      <c r="D265" s="71">
        <v>33.239637000000002</v>
      </c>
      <c r="E265" s="71">
        <v>35.653953000000001</v>
      </c>
    </row>
    <row r="266" spans="1:5">
      <c r="A266" s="46">
        <v>20423</v>
      </c>
      <c r="B266" s="47" t="s">
        <v>1205</v>
      </c>
      <c r="C266" s="55" t="s">
        <v>1207</v>
      </c>
      <c r="D266" s="87"/>
      <c r="E266" s="87"/>
    </row>
    <row r="267" spans="1:5">
      <c r="A267" s="46">
        <v>20426</v>
      </c>
      <c r="B267" s="47" t="s">
        <v>1209</v>
      </c>
      <c r="C267" s="47" t="s">
        <v>1210</v>
      </c>
      <c r="D267" s="47">
        <v>31.768319000000002</v>
      </c>
      <c r="E267" s="47">
        <v>35.213709999999999</v>
      </c>
    </row>
    <row r="268" spans="1:5">
      <c r="A268" s="46">
        <v>20429</v>
      </c>
      <c r="B268" s="47" t="s">
        <v>1211</v>
      </c>
      <c r="C268" s="47" t="s">
        <v>1212</v>
      </c>
      <c r="D268" s="47">
        <v>32.173869000000003</v>
      </c>
      <c r="E268" s="47">
        <v>35.308028999999998</v>
      </c>
    </row>
    <row r="269" spans="1:5">
      <c r="A269" s="46" t="s">
        <v>1213</v>
      </c>
      <c r="B269" s="66" t="s">
        <v>451</v>
      </c>
      <c r="C269" s="45" t="s">
        <v>316</v>
      </c>
      <c r="D269" s="68">
        <v>32.824432100000003</v>
      </c>
      <c r="E269" s="68">
        <v>35.5879975</v>
      </c>
    </row>
    <row r="270" spans="1:5">
      <c r="A270" s="46">
        <v>20436</v>
      </c>
      <c r="B270" s="47" t="s">
        <v>1216</v>
      </c>
      <c r="C270" s="47" t="s">
        <v>1217</v>
      </c>
      <c r="D270" s="48">
        <v>32.184632000000001</v>
      </c>
      <c r="E270" s="48">
        <v>35.016089000000001</v>
      </c>
    </row>
    <row r="271" spans="1:5">
      <c r="A271" s="46">
        <v>20437</v>
      </c>
      <c r="B271" s="47" t="s">
        <v>1219</v>
      </c>
      <c r="C271" s="55" t="s">
        <v>1220</v>
      </c>
      <c r="D271" s="87"/>
      <c r="E271" s="87"/>
    </row>
    <row r="272" spans="1:5">
      <c r="A272" s="46">
        <v>20453</v>
      </c>
      <c r="B272" s="47" t="s">
        <v>1224</v>
      </c>
      <c r="C272" s="49"/>
      <c r="D272" s="87"/>
      <c r="E272" s="87"/>
    </row>
    <row r="273" spans="1:5">
      <c r="A273" s="46">
        <v>20468</v>
      </c>
      <c r="B273" s="47" t="s">
        <v>1226</v>
      </c>
      <c r="C273" s="49"/>
      <c r="D273" s="87"/>
      <c r="E273" s="87"/>
    </row>
    <row r="274" spans="1:5">
      <c r="A274" s="46">
        <v>20481</v>
      </c>
      <c r="B274" s="47" t="s">
        <v>1228</v>
      </c>
      <c r="C274" s="49"/>
      <c r="D274" s="87"/>
      <c r="E274" s="87"/>
    </row>
    <row r="275" spans="1:5">
      <c r="A275" s="46">
        <v>20507</v>
      </c>
      <c r="B275" s="47" t="s">
        <v>1229</v>
      </c>
      <c r="C275" s="47" t="s">
        <v>1231</v>
      </c>
      <c r="D275" s="47">
        <v>32.422891</v>
      </c>
      <c r="E275" s="47">
        <v>35.035764</v>
      </c>
    </row>
    <row r="276" spans="1:5">
      <c r="A276" s="46">
        <v>20508</v>
      </c>
      <c r="B276" s="47" t="s">
        <v>1232</v>
      </c>
      <c r="C276" s="47" t="s">
        <v>1233</v>
      </c>
      <c r="D276" s="47">
        <v>31.748857999999998</v>
      </c>
      <c r="E276" s="47">
        <v>35.007260000000002</v>
      </c>
    </row>
    <row r="277" spans="1:5">
      <c r="A277" s="46">
        <v>20508</v>
      </c>
      <c r="B277" s="47" t="s">
        <v>1234</v>
      </c>
      <c r="C277" s="47" t="s">
        <v>1235</v>
      </c>
      <c r="D277" s="48">
        <v>31.768319000000002</v>
      </c>
      <c r="E277" s="48">
        <v>35.213709999999999</v>
      </c>
    </row>
    <row r="278" spans="1:5">
      <c r="A278" s="46">
        <v>20509</v>
      </c>
      <c r="B278" s="47" t="s">
        <v>1237</v>
      </c>
      <c r="C278" s="55" t="s">
        <v>1238</v>
      </c>
      <c r="D278" s="87"/>
      <c r="E278" s="87"/>
    </row>
    <row r="279" spans="1:5">
      <c r="A279" s="46">
        <v>20519</v>
      </c>
      <c r="B279" s="47" t="s">
        <v>1240</v>
      </c>
      <c r="C279" s="55" t="s">
        <v>1241</v>
      </c>
      <c r="D279" s="87"/>
      <c r="E279" s="87"/>
    </row>
    <row r="280" spans="1:5">
      <c r="A280" s="46">
        <v>20525</v>
      </c>
      <c r="B280" s="47" t="s">
        <v>1243</v>
      </c>
      <c r="C280" s="47" t="s">
        <v>1244</v>
      </c>
      <c r="D280" s="47">
        <v>32.8109137</v>
      </c>
      <c r="E280" s="47">
        <v>34.9934984</v>
      </c>
    </row>
    <row r="281" spans="1:5">
      <c r="A281" s="46">
        <v>20526</v>
      </c>
      <c r="B281" s="47" t="s">
        <v>1246</v>
      </c>
      <c r="C281" s="47" t="s">
        <v>1247</v>
      </c>
      <c r="D281" s="47">
        <v>31.861597</v>
      </c>
      <c r="E281" s="47">
        <v>35.207914000000002</v>
      </c>
    </row>
    <row r="282" spans="1:5">
      <c r="A282" s="46">
        <v>20544</v>
      </c>
      <c r="B282" s="47" t="s">
        <v>1248</v>
      </c>
      <c r="C282" s="47" t="s">
        <v>1249</v>
      </c>
      <c r="D282" s="48">
        <v>34.227961200000003</v>
      </c>
      <c r="E282" s="48">
        <v>-77.837965999999994</v>
      </c>
    </row>
    <row r="283" spans="1:5">
      <c r="A283" s="60">
        <v>20552</v>
      </c>
      <c r="B283" s="48" t="s">
        <v>1252</v>
      </c>
      <c r="C283" s="49"/>
      <c r="D283" s="87"/>
      <c r="E283" s="87"/>
    </row>
    <row r="284" spans="1:5">
      <c r="A284" s="62" t="s">
        <v>1254</v>
      </c>
      <c r="B284" s="97" t="s">
        <v>453</v>
      </c>
      <c r="C284" s="45" t="s">
        <v>326</v>
      </c>
      <c r="D284" s="68">
        <v>31.611148</v>
      </c>
      <c r="E284" s="68">
        <v>34.768459</v>
      </c>
    </row>
    <row r="285" spans="1:5">
      <c r="A285" s="62" t="s">
        <v>1254</v>
      </c>
      <c r="B285" s="97" t="s">
        <v>456</v>
      </c>
      <c r="C285" s="93" t="s">
        <v>281</v>
      </c>
      <c r="D285" s="71">
        <v>31.668788500000002</v>
      </c>
      <c r="E285" s="71">
        <v>34.574252299999998</v>
      </c>
    </row>
    <row r="286" spans="1:5">
      <c r="A286" s="62" t="s">
        <v>1254</v>
      </c>
      <c r="B286" s="77" t="s">
        <v>458</v>
      </c>
      <c r="C286" s="81" t="s">
        <v>460</v>
      </c>
      <c r="D286" s="79">
        <v>31.624611000000002</v>
      </c>
      <c r="E286" s="79">
        <v>34.747655999999999</v>
      </c>
    </row>
    <row r="287" spans="1:5">
      <c r="A287" s="46">
        <v>20553</v>
      </c>
      <c r="B287" s="47" t="s">
        <v>1259</v>
      </c>
      <c r="C287" s="49"/>
      <c r="D287" s="87"/>
      <c r="E287" s="87"/>
    </row>
    <row r="288" spans="1:5">
      <c r="A288" s="60">
        <v>20554</v>
      </c>
      <c r="B288" s="47" t="s">
        <v>1263</v>
      </c>
      <c r="C288" s="49"/>
      <c r="D288" s="87"/>
      <c r="E288" s="87"/>
    </row>
    <row r="289" spans="1:5">
      <c r="A289" s="62">
        <v>20556</v>
      </c>
      <c r="B289" s="47" t="s">
        <v>1266</v>
      </c>
      <c r="C289" s="76"/>
      <c r="D289" s="87"/>
      <c r="E289" s="87"/>
    </row>
    <row r="290" spans="1:5">
      <c r="A290" s="62" t="s">
        <v>1268</v>
      </c>
      <c r="B290" s="77" t="s">
        <v>462</v>
      </c>
      <c r="C290" s="81" t="s">
        <v>464</v>
      </c>
      <c r="D290" s="79">
        <v>31.696667000000001</v>
      </c>
      <c r="E290" s="79">
        <v>34.728611000000001</v>
      </c>
    </row>
    <row r="291" spans="1:5">
      <c r="A291" s="46" t="s">
        <v>1268</v>
      </c>
      <c r="B291" s="77" t="s">
        <v>466</v>
      </c>
      <c r="C291" s="81" t="s">
        <v>468</v>
      </c>
      <c r="D291" s="79">
        <v>31.98</v>
      </c>
      <c r="E291" s="79">
        <v>34.872197</v>
      </c>
    </row>
    <row r="292" spans="1:5">
      <c r="A292" s="46">
        <v>20561</v>
      </c>
      <c r="B292" s="47" t="s">
        <v>1269</v>
      </c>
      <c r="C292" s="55" t="s">
        <v>1270</v>
      </c>
      <c r="D292" s="87"/>
      <c r="E292" s="87"/>
    </row>
    <row r="293" spans="1:5">
      <c r="A293" s="46">
        <v>20563</v>
      </c>
      <c r="B293" s="47" t="s">
        <v>1272</v>
      </c>
      <c r="C293" s="49"/>
      <c r="D293" s="87"/>
      <c r="E293" s="87"/>
    </row>
    <row r="294" spans="1:5">
      <c r="A294" s="46">
        <v>20565</v>
      </c>
      <c r="B294" s="47" t="s">
        <v>1273</v>
      </c>
      <c r="C294" s="47" t="s">
        <v>1275</v>
      </c>
      <c r="D294" s="48">
        <v>28.893869200000001</v>
      </c>
      <c r="E294" s="48">
        <v>-81.275190799999905</v>
      </c>
    </row>
    <row r="295" spans="1:5">
      <c r="A295" s="46">
        <v>20567</v>
      </c>
      <c r="B295" s="47" t="s">
        <v>1277</v>
      </c>
      <c r="C295" s="55" t="s">
        <v>1278</v>
      </c>
      <c r="D295" s="87"/>
      <c r="E295" s="87"/>
    </row>
    <row r="296" spans="1:5">
      <c r="A296" s="46">
        <v>20574</v>
      </c>
      <c r="B296" s="47" t="s">
        <v>1279</v>
      </c>
      <c r="C296" s="49"/>
      <c r="D296" s="87"/>
      <c r="E296" s="87"/>
    </row>
    <row r="297" spans="1:5">
      <c r="A297" s="46">
        <v>20581</v>
      </c>
      <c r="B297" s="47" t="s">
        <v>1284</v>
      </c>
      <c r="C297" s="47" t="s">
        <v>1285</v>
      </c>
      <c r="D297" s="47">
        <v>40.102572000000002</v>
      </c>
      <c r="E297" s="47">
        <v>27.658373000000001</v>
      </c>
    </row>
    <row r="298" spans="1:5">
      <c r="A298" s="46">
        <v>20584</v>
      </c>
      <c r="B298" s="47" t="s">
        <v>1288</v>
      </c>
      <c r="C298" s="47" t="s">
        <v>1289</v>
      </c>
      <c r="D298" s="47">
        <v>33.098984999999999</v>
      </c>
      <c r="E298" s="47">
        <v>35.288522</v>
      </c>
    </row>
    <row r="299" spans="1:5">
      <c r="A299" s="46">
        <v>20587</v>
      </c>
      <c r="B299" s="47" t="s">
        <v>1290</v>
      </c>
      <c r="C299" s="47" t="s">
        <v>1291</v>
      </c>
      <c r="D299" s="48">
        <v>31.768319000000002</v>
      </c>
      <c r="E299" s="48">
        <v>35.213709999999999</v>
      </c>
    </row>
    <row r="300" spans="1:5">
      <c r="A300" s="46">
        <v>20589</v>
      </c>
      <c r="B300" s="47" t="s">
        <v>1292</v>
      </c>
      <c r="C300" s="55" t="s">
        <v>1293</v>
      </c>
      <c r="D300" s="87"/>
      <c r="E300" s="87"/>
    </row>
    <row r="301" spans="1:5">
      <c r="A301" s="46">
        <v>20591</v>
      </c>
      <c r="B301" s="47" t="s">
        <v>1295</v>
      </c>
      <c r="C301" s="49"/>
      <c r="D301" s="87"/>
      <c r="E301" s="87"/>
    </row>
    <row r="302" spans="1:5">
      <c r="A302" s="46">
        <v>20609</v>
      </c>
      <c r="B302" s="47" t="s">
        <v>1297</v>
      </c>
      <c r="C302" s="47" t="s">
        <v>1298</v>
      </c>
      <c r="D302" s="48">
        <v>33.207932999999997</v>
      </c>
      <c r="E302" s="48">
        <v>35.570245999999997</v>
      </c>
    </row>
    <row r="303" spans="1:5">
      <c r="A303" s="60">
        <v>20611</v>
      </c>
      <c r="B303" s="47" t="s">
        <v>1299</v>
      </c>
      <c r="C303" s="55" t="s">
        <v>1300</v>
      </c>
      <c r="D303" s="87"/>
      <c r="E303" s="87"/>
    </row>
    <row r="304" spans="1:5">
      <c r="A304" s="62">
        <v>20612</v>
      </c>
      <c r="B304" s="47" t="s">
        <v>1301</v>
      </c>
      <c r="C304" s="55" t="s">
        <v>1302</v>
      </c>
      <c r="D304" s="87"/>
      <c r="E304" s="87"/>
    </row>
    <row r="305" spans="1:5">
      <c r="A305" s="62">
        <v>20612</v>
      </c>
      <c r="B305" s="47" t="s">
        <v>1304</v>
      </c>
      <c r="C305" s="47" t="s">
        <v>1305</v>
      </c>
      <c r="D305" s="48">
        <v>32.497103000000003</v>
      </c>
      <c r="E305" s="48">
        <v>35.497335999999997</v>
      </c>
    </row>
    <row r="306" spans="1:5">
      <c r="A306" s="46">
        <v>20621</v>
      </c>
      <c r="B306" s="47" t="s">
        <v>1306</v>
      </c>
      <c r="C306" s="55" t="s">
        <v>1307</v>
      </c>
      <c r="D306" s="87"/>
      <c r="E306" s="87"/>
    </row>
    <row r="307" spans="1:5">
      <c r="A307" s="46">
        <v>20623</v>
      </c>
      <c r="B307" s="47" t="s">
        <v>1308</v>
      </c>
      <c r="C307" s="49"/>
      <c r="D307" s="87"/>
      <c r="E307" s="87"/>
    </row>
    <row r="308" spans="1:5">
      <c r="A308" s="46">
        <v>20643</v>
      </c>
      <c r="B308" s="47" t="s">
        <v>1310</v>
      </c>
      <c r="C308" s="47" t="s">
        <v>1244</v>
      </c>
      <c r="D308" s="48">
        <v>32.8109137</v>
      </c>
      <c r="E308" s="48">
        <v>34.9934984</v>
      </c>
    </row>
    <row r="309" spans="1:5">
      <c r="A309" s="46">
        <v>20645</v>
      </c>
      <c r="B309" s="47" t="s">
        <v>1311</v>
      </c>
      <c r="C309" s="49"/>
      <c r="D309" s="87"/>
      <c r="E309" s="87"/>
    </row>
    <row r="310" spans="1:5">
      <c r="A310" s="46">
        <v>20649</v>
      </c>
      <c r="B310" s="47" t="s">
        <v>1313</v>
      </c>
      <c r="C310" s="49"/>
      <c r="D310" s="87"/>
      <c r="E310" s="87"/>
    </row>
    <row r="311" spans="1:5">
      <c r="A311" s="46">
        <v>20651</v>
      </c>
      <c r="B311" s="47" t="s">
        <v>1316</v>
      </c>
      <c r="C311" s="47" t="s">
        <v>1317</v>
      </c>
      <c r="D311" s="47">
        <v>33.008536100000001</v>
      </c>
      <c r="E311" s="47">
        <v>35.098051400000003</v>
      </c>
    </row>
    <row r="312" spans="1:5">
      <c r="A312" s="46">
        <v>20656</v>
      </c>
      <c r="B312" s="47" t="s">
        <v>1318</v>
      </c>
      <c r="C312" s="47" t="s">
        <v>1319</v>
      </c>
      <c r="D312" s="48">
        <v>31.768319000000002</v>
      </c>
      <c r="E312" s="48">
        <v>35.213709999999999</v>
      </c>
    </row>
    <row r="313" spans="1:5">
      <c r="A313" s="46">
        <v>20657</v>
      </c>
      <c r="B313" s="47" t="s">
        <v>1320</v>
      </c>
      <c r="C313" s="55" t="s">
        <v>1322</v>
      </c>
      <c r="D313" s="87"/>
      <c r="E313" s="87"/>
    </row>
    <row r="314" spans="1:5">
      <c r="A314" s="46">
        <v>20658</v>
      </c>
      <c r="B314" s="47" t="s">
        <v>1324</v>
      </c>
      <c r="C314" s="47" t="s">
        <v>1244</v>
      </c>
      <c r="D314" s="47">
        <v>32.8109137</v>
      </c>
      <c r="E314" s="47">
        <v>34.9934984</v>
      </c>
    </row>
    <row r="315" spans="1:5">
      <c r="A315" s="60">
        <v>20659</v>
      </c>
      <c r="B315" s="47" t="s">
        <v>1325</v>
      </c>
      <c r="C315" s="47" t="s">
        <v>1326</v>
      </c>
      <c r="D315" s="47">
        <v>33.196035000000002</v>
      </c>
      <c r="E315" s="47">
        <v>35.657992999999998</v>
      </c>
    </row>
    <row r="316" spans="1:5">
      <c r="A316" s="62">
        <v>20659</v>
      </c>
      <c r="B316" s="47" t="s">
        <v>1328</v>
      </c>
      <c r="C316" s="47" t="s">
        <v>1329</v>
      </c>
      <c r="D316" s="47">
        <v>32.964647999999997</v>
      </c>
      <c r="E316" s="47">
        <v>35.495997000000003</v>
      </c>
    </row>
    <row r="317" spans="1:5">
      <c r="A317" s="62" t="s">
        <v>1331</v>
      </c>
      <c r="B317" s="66" t="s">
        <v>472</v>
      </c>
      <c r="C317" s="93" t="s">
        <v>338</v>
      </c>
      <c r="D317" s="71">
        <v>31.817429000000001</v>
      </c>
      <c r="E317" s="71">
        <v>35.109406</v>
      </c>
    </row>
    <row r="318" spans="1:5">
      <c r="A318" s="46" t="s">
        <v>1332</v>
      </c>
      <c r="B318" s="77" t="s">
        <v>476</v>
      </c>
      <c r="C318" s="81" t="s">
        <v>478</v>
      </c>
      <c r="D318" s="83">
        <v>31.657568000000001</v>
      </c>
      <c r="E318" s="83">
        <v>34.777321000000001</v>
      </c>
    </row>
    <row r="319" spans="1:5">
      <c r="A319" s="46">
        <v>20683</v>
      </c>
      <c r="B319" s="47" t="s">
        <v>1333</v>
      </c>
      <c r="C319" s="49"/>
      <c r="D319" s="87"/>
      <c r="E319" s="87"/>
    </row>
    <row r="320" spans="1:5">
      <c r="A320" s="46">
        <v>20683</v>
      </c>
      <c r="B320" s="47" t="s">
        <v>1336</v>
      </c>
      <c r="C320" s="76"/>
      <c r="D320" s="87"/>
      <c r="E320" s="87"/>
    </row>
    <row r="321" spans="1:5">
      <c r="A321" s="46" t="s">
        <v>1339</v>
      </c>
      <c r="B321" s="77" t="s">
        <v>481</v>
      </c>
      <c r="C321" s="78" t="s">
        <v>131</v>
      </c>
      <c r="D321" s="79">
        <v>30.886129</v>
      </c>
      <c r="E321" s="79">
        <v>34.421553000000003</v>
      </c>
    </row>
    <row r="322" spans="1:5">
      <c r="A322" s="46">
        <v>20708</v>
      </c>
      <c r="B322" s="47" t="s">
        <v>1341</v>
      </c>
      <c r="C322" s="47" t="s">
        <v>1342</v>
      </c>
      <c r="D322" s="47">
        <v>31.768319000000002</v>
      </c>
      <c r="E322" s="47">
        <v>35.213709999999999</v>
      </c>
    </row>
    <row r="323" spans="1:5">
      <c r="A323" s="60" t="s">
        <v>1343</v>
      </c>
      <c r="B323" s="66" t="s">
        <v>485</v>
      </c>
      <c r="C323" s="45" t="s">
        <v>347</v>
      </c>
      <c r="D323" s="71">
        <v>31.612880000000001</v>
      </c>
      <c r="E323" s="71">
        <v>34.895567999999997</v>
      </c>
    </row>
    <row r="324" spans="1:5">
      <c r="A324" s="62">
        <v>20710</v>
      </c>
      <c r="B324" s="47" t="s">
        <v>1345</v>
      </c>
      <c r="C324" s="76"/>
      <c r="D324" s="87"/>
      <c r="E324" s="87"/>
    </row>
    <row r="325" spans="1:5">
      <c r="A325" s="62" t="s">
        <v>1346</v>
      </c>
      <c r="B325" s="77" t="s">
        <v>488</v>
      </c>
      <c r="C325" s="81" t="s">
        <v>490</v>
      </c>
      <c r="D325" s="68">
        <v>30.767700000000001</v>
      </c>
      <c r="E325" s="68">
        <v>35.280200000000001</v>
      </c>
    </row>
    <row r="326" spans="1:5">
      <c r="A326" s="46">
        <v>20721</v>
      </c>
      <c r="B326" s="47" t="s">
        <v>1347</v>
      </c>
      <c r="C326" s="47" t="s">
        <v>1317</v>
      </c>
      <c r="D326" s="47">
        <v>33.008536100000001</v>
      </c>
      <c r="E326" s="47">
        <v>35.098051400000003</v>
      </c>
    </row>
    <row r="327" spans="1:5">
      <c r="A327" s="46" t="s">
        <v>1348</v>
      </c>
      <c r="B327" s="66" t="s">
        <v>492</v>
      </c>
      <c r="C327" s="45" t="s">
        <v>353</v>
      </c>
      <c r="D327" s="68">
        <v>31.7403163</v>
      </c>
      <c r="E327" s="68">
        <v>35.217882500000002</v>
      </c>
    </row>
    <row r="328" spans="1:5">
      <c r="A328" s="46" t="s">
        <v>1350</v>
      </c>
      <c r="B328" s="66" t="s">
        <v>496</v>
      </c>
      <c r="C328" s="45" t="s">
        <v>357</v>
      </c>
      <c r="D328" s="68">
        <v>31.751705000000001</v>
      </c>
      <c r="E328" s="68">
        <v>35.142428000000002</v>
      </c>
    </row>
    <row r="329" spans="1:5">
      <c r="A329" s="60" t="s">
        <v>1350</v>
      </c>
      <c r="B329" s="66" t="s">
        <v>501</v>
      </c>
      <c r="C329" s="45" t="s">
        <v>362</v>
      </c>
      <c r="D329" s="71">
        <v>32.494070000000001</v>
      </c>
      <c r="E329" s="71">
        <v>35.550767</v>
      </c>
    </row>
    <row r="330" spans="1:5">
      <c r="A330" s="62">
        <v>20732</v>
      </c>
      <c r="B330" s="47" t="s">
        <v>1353</v>
      </c>
      <c r="C330" s="49"/>
      <c r="D330" s="87"/>
      <c r="E330" s="87"/>
    </row>
    <row r="331" spans="1:5">
      <c r="A331" s="62" t="s">
        <v>1354</v>
      </c>
      <c r="B331" s="66" t="s">
        <v>505</v>
      </c>
      <c r="C331" s="45" t="s">
        <v>366</v>
      </c>
      <c r="D331" s="68">
        <v>31.252973000000001</v>
      </c>
      <c r="E331" s="68">
        <v>34.791462000000003</v>
      </c>
    </row>
    <row r="332" spans="1:5">
      <c r="A332" s="62">
        <v>20737</v>
      </c>
      <c r="B332" s="47" t="s">
        <v>1355</v>
      </c>
      <c r="C332" s="47" t="s">
        <v>1356</v>
      </c>
      <c r="D332" s="47">
        <v>32.178195000000002</v>
      </c>
      <c r="E332" s="47">
        <v>34.907609999999998</v>
      </c>
    </row>
    <row r="333" spans="1:5">
      <c r="A333" s="62" t="s">
        <v>1357</v>
      </c>
      <c r="B333" s="66" t="s">
        <v>510</v>
      </c>
      <c r="C333" s="93" t="s">
        <v>370</v>
      </c>
      <c r="D333" s="71">
        <v>31.612869</v>
      </c>
      <c r="E333" s="71">
        <v>34.772486700000002</v>
      </c>
    </row>
    <row r="334" spans="1:5">
      <c r="A334" s="46" t="s">
        <v>1359</v>
      </c>
      <c r="B334" s="77" t="s">
        <v>515</v>
      </c>
      <c r="C334" s="78" t="s">
        <v>131</v>
      </c>
      <c r="D334" s="79">
        <v>30.886129</v>
      </c>
      <c r="E334" s="79">
        <v>34.421553000000003</v>
      </c>
    </row>
    <row r="335" spans="1:5">
      <c r="A335" s="46">
        <v>20760</v>
      </c>
      <c r="B335" s="47" t="s">
        <v>1360</v>
      </c>
      <c r="C335" s="49"/>
      <c r="D335" s="87"/>
      <c r="E335" s="87"/>
    </row>
    <row r="336" spans="1:5">
      <c r="A336" s="46">
        <v>20768</v>
      </c>
      <c r="B336" s="47" t="s">
        <v>1361</v>
      </c>
      <c r="C336" s="55" t="s">
        <v>1362</v>
      </c>
      <c r="D336" s="87"/>
      <c r="E336" s="87"/>
    </row>
    <row r="337" spans="1:5">
      <c r="A337" s="46">
        <v>20770</v>
      </c>
      <c r="B337" s="47" t="s">
        <v>1365</v>
      </c>
      <c r="C337" s="47" t="s">
        <v>1317</v>
      </c>
      <c r="D337" s="48">
        <v>33.008536100000001</v>
      </c>
      <c r="E337" s="48">
        <v>35.098051400000003</v>
      </c>
    </row>
    <row r="338" spans="1:5">
      <c r="A338" s="46">
        <v>20780</v>
      </c>
      <c r="B338" s="47" t="s">
        <v>1367</v>
      </c>
      <c r="C338" s="49"/>
      <c r="D338" s="87"/>
      <c r="E338" s="87"/>
    </row>
    <row r="339" spans="1:5">
      <c r="A339" s="60">
        <v>20789</v>
      </c>
      <c r="B339" s="47" t="s">
        <v>1368</v>
      </c>
      <c r="C339" s="47" t="s">
        <v>1369</v>
      </c>
      <c r="D339" s="48">
        <v>31.252973000000001</v>
      </c>
      <c r="E339" s="48">
        <v>34.791462000000003</v>
      </c>
    </row>
    <row r="340" spans="1:5">
      <c r="A340" s="62">
        <v>20804</v>
      </c>
      <c r="B340" s="47" t="s">
        <v>1370</v>
      </c>
      <c r="C340" s="55" t="s">
        <v>1371</v>
      </c>
      <c r="D340" s="87"/>
      <c r="E340" s="87"/>
    </row>
    <row r="341" spans="1:5">
      <c r="A341" s="62">
        <v>20804</v>
      </c>
      <c r="B341" s="47" t="s">
        <v>1372</v>
      </c>
      <c r="C341" s="49"/>
      <c r="D341" s="87"/>
      <c r="E341" s="87"/>
    </row>
    <row r="342" spans="1:5">
      <c r="A342" s="46">
        <v>20812</v>
      </c>
      <c r="B342" s="47" t="s">
        <v>1374</v>
      </c>
      <c r="C342" s="47" t="s">
        <v>1375</v>
      </c>
      <c r="D342" s="47">
        <v>33.247571999999998</v>
      </c>
      <c r="E342" s="47">
        <v>35.548499</v>
      </c>
    </row>
    <row r="343" spans="1:5">
      <c r="A343" s="46">
        <v>20816</v>
      </c>
      <c r="B343" s="47" t="s">
        <v>1376</v>
      </c>
      <c r="C343" s="47" t="s">
        <v>1377</v>
      </c>
      <c r="D343" s="47">
        <v>33.221485000000001</v>
      </c>
      <c r="E343" s="47">
        <v>35.623027999999998</v>
      </c>
    </row>
    <row r="344" spans="1:5">
      <c r="A344" s="46">
        <v>20824</v>
      </c>
      <c r="B344" s="47" t="s">
        <v>1378</v>
      </c>
      <c r="C344" s="47" t="s">
        <v>1379</v>
      </c>
      <c r="D344" s="48">
        <v>32.196015000000003</v>
      </c>
      <c r="E344" s="48">
        <v>34.981513</v>
      </c>
    </row>
    <row r="345" spans="1:5">
      <c r="A345" s="46">
        <v>20829</v>
      </c>
      <c r="B345" s="47" t="s">
        <v>1381</v>
      </c>
      <c r="C345" s="55" t="s">
        <v>1382</v>
      </c>
      <c r="D345" s="87"/>
      <c r="E345" s="87"/>
    </row>
    <row r="346" spans="1:5">
      <c r="A346" s="46">
        <v>20831</v>
      </c>
      <c r="B346" s="47" t="s">
        <v>1384</v>
      </c>
      <c r="C346" s="55" t="s">
        <v>1386</v>
      </c>
      <c r="D346" s="87"/>
      <c r="E346" s="87"/>
    </row>
    <row r="347" spans="1:5">
      <c r="A347" s="46">
        <v>20846</v>
      </c>
      <c r="B347" s="47" t="s">
        <v>1389</v>
      </c>
      <c r="C347" s="47" t="s">
        <v>1390</v>
      </c>
      <c r="D347" s="47">
        <v>33.166753999999997</v>
      </c>
      <c r="E347" s="47">
        <v>35.659948999999997</v>
      </c>
    </row>
    <row r="348" spans="1:5">
      <c r="A348" s="46">
        <v>20848</v>
      </c>
      <c r="B348" s="47" t="s">
        <v>1391</v>
      </c>
      <c r="C348" s="47" t="s">
        <v>215</v>
      </c>
      <c r="D348" s="47">
        <v>32.184781000000001</v>
      </c>
      <c r="E348" s="47">
        <v>34.871326000000003</v>
      </c>
    </row>
    <row r="349" spans="1:5">
      <c r="A349" s="46">
        <v>20857</v>
      </c>
      <c r="B349" s="47" t="s">
        <v>1394</v>
      </c>
      <c r="C349" s="47" t="s">
        <v>1042</v>
      </c>
      <c r="D349" s="48">
        <v>32.723787000000002</v>
      </c>
      <c r="E349" s="48">
        <v>35.565241999999998</v>
      </c>
    </row>
    <row r="350" spans="1:5">
      <c r="A350" s="46">
        <v>20887</v>
      </c>
      <c r="B350" s="47" t="s">
        <v>1396</v>
      </c>
      <c r="C350" s="55" t="s">
        <v>1397</v>
      </c>
      <c r="D350" s="87"/>
      <c r="E350" s="87"/>
    </row>
    <row r="351" spans="1:5">
      <c r="A351" s="46">
        <v>20898</v>
      </c>
      <c r="B351" s="65" t="s">
        <v>617</v>
      </c>
      <c r="C351" s="47" t="s">
        <v>1400</v>
      </c>
      <c r="D351" s="47">
        <v>32.696879799999998</v>
      </c>
      <c r="E351" s="47">
        <v>35.323705699999998</v>
      </c>
    </row>
    <row r="352" spans="1:5">
      <c r="A352" s="46">
        <v>20921</v>
      </c>
      <c r="B352" s="47" t="s">
        <v>1401</v>
      </c>
      <c r="C352" s="47" t="s">
        <v>32</v>
      </c>
      <c r="D352" s="48">
        <v>31.768319000000002</v>
      </c>
      <c r="E352" s="48">
        <v>35.213709999999999</v>
      </c>
    </row>
    <row r="353" spans="1:5">
      <c r="A353" s="46">
        <v>20922</v>
      </c>
      <c r="B353" s="47" t="s">
        <v>1404</v>
      </c>
      <c r="C353" s="55" t="s">
        <v>1405</v>
      </c>
      <c r="D353" s="87"/>
      <c r="E353" s="87"/>
    </row>
    <row r="354" spans="1:5">
      <c r="A354" s="46">
        <v>20935</v>
      </c>
      <c r="B354" s="47" t="s">
        <v>1407</v>
      </c>
      <c r="C354" s="47" t="s">
        <v>1042</v>
      </c>
      <c r="D354" s="48">
        <v>32.723787000000002</v>
      </c>
      <c r="E354" s="48">
        <v>35.565241999999998</v>
      </c>
    </row>
    <row r="355" spans="1:5">
      <c r="A355" s="46">
        <v>20961</v>
      </c>
      <c r="B355" s="47" t="s">
        <v>1410</v>
      </c>
      <c r="C355" s="49"/>
      <c r="D355" s="87"/>
      <c r="E355" s="87"/>
    </row>
    <row r="356" spans="1:5">
      <c r="A356" s="46">
        <v>20985</v>
      </c>
      <c r="B356" s="47" t="s">
        <v>1414</v>
      </c>
      <c r="C356" s="47" t="s">
        <v>32</v>
      </c>
      <c r="D356" s="47">
        <v>31.768319000000002</v>
      </c>
      <c r="E356" s="47">
        <v>35.213709999999999</v>
      </c>
    </row>
    <row r="357" spans="1:5">
      <c r="A357" s="46">
        <v>20987</v>
      </c>
      <c r="B357" s="47" t="s">
        <v>1416</v>
      </c>
      <c r="C357" s="47" t="s">
        <v>1417</v>
      </c>
      <c r="D357" s="48">
        <v>32.085299900000003</v>
      </c>
      <c r="E357" s="48">
        <v>34.781767599999903</v>
      </c>
    </row>
    <row r="358" spans="1:5">
      <c r="A358" s="46">
        <v>20990</v>
      </c>
      <c r="B358" s="47" t="s">
        <v>1418</v>
      </c>
      <c r="C358" s="49"/>
      <c r="D358" s="87"/>
      <c r="E358" s="87"/>
    </row>
    <row r="359" spans="1:5">
      <c r="A359" s="46">
        <v>20991</v>
      </c>
      <c r="B359" s="47" t="s">
        <v>1421</v>
      </c>
      <c r="C359" s="47" t="s">
        <v>32</v>
      </c>
      <c r="D359" s="47">
        <v>31.768319000000002</v>
      </c>
      <c r="E359" s="47">
        <v>35.213709999999999</v>
      </c>
    </row>
    <row r="360" spans="1:5">
      <c r="A360" s="46">
        <v>20995</v>
      </c>
      <c r="B360" s="47" t="s">
        <v>1422</v>
      </c>
      <c r="C360" s="47" t="s">
        <v>800</v>
      </c>
      <c r="D360" s="47">
        <v>33.087634000000001</v>
      </c>
      <c r="E360" s="47">
        <v>35.173430000000003</v>
      </c>
    </row>
    <row r="361" spans="1:5">
      <c r="A361" s="46">
        <v>21010</v>
      </c>
      <c r="B361" s="47" t="s">
        <v>1425</v>
      </c>
      <c r="C361" s="47" t="s">
        <v>1426</v>
      </c>
      <c r="D361" s="48">
        <v>32.708765</v>
      </c>
      <c r="E361" s="48">
        <v>35.503777999999997</v>
      </c>
    </row>
    <row r="362" spans="1:5">
      <c r="A362" s="46">
        <v>21012</v>
      </c>
      <c r="B362" s="47" t="s">
        <v>1427</v>
      </c>
      <c r="C362" s="55" t="s">
        <v>1428</v>
      </c>
      <c r="D362" s="87"/>
      <c r="E362" s="87"/>
    </row>
    <row r="363" spans="1:5">
      <c r="A363" s="46">
        <v>21028</v>
      </c>
      <c r="B363" s="47" t="s">
        <v>1432</v>
      </c>
      <c r="C363" s="55" t="s">
        <v>1433</v>
      </c>
      <c r="D363" s="87"/>
      <c r="E363" s="87"/>
    </row>
    <row r="364" spans="1:5">
      <c r="A364" s="46">
        <v>21029</v>
      </c>
      <c r="B364" s="47" t="s">
        <v>1437</v>
      </c>
      <c r="C364" s="47" t="s">
        <v>1438</v>
      </c>
      <c r="D364" s="47">
        <v>32.073495999999999</v>
      </c>
      <c r="E364" s="47">
        <v>34.804875000000003</v>
      </c>
    </row>
    <row r="365" spans="1:5">
      <c r="A365" s="46">
        <v>21070</v>
      </c>
      <c r="B365" s="47" t="s">
        <v>1440</v>
      </c>
      <c r="C365" s="47" t="s">
        <v>430</v>
      </c>
      <c r="D365" s="47">
        <v>31.518459</v>
      </c>
      <c r="E365" s="47">
        <v>34.580544000000003</v>
      </c>
    </row>
    <row r="366" spans="1:5">
      <c r="A366" s="60">
        <v>21073</v>
      </c>
      <c r="B366" s="47" t="s">
        <v>1442</v>
      </c>
      <c r="C366" s="47" t="s">
        <v>1443</v>
      </c>
      <c r="D366" s="47">
        <v>30.585163999999999</v>
      </c>
      <c r="E366" s="47">
        <v>36.238413999999999</v>
      </c>
    </row>
    <row r="367" spans="1:5">
      <c r="A367" s="62">
        <v>21085</v>
      </c>
      <c r="B367" s="47" t="s">
        <v>1444</v>
      </c>
      <c r="C367" s="47" t="s">
        <v>1445</v>
      </c>
      <c r="D367" s="47">
        <v>31.773572999999999</v>
      </c>
      <c r="E367" s="47">
        <v>35.074446999999999</v>
      </c>
    </row>
    <row r="368" spans="1:5">
      <c r="A368" s="62">
        <v>21085</v>
      </c>
      <c r="B368" s="65" t="s">
        <v>617</v>
      </c>
      <c r="C368" s="47" t="s">
        <v>1446</v>
      </c>
      <c r="D368" s="48">
        <v>32.071968900000002</v>
      </c>
      <c r="E368" s="48">
        <v>34.820601099999998</v>
      </c>
    </row>
    <row r="369" spans="1:5">
      <c r="A369" s="46">
        <v>21115</v>
      </c>
      <c r="B369" s="47" t="s">
        <v>1447</v>
      </c>
      <c r="C369" s="55" t="s">
        <v>1448</v>
      </c>
      <c r="D369" s="87"/>
      <c r="E369" s="87"/>
    </row>
    <row r="370" spans="1:5">
      <c r="A370" s="46">
        <v>21120</v>
      </c>
      <c r="B370" s="47" t="s">
        <v>1450</v>
      </c>
      <c r="C370" s="47" t="s">
        <v>1451</v>
      </c>
      <c r="D370" s="48">
        <v>31.681642</v>
      </c>
      <c r="E370" s="48">
        <v>34.565176000000001</v>
      </c>
    </row>
    <row r="371" spans="1:5">
      <c r="A371" s="60">
        <v>21130</v>
      </c>
      <c r="B371" s="47" t="s">
        <v>1452</v>
      </c>
      <c r="C371" s="55" t="s">
        <v>1453</v>
      </c>
      <c r="D371" s="87"/>
      <c r="E371" s="87"/>
    </row>
    <row r="372" spans="1:5">
      <c r="A372" s="62">
        <v>21147</v>
      </c>
      <c r="B372" s="47" t="s">
        <v>1457</v>
      </c>
      <c r="C372" s="55" t="s">
        <v>1458</v>
      </c>
      <c r="D372" s="87"/>
      <c r="E372" s="87"/>
    </row>
    <row r="373" spans="1:5">
      <c r="A373" s="62">
        <v>21147</v>
      </c>
      <c r="B373" s="47" t="s">
        <v>1459</v>
      </c>
      <c r="C373" s="49"/>
      <c r="D373" s="87"/>
      <c r="E373" s="87"/>
    </row>
    <row r="374" spans="1:5">
      <c r="A374" s="46">
        <v>21148</v>
      </c>
      <c r="B374" s="47" t="s">
        <v>1460</v>
      </c>
      <c r="C374" s="47" t="s">
        <v>32</v>
      </c>
      <c r="D374" s="48">
        <v>31.768319000000002</v>
      </c>
      <c r="E374" s="48">
        <v>35.213709999999999</v>
      </c>
    </row>
    <row r="375" spans="1:5">
      <c r="A375" s="46">
        <v>21150</v>
      </c>
      <c r="B375" s="47" t="s">
        <v>1462</v>
      </c>
      <c r="C375" s="55" t="s">
        <v>1463</v>
      </c>
      <c r="D375" s="87"/>
      <c r="E375" s="87"/>
    </row>
    <row r="376" spans="1:5">
      <c r="A376" s="46">
        <v>21152</v>
      </c>
      <c r="B376" s="47" t="s">
        <v>1465</v>
      </c>
      <c r="C376" s="55" t="s">
        <v>1466</v>
      </c>
      <c r="D376" s="87"/>
      <c r="E376" s="87"/>
    </row>
    <row r="377" spans="1:5">
      <c r="A377" s="46">
        <v>21154</v>
      </c>
      <c r="B377" s="47" t="s">
        <v>1468</v>
      </c>
      <c r="C377" s="47" t="s">
        <v>563</v>
      </c>
      <c r="D377" s="47">
        <v>31.419462500000002</v>
      </c>
      <c r="E377" s="47">
        <v>34.568954900000001</v>
      </c>
    </row>
    <row r="378" spans="1:5">
      <c r="A378" s="46">
        <v>21165</v>
      </c>
      <c r="B378" s="47" t="s">
        <v>1470</v>
      </c>
      <c r="C378" s="47" t="s">
        <v>889</v>
      </c>
      <c r="D378" s="48">
        <v>32.630552199999997</v>
      </c>
      <c r="E378" s="48">
        <v>51.299747199999999</v>
      </c>
    </row>
    <row r="379" spans="1:5">
      <c r="A379" s="46">
        <v>21193</v>
      </c>
      <c r="B379" s="47" t="s">
        <v>1472</v>
      </c>
      <c r="C379" s="55" t="s">
        <v>1473</v>
      </c>
      <c r="D379" s="87"/>
      <c r="E379" s="87"/>
    </row>
    <row r="380" spans="1:5">
      <c r="A380" s="46">
        <v>21203</v>
      </c>
      <c r="B380" s="47" t="s">
        <v>1477</v>
      </c>
      <c r="C380" s="47" t="s">
        <v>1478</v>
      </c>
      <c r="D380" s="47">
        <v>31.767764</v>
      </c>
      <c r="E380" s="47">
        <v>35.160212999999999</v>
      </c>
    </row>
    <row r="381" spans="1:5">
      <c r="A381" s="46">
        <v>21207</v>
      </c>
      <c r="B381" s="47" t="s">
        <v>1480</v>
      </c>
      <c r="C381" s="47" t="s">
        <v>1481</v>
      </c>
      <c r="D381" s="48">
        <v>31.7712726</v>
      </c>
      <c r="E381" s="48">
        <v>35.228941499999998</v>
      </c>
    </row>
    <row r="382" spans="1:5">
      <c r="A382" s="60">
        <v>21213</v>
      </c>
      <c r="B382" s="47" t="s">
        <v>1482</v>
      </c>
      <c r="C382" s="55" t="s">
        <v>1483</v>
      </c>
      <c r="D382" s="87"/>
      <c r="E382" s="87"/>
    </row>
    <row r="383" spans="1:5">
      <c r="A383" s="62">
        <v>21220</v>
      </c>
      <c r="B383" s="65" t="s">
        <v>617</v>
      </c>
      <c r="C383" s="55" t="s">
        <v>264</v>
      </c>
      <c r="D383" s="87"/>
      <c r="E383" s="87"/>
    </row>
    <row r="384" spans="1:5">
      <c r="A384" s="62">
        <v>21220</v>
      </c>
      <c r="B384" s="47" t="s">
        <v>1486</v>
      </c>
      <c r="C384" s="47" t="s">
        <v>1487</v>
      </c>
      <c r="D384" s="48">
        <v>39.889299200000004</v>
      </c>
      <c r="E384" s="48">
        <v>-75.455060899999907</v>
      </c>
    </row>
    <row r="385" spans="1:5">
      <c r="A385" s="46">
        <v>21224</v>
      </c>
      <c r="B385" s="47" t="s">
        <v>1488</v>
      </c>
      <c r="C385" s="55" t="s">
        <v>1489</v>
      </c>
      <c r="D385" s="87"/>
      <c r="E385" s="87"/>
    </row>
    <row r="386" spans="1:5">
      <c r="A386" s="46">
        <v>21227</v>
      </c>
      <c r="B386" s="47" t="s">
        <v>1491</v>
      </c>
      <c r="C386" s="47" t="s">
        <v>1492</v>
      </c>
      <c r="D386" s="48">
        <v>44.231006999999998</v>
      </c>
      <c r="E386" s="48">
        <v>0.27258500000000002</v>
      </c>
    </row>
    <row r="387" spans="1:5">
      <c r="A387" s="46">
        <v>21228</v>
      </c>
      <c r="B387" s="47" t="s">
        <v>1493</v>
      </c>
      <c r="C387" s="55" t="s">
        <v>1494</v>
      </c>
      <c r="D387" s="87"/>
      <c r="E387" s="87"/>
    </row>
    <row r="388" spans="1:5">
      <c r="A388" s="46">
        <v>21234</v>
      </c>
      <c r="B388" s="47" t="s">
        <v>1496</v>
      </c>
      <c r="C388" s="47" t="s">
        <v>1497</v>
      </c>
      <c r="D388" s="47">
        <v>30.244449899999999</v>
      </c>
      <c r="E388" s="47">
        <v>-81.534375499999996</v>
      </c>
    </row>
    <row r="389" spans="1:5">
      <c r="A389" s="46">
        <v>21260</v>
      </c>
      <c r="B389" s="47" t="s">
        <v>1499</v>
      </c>
      <c r="C389" s="47" t="s">
        <v>1500</v>
      </c>
      <c r="D389" s="48">
        <v>32.4340458</v>
      </c>
      <c r="E389" s="48">
        <v>34.919651799999997</v>
      </c>
    </row>
    <row r="390" spans="1:5">
      <c r="A390" s="46">
        <v>21268</v>
      </c>
      <c r="B390" s="47" t="s">
        <v>1501</v>
      </c>
      <c r="C390" s="55" t="s">
        <v>1502</v>
      </c>
      <c r="D390" s="87"/>
      <c r="E390" s="87"/>
    </row>
    <row r="391" spans="1:5">
      <c r="A391" s="46">
        <v>21270</v>
      </c>
      <c r="B391" s="47" t="s">
        <v>1504</v>
      </c>
      <c r="C391" s="47" t="s">
        <v>949</v>
      </c>
      <c r="D391" s="47">
        <v>31.472679999999901</v>
      </c>
      <c r="E391" s="47">
        <v>34.497675000000001</v>
      </c>
    </row>
    <row r="392" spans="1:5">
      <c r="A392" s="46">
        <v>21275</v>
      </c>
      <c r="B392" s="47" t="s">
        <v>1505</v>
      </c>
      <c r="C392" s="47" t="s">
        <v>1507</v>
      </c>
      <c r="D392" s="48">
        <v>25.5560443</v>
      </c>
      <c r="E392" s="48">
        <v>84.660330700000003</v>
      </c>
    </row>
    <row r="393" spans="1:5">
      <c r="A393" s="46">
        <v>21279</v>
      </c>
      <c r="B393" s="47" t="s">
        <v>1508</v>
      </c>
      <c r="C393" s="49"/>
      <c r="D393" s="87"/>
      <c r="E393" s="87"/>
    </row>
    <row r="394" spans="1:5">
      <c r="A394" s="46">
        <v>21297</v>
      </c>
      <c r="B394" s="47" t="s">
        <v>1509</v>
      </c>
      <c r="C394" s="49"/>
      <c r="D394" s="87"/>
      <c r="E394" s="87"/>
    </row>
    <row r="395" spans="1:5">
      <c r="A395" s="46">
        <v>21332</v>
      </c>
      <c r="B395" s="47" t="s">
        <v>1510</v>
      </c>
      <c r="C395" s="55" t="s">
        <v>1511</v>
      </c>
      <c r="D395" s="87"/>
      <c r="E395" s="87"/>
    </row>
    <row r="396" spans="1:5">
      <c r="A396" s="46">
        <v>21336</v>
      </c>
      <c r="B396" s="47" t="s">
        <v>1512</v>
      </c>
      <c r="C396" s="55" t="s">
        <v>1513</v>
      </c>
      <c r="D396" s="87"/>
      <c r="E396" s="87"/>
    </row>
    <row r="397" spans="1:5">
      <c r="A397" s="46">
        <v>21369</v>
      </c>
      <c r="B397" s="47" t="s">
        <v>1516</v>
      </c>
      <c r="C397" s="47" t="s">
        <v>1517</v>
      </c>
      <c r="D397" s="48">
        <v>32.751801999999998</v>
      </c>
      <c r="E397" s="48">
        <v>35.238022000000001</v>
      </c>
    </row>
    <row r="398" spans="1:5">
      <c r="A398" s="46">
        <v>21397</v>
      </c>
      <c r="B398" s="47" t="s">
        <v>1519</v>
      </c>
      <c r="C398" s="55" t="s">
        <v>1520</v>
      </c>
      <c r="D398" s="87"/>
      <c r="E398" s="87"/>
    </row>
    <row r="399" spans="1:5">
      <c r="A399" s="46">
        <v>21432</v>
      </c>
      <c r="B399" s="47" t="s">
        <v>1521</v>
      </c>
      <c r="C399" s="47" t="s">
        <v>1522</v>
      </c>
      <c r="D399" s="48">
        <v>31.697475000000001</v>
      </c>
      <c r="E399" s="48">
        <v>34.912024000000002</v>
      </c>
    </row>
    <row r="400" spans="1:5">
      <c r="A400" s="46">
        <v>21441</v>
      </c>
      <c r="B400" s="47" t="s">
        <v>1524</v>
      </c>
      <c r="C400" s="55" t="s">
        <v>1525</v>
      </c>
      <c r="D400" s="87"/>
      <c r="E400" s="87"/>
    </row>
    <row r="401" spans="1:5">
      <c r="A401" s="46">
        <v>21473</v>
      </c>
      <c r="B401" s="47" t="s">
        <v>1528</v>
      </c>
      <c r="C401" s="47" t="s">
        <v>1529</v>
      </c>
      <c r="D401" s="47">
        <v>32.114092999999997</v>
      </c>
      <c r="E401" s="47">
        <v>34.972766999999997</v>
      </c>
    </row>
    <row r="402" spans="1:5">
      <c r="A402" s="46">
        <v>21476</v>
      </c>
      <c r="B402" s="47" t="s">
        <v>1530</v>
      </c>
      <c r="C402" s="47" t="s">
        <v>1531</v>
      </c>
      <c r="D402" s="48">
        <v>22.718428299999999</v>
      </c>
      <c r="E402" s="48">
        <v>72.469580800000003</v>
      </c>
    </row>
    <row r="403" spans="1:5">
      <c r="A403" s="46">
        <v>21495</v>
      </c>
      <c r="B403" s="47" t="s">
        <v>1533</v>
      </c>
      <c r="C403" s="55" t="s">
        <v>1535</v>
      </c>
      <c r="D403" s="87"/>
      <c r="E403" s="87"/>
    </row>
    <row r="404" spans="1:5">
      <c r="A404" s="46">
        <v>21509</v>
      </c>
      <c r="B404" s="47" t="s">
        <v>1542</v>
      </c>
      <c r="C404" s="47" t="s">
        <v>949</v>
      </c>
      <c r="D404" s="47">
        <v>31.472679999999901</v>
      </c>
      <c r="E404" s="47">
        <v>34.497675000000001</v>
      </c>
    </row>
    <row r="405" spans="1:5">
      <c r="A405" s="46">
        <v>21510</v>
      </c>
      <c r="B405" s="47" t="s">
        <v>1544</v>
      </c>
      <c r="C405" s="47" t="s">
        <v>547</v>
      </c>
      <c r="D405" s="47">
        <v>31.681260399999999</v>
      </c>
      <c r="E405" s="47">
        <v>34.585908400000001</v>
      </c>
    </row>
    <row r="406" spans="1:5">
      <c r="A406" s="46">
        <v>21522</v>
      </c>
      <c r="B406" s="47" t="s">
        <v>1546</v>
      </c>
      <c r="C406" s="47" t="s">
        <v>32</v>
      </c>
      <c r="D406" s="47">
        <v>31.768319000000002</v>
      </c>
      <c r="E406" s="47">
        <v>35.213709999999999</v>
      </c>
    </row>
    <row r="407" spans="1:5">
      <c r="A407" s="46">
        <v>21525</v>
      </c>
      <c r="B407" s="47" t="s">
        <v>1547</v>
      </c>
      <c r="C407" s="47" t="s">
        <v>1548</v>
      </c>
      <c r="D407" s="48">
        <v>47.551906700000004</v>
      </c>
      <c r="E407" s="48">
        <v>18.9731931</v>
      </c>
    </row>
    <row r="408" spans="1:5">
      <c r="A408" s="46">
        <v>21562</v>
      </c>
      <c r="B408" s="47" t="s">
        <v>1550</v>
      </c>
      <c r="C408" s="55" t="s">
        <v>1551</v>
      </c>
      <c r="D408" s="87"/>
      <c r="E408" s="87"/>
    </row>
    <row r="409" spans="1:5">
      <c r="A409" s="46">
        <v>21563</v>
      </c>
      <c r="B409" s="47" t="s">
        <v>1556</v>
      </c>
      <c r="C409" s="47" t="s">
        <v>1492</v>
      </c>
      <c r="D409" s="48">
        <v>44.231006999999998</v>
      </c>
      <c r="E409" s="48">
        <v>0.27258500000000002</v>
      </c>
    </row>
    <row r="410" spans="1:5">
      <c r="A410" s="46">
        <v>21563</v>
      </c>
      <c r="B410" s="47" t="s">
        <v>1557</v>
      </c>
      <c r="C410" s="55" t="s">
        <v>1558</v>
      </c>
      <c r="D410" s="87"/>
      <c r="E410" s="87"/>
    </row>
    <row r="411" spans="1:5">
      <c r="A411" s="60">
        <v>21573</v>
      </c>
      <c r="B411" s="47" t="s">
        <v>1559</v>
      </c>
      <c r="C411" s="47" t="s">
        <v>1285</v>
      </c>
      <c r="D411" s="47">
        <v>40.102572000000002</v>
      </c>
      <c r="E411" s="47">
        <v>27.658373000000001</v>
      </c>
    </row>
    <row r="412" spans="1:5">
      <c r="A412" s="62">
        <v>21884</v>
      </c>
      <c r="B412" s="65" t="s">
        <v>617</v>
      </c>
      <c r="C412" s="47" t="s">
        <v>1561</v>
      </c>
      <c r="D412" s="48">
        <v>36.985154600000001</v>
      </c>
      <c r="E412" s="48">
        <v>-2.6392943</v>
      </c>
    </row>
    <row r="413" spans="1:5">
      <c r="A413" s="62">
        <v>21884</v>
      </c>
      <c r="B413" s="65" t="s">
        <v>617</v>
      </c>
      <c r="C413" s="55" t="s">
        <v>1562</v>
      </c>
      <c r="D413" s="87"/>
      <c r="E413" s="87"/>
    </row>
    <row r="414" spans="1:5">
      <c r="A414" s="62">
        <v>21884</v>
      </c>
      <c r="B414" s="65" t="s">
        <v>617</v>
      </c>
      <c r="C414" s="55" t="s">
        <v>1563</v>
      </c>
      <c r="D414" s="87"/>
      <c r="E414" s="87"/>
    </row>
    <row r="415" spans="1:5">
      <c r="A415" s="46">
        <v>21943</v>
      </c>
      <c r="B415" s="47" t="s">
        <v>1565</v>
      </c>
      <c r="C415" s="55" t="s">
        <v>1566</v>
      </c>
      <c r="D415" s="87"/>
      <c r="E415" s="87"/>
    </row>
    <row r="416" spans="1:5">
      <c r="A416" s="46">
        <v>21976</v>
      </c>
      <c r="B416" s="47" t="s">
        <v>1568</v>
      </c>
      <c r="C416" s="47" t="s">
        <v>1569</v>
      </c>
      <c r="D416" s="47">
        <v>40.102572000000002</v>
      </c>
      <c r="E416" s="47">
        <v>27.658373000000001</v>
      </c>
    </row>
    <row r="417" spans="1:5">
      <c r="A417" s="46">
        <v>22018</v>
      </c>
      <c r="B417" s="47" t="s">
        <v>1570</v>
      </c>
      <c r="C417" s="47" t="s">
        <v>1571</v>
      </c>
      <c r="D417" s="47">
        <v>32.063929000000002</v>
      </c>
      <c r="E417" s="47">
        <v>34.805097000000004</v>
      </c>
    </row>
    <row r="418" spans="1:5">
      <c r="A418" s="46">
        <v>22078</v>
      </c>
      <c r="B418" s="47" t="s">
        <v>1572</v>
      </c>
      <c r="C418" s="47" t="s">
        <v>716</v>
      </c>
      <c r="D418" s="48">
        <v>-27.986423200000001</v>
      </c>
      <c r="E418" s="48">
        <v>153.38071859999999</v>
      </c>
    </row>
    <row r="419" spans="1:5">
      <c r="A419" s="46">
        <v>22086</v>
      </c>
      <c r="B419" s="47" t="s">
        <v>1573</v>
      </c>
      <c r="C419" s="55" t="s">
        <v>1575</v>
      </c>
      <c r="D419" s="87"/>
      <c r="E419" s="87"/>
    </row>
    <row r="420" spans="1:5">
      <c r="A420" s="46">
        <v>22107</v>
      </c>
      <c r="B420" s="47" t="s">
        <v>1576</v>
      </c>
      <c r="C420" s="47" t="s">
        <v>1577</v>
      </c>
      <c r="D420" s="48">
        <v>32.610492999999998</v>
      </c>
      <c r="E420" s="48">
        <v>35.287922000000002</v>
      </c>
    </row>
    <row r="421" spans="1:5">
      <c r="A421" s="46">
        <v>22108</v>
      </c>
      <c r="B421" s="47" t="s">
        <v>1578</v>
      </c>
      <c r="C421" s="55" t="s">
        <v>1579</v>
      </c>
      <c r="D421" s="87"/>
      <c r="E421" s="87"/>
    </row>
    <row r="422" spans="1:5">
      <c r="A422" s="46">
        <v>22214</v>
      </c>
      <c r="B422" s="47" t="s">
        <v>1581</v>
      </c>
      <c r="C422" s="47" t="s">
        <v>1582</v>
      </c>
      <c r="D422" s="47">
        <v>31.7460743</v>
      </c>
      <c r="E422" s="47">
        <v>35.2005014</v>
      </c>
    </row>
    <row r="423" spans="1:5">
      <c r="A423" s="46">
        <v>22243</v>
      </c>
      <c r="B423" s="47" t="s">
        <v>1585</v>
      </c>
      <c r="C423" s="47" t="s">
        <v>1586</v>
      </c>
      <c r="D423" s="47">
        <v>42.450273299999999</v>
      </c>
      <c r="E423" s="47">
        <v>-87.844915099999994</v>
      </c>
    </row>
    <row r="424" spans="1:5">
      <c r="A424" s="46">
        <v>22249</v>
      </c>
      <c r="B424" s="47" t="s">
        <v>1587</v>
      </c>
      <c r="C424" s="47" t="s">
        <v>1589</v>
      </c>
      <c r="D424" s="47">
        <v>32.467590600000001</v>
      </c>
      <c r="E424" s="47">
        <v>34.964669700000002</v>
      </c>
    </row>
    <row r="425" spans="1:5">
      <c r="A425" s="46">
        <v>22253</v>
      </c>
      <c r="B425" s="47" t="s">
        <v>1590</v>
      </c>
      <c r="C425" s="47" t="s">
        <v>1591</v>
      </c>
      <c r="D425" s="48">
        <v>32.327387999999999</v>
      </c>
      <c r="E425" s="48">
        <v>34.860796999999998</v>
      </c>
    </row>
    <row r="426" spans="1:5">
      <c r="A426" s="46">
        <v>22286</v>
      </c>
      <c r="B426" s="47" t="s">
        <v>1592</v>
      </c>
      <c r="C426" s="55" t="s">
        <v>1593</v>
      </c>
      <c r="D426" s="87"/>
      <c r="E426" s="87"/>
    </row>
    <row r="427" spans="1:5">
      <c r="A427" s="46">
        <v>22287</v>
      </c>
      <c r="B427" s="47" t="s">
        <v>1595</v>
      </c>
      <c r="C427" s="49"/>
      <c r="D427" s="87"/>
      <c r="E427" s="87"/>
    </row>
    <row r="428" spans="1:5">
      <c r="A428" s="46">
        <v>22336</v>
      </c>
      <c r="B428" s="47" t="s">
        <v>1596</v>
      </c>
      <c r="C428" s="49"/>
      <c r="D428" s="87"/>
      <c r="E428" s="87"/>
    </row>
    <row r="429" spans="1:5">
      <c r="A429" s="46">
        <v>22348</v>
      </c>
      <c r="B429" s="47" t="s">
        <v>1598</v>
      </c>
      <c r="C429" s="47" t="s">
        <v>1599</v>
      </c>
      <c r="D429" s="48">
        <v>32.482477000000003</v>
      </c>
      <c r="E429" s="48">
        <v>35.421370199999998</v>
      </c>
    </row>
    <row r="430" spans="1:5">
      <c r="A430" s="46">
        <v>22374</v>
      </c>
      <c r="B430" s="47" t="s">
        <v>1600</v>
      </c>
      <c r="C430" s="49"/>
      <c r="D430" s="87"/>
      <c r="E430" s="87"/>
    </row>
    <row r="431" spans="1:5">
      <c r="A431" s="46">
        <v>22451</v>
      </c>
      <c r="B431" s="47" t="s">
        <v>1604</v>
      </c>
      <c r="C431" s="47" t="s">
        <v>1605</v>
      </c>
      <c r="D431" s="48">
        <v>32.621205000000003</v>
      </c>
      <c r="E431" s="48">
        <v>35.550376</v>
      </c>
    </row>
    <row r="432" spans="1:5">
      <c r="A432" s="46">
        <v>22452</v>
      </c>
      <c r="B432" s="47" t="s">
        <v>1606</v>
      </c>
      <c r="C432" s="55" t="s">
        <v>1607</v>
      </c>
      <c r="D432" s="87"/>
      <c r="E432" s="87"/>
    </row>
    <row r="433" spans="1:5">
      <c r="A433" s="46">
        <v>22453</v>
      </c>
      <c r="B433" s="47" t="s">
        <v>1609</v>
      </c>
      <c r="C433" s="47" t="s">
        <v>1042</v>
      </c>
      <c r="D433" s="48">
        <v>32.723787000000002</v>
      </c>
      <c r="E433" s="48">
        <v>35.565241999999998</v>
      </c>
    </row>
    <row r="434" spans="1:5">
      <c r="A434" s="46">
        <v>22454</v>
      </c>
      <c r="B434" s="47" t="s">
        <v>1611</v>
      </c>
      <c r="C434" s="55" t="s">
        <v>264</v>
      </c>
      <c r="D434" s="87"/>
      <c r="E434" s="87"/>
    </row>
    <row r="435" spans="1:5">
      <c r="A435" s="60">
        <v>22456</v>
      </c>
      <c r="B435" s="47" t="s">
        <v>1613</v>
      </c>
      <c r="C435" s="47" t="s">
        <v>949</v>
      </c>
      <c r="D435" s="47">
        <v>31.472679999999901</v>
      </c>
      <c r="E435" s="47">
        <v>34.497675000000001</v>
      </c>
    </row>
    <row r="436" spans="1:5">
      <c r="A436" s="62">
        <v>22515</v>
      </c>
      <c r="B436" s="47" t="s">
        <v>1614</v>
      </c>
      <c r="C436" s="47" t="s">
        <v>1615</v>
      </c>
      <c r="D436" s="48">
        <v>32.329326999999999</v>
      </c>
      <c r="E436" s="48">
        <v>34.859603999999997</v>
      </c>
    </row>
    <row r="437" spans="1:5">
      <c r="A437" s="62">
        <v>22515</v>
      </c>
      <c r="B437" s="47" t="s">
        <v>1616</v>
      </c>
      <c r="C437" s="49"/>
      <c r="D437" s="87"/>
      <c r="E437" s="87"/>
    </row>
    <row r="438" spans="1:5">
      <c r="A438" s="46">
        <v>22651</v>
      </c>
      <c r="B438" s="47" t="s">
        <v>1618</v>
      </c>
      <c r="C438" s="49"/>
      <c r="D438" s="87"/>
      <c r="E438" s="87"/>
    </row>
    <row r="439" spans="1:5">
      <c r="A439" s="46">
        <v>22661</v>
      </c>
      <c r="B439" s="47" t="s">
        <v>1620</v>
      </c>
      <c r="C439" s="55" t="s">
        <v>1621</v>
      </c>
      <c r="D439" s="87"/>
      <c r="E439" s="87"/>
    </row>
    <row r="440" spans="1:5">
      <c r="A440" s="60">
        <v>22713</v>
      </c>
      <c r="B440" s="47" t="s">
        <v>1622</v>
      </c>
      <c r="C440" s="47" t="s">
        <v>588</v>
      </c>
      <c r="D440" s="47">
        <v>31.733404799999999</v>
      </c>
      <c r="E440" s="47">
        <v>35.193938299999999</v>
      </c>
    </row>
    <row r="441" spans="1:5">
      <c r="A441" s="62">
        <v>22831</v>
      </c>
      <c r="B441" s="47" t="s">
        <v>1624</v>
      </c>
      <c r="C441" s="47" t="s">
        <v>1625</v>
      </c>
      <c r="D441" s="47">
        <v>32.084040999999999</v>
      </c>
      <c r="E441" s="47">
        <v>34.887762000000002</v>
      </c>
    </row>
    <row r="442" spans="1:5">
      <c r="A442" s="62">
        <v>22831</v>
      </c>
      <c r="B442" s="47" t="s">
        <v>1626</v>
      </c>
      <c r="C442" s="47" t="s">
        <v>1628</v>
      </c>
      <c r="D442" s="48">
        <v>32.068683</v>
      </c>
      <c r="E442" s="48">
        <v>34.769047</v>
      </c>
    </row>
    <row r="443" spans="1:5">
      <c r="A443" s="46">
        <v>22837</v>
      </c>
      <c r="B443" s="47" t="s">
        <v>1630</v>
      </c>
      <c r="C443" s="55" t="s">
        <v>1631</v>
      </c>
      <c r="D443" s="87"/>
      <c r="E443" s="87"/>
    </row>
    <row r="444" spans="1:5">
      <c r="A444" s="46">
        <v>22872</v>
      </c>
      <c r="B444" s="47" t="s">
        <v>1634</v>
      </c>
      <c r="C444" s="47" t="s">
        <v>244</v>
      </c>
      <c r="D444" s="47">
        <v>19.049839800000001</v>
      </c>
      <c r="E444" s="47">
        <v>76.553139399999907</v>
      </c>
    </row>
    <row r="445" spans="1:5">
      <c r="A445" s="60">
        <v>22879</v>
      </c>
      <c r="B445" s="47" t="s">
        <v>1636</v>
      </c>
      <c r="C445" s="47" t="s">
        <v>1637</v>
      </c>
      <c r="D445" s="47">
        <v>31.780384999999999</v>
      </c>
      <c r="E445" s="47">
        <v>35.010102000000003</v>
      </c>
    </row>
    <row r="446" spans="1:5">
      <c r="A446" s="62">
        <v>22901</v>
      </c>
      <c r="B446" s="47" t="s">
        <v>1638</v>
      </c>
      <c r="C446" s="47" t="s">
        <v>1639</v>
      </c>
      <c r="D446" s="47">
        <v>31.882936999999998</v>
      </c>
      <c r="E446" s="47">
        <v>34.828361999999998</v>
      </c>
    </row>
    <row r="447" spans="1:5">
      <c r="A447" s="62">
        <v>22901</v>
      </c>
      <c r="B447" s="47" t="s">
        <v>1641</v>
      </c>
      <c r="C447" s="47" t="s">
        <v>1642</v>
      </c>
      <c r="D447" s="48">
        <v>32.494070000000001</v>
      </c>
      <c r="E447" s="48">
        <v>35.550767</v>
      </c>
    </row>
    <row r="448" spans="1:5">
      <c r="A448" s="46">
        <v>22933</v>
      </c>
      <c r="B448" s="47" t="s">
        <v>1644</v>
      </c>
      <c r="C448" s="55" t="s">
        <v>1645</v>
      </c>
      <c r="D448" s="87"/>
      <c r="E448" s="87"/>
    </row>
    <row r="449" spans="1:5">
      <c r="A449" s="46">
        <v>22956</v>
      </c>
      <c r="B449" s="47" t="s">
        <v>1648</v>
      </c>
      <c r="C449" s="47" t="s">
        <v>1599</v>
      </c>
      <c r="D449" s="47">
        <v>32.482477000000003</v>
      </c>
      <c r="E449" s="47">
        <v>35.421370199999998</v>
      </c>
    </row>
    <row r="450" spans="1:5">
      <c r="A450" s="46">
        <v>22956</v>
      </c>
      <c r="B450" s="47" t="s">
        <v>1649</v>
      </c>
      <c r="C450" s="47" t="s">
        <v>1650</v>
      </c>
      <c r="D450" s="47">
        <v>-28.7710969</v>
      </c>
      <c r="E450" s="47">
        <v>114.6629161</v>
      </c>
    </row>
    <row r="451" spans="1:5">
      <c r="A451" s="46">
        <v>22984</v>
      </c>
      <c r="B451" s="47" t="s">
        <v>1651</v>
      </c>
      <c r="C451" s="47" t="s">
        <v>1652</v>
      </c>
      <c r="D451" s="48">
        <v>31.729683000000001</v>
      </c>
      <c r="E451" s="48">
        <v>35.073414</v>
      </c>
    </row>
    <row r="452" spans="1:5">
      <c r="A452" s="60">
        <v>22987</v>
      </c>
      <c r="B452" s="47" t="s">
        <v>1654</v>
      </c>
      <c r="C452" s="55" t="s">
        <v>1655</v>
      </c>
      <c r="D452" s="87"/>
      <c r="E452" s="87"/>
    </row>
    <row r="453" spans="1:5">
      <c r="A453" s="62">
        <v>23034</v>
      </c>
      <c r="B453" s="47" t="s">
        <v>1657</v>
      </c>
      <c r="C453" s="49"/>
      <c r="D453" s="87"/>
      <c r="E453" s="87"/>
    </row>
    <row r="454" spans="1:5">
      <c r="A454" s="62">
        <v>23034</v>
      </c>
      <c r="B454" s="47" t="s">
        <v>1658</v>
      </c>
      <c r="C454" s="76"/>
      <c r="D454" s="87"/>
      <c r="E454" s="87"/>
    </row>
    <row r="455" spans="1:5">
      <c r="A455" s="46" t="s">
        <v>214</v>
      </c>
      <c r="B455" s="77" t="s">
        <v>209</v>
      </c>
      <c r="C455" s="80" t="s">
        <v>176</v>
      </c>
      <c r="D455" s="79">
        <v>31.374167</v>
      </c>
      <c r="E455" s="79">
        <v>34.399444000000003</v>
      </c>
    </row>
    <row r="456" spans="1:5">
      <c r="A456" s="46" t="s">
        <v>376</v>
      </c>
      <c r="B456" s="77" t="s">
        <v>371</v>
      </c>
      <c r="C456" s="80" t="s">
        <v>176</v>
      </c>
      <c r="D456" s="79">
        <v>31.374167</v>
      </c>
      <c r="E456" s="79">
        <v>34.399444000000003</v>
      </c>
    </row>
    <row r="457" spans="1:5">
      <c r="A457" s="46" t="s">
        <v>248</v>
      </c>
      <c r="B457" s="66" t="s">
        <v>242</v>
      </c>
      <c r="C457" s="45" t="s">
        <v>222</v>
      </c>
      <c r="D457" s="68">
        <v>31.374545000000001</v>
      </c>
      <c r="E457" s="68">
        <v>34.398992</v>
      </c>
    </row>
    <row r="458" spans="1:5">
      <c r="A458" s="46" t="s">
        <v>137</v>
      </c>
      <c r="B458" s="66" t="s">
        <v>127</v>
      </c>
      <c r="C458" s="45" t="s">
        <v>131</v>
      </c>
      <c r="D458" s="68">
        <v>30.885983</v>
      </c>
      <c r="E458" s="68">
        <v>34.422569000000003</v>
      </c>
    </row>
    <row r="459" spans="1:5">
      <c r="A459" s="99" t="s">
        <v>442</v>
      </c>
      <c r="B459" s="66" t="s">
        <v>439</v>
      </c>
      <c r="C459" s="45" t="s">
        <v>316</v>
      </c>
      <c r="D459" s="68">
        <v>32.824432100000003</v>
      </c>
      <c r="E459" s="68">
        <v>35.5879975</v>
      </c>
    </row>
    <row r="460" spans="1:5" ht="15.75" customHeight="1">
      <c r="C460" s="100"/>
    </row>
    <row r="461" spans="1:5" ht="15.75" customHeight="1">
      <c r="C461" s="100"/>
    </row>
    <row r="462" spans="1:5" ht="15.75" customHeight="1">
      <c r="C462" s="100"/>
    </row>
    <row r="463" spans="1:5" ht="15.75" customHeight="1">
      <c r="C463" s="100"/>
    </row>
    <row r="464" spans="1:5" ht="15.75" customHeight="1">
      <c r="C464" s="100"/>
    </row>
    <row r="465" spans="3:3" ht="15.75" customHeight="1">
      <c r="C465" s="100"/>
    </row>
    <row r="466" spans="3:3" ht="15.75" customHeight="1">
      <c r="C466" s="100"/>
    </row>
    <row r="467" spans="3:3" ht="15.75" customHeight="1">
      <c r="C467" s="100"/>
    </row>
    <row r="468" spans="3:3" ht="15.75" customHeight="1">
      <c r="C468" s="100"/>
    </row>
    <row r="469" spans="3:3" ht="15.75" customHeight="1">
      <c r="C469" s="100"/>
    </row>
    <row r="470" spans="3:3" ht="15.75" customHeight="1">
      <c r="C470" s="100"/>
    </row>
    <row r="471" spans="3:3" ht="15.75" customHeight="1">
      <c r="C471" s="100"/>
    </row>
    <row r="472" spans="3:3" ht="15.75" customHeight="1">
      <c r="C472" s="100"/>
    </row>
    <row r="473" spans="3:3" ht="15.75" customHeight="1">
      <c r="C473" s="100"/>
    </row>
    <row r="474" spans="3:3" ht="15.75" customHeight="1">
      <c r="C474" s="100"/>
    </row>
    <row r="475" spans="3:3" ht="15.75" customHeight="1">
      <c r="C475" s="100"/>
    </row>
    <row r="476" spans="3:3" ht="15.75" customHeight="1">
      <c r="C476" s="100"/>
    </row>
    <row r="477" spans="3:3" ht="15.75" customHeight="1">
      <c r="C477" s="100"/>
    </row>
    <row r="478" spans="3:3" ht="15.75" customHeight="1">
      <c r="C478" s="100"/>
    </row>
    <row r="479" spans="3:3" ht="15.75" customHeight="1">
      <c r="C479" s="100"/>
    </row>
    <row r="480" spans="3:3" ht="15.75" customHeight="1">
      <c r="C480" s="100"/>
    </row>
    <row r="481" spans="3:3" ht="15.75" customHeight="1">
      <c r="C481" s="100"/>
    </row>
    <row r="482" spans="3:3" ht="15.75" customHeight="1">
      <c r="C482" s="100"/>
    </row>
    <row r="483" spans="3:3" ht="15.75" customHeight="1">
      <c r="C483" s="100"/>
    </row>
    <row r="484" spans="3:3" ht="15.75" customHeight="1">
      <c r="C484" s="100"/>
    </row>
    <row r="485" spans="3:3" ht="15.75" customHeight="1">
      <c r="C485" s="100"/>
    </row>
    <row r="486" spans="3:3" ht="15.75" customHeight="1">
      <c r="C486" s="100"/>
    </row>
    <row r="487" spans="3:3" ht="15.75" customHeight="1">
      <c r="C487" s="100"/>
    </row>
    <row r="488" spans="3:3" ht="15.75" customHeight="1">
      <c r="C488" s="100"/>
    </row>
    <row r="489" spans="3:3" ht="15.75" customHeight="1">
      <c r="C489" s="100"/>
    </row>
    <row r="490" spans="3:3" ht="15.75" customHeight="1">
      <c r="C490" s="100"/>
    </row>
    <row r="491" spans="3:3" ht="15.75" customHeight="1">
      <c r="C491" s="100"/>
    </row>
    <row r="492" spans="3:3" ht="15.75" customHeight="1">
      <c r="C492" s="100"/>
    </row>
    <row r="493" spans="3:3" ht="15.75" customHeight="1">
      <c r="C493" s="100"/>
    </row>
    <row r="494" spans="3:3" ht="15.75" customHeight="1">
      <c r="C494" s="100"/>
    </row>
    <row r="495" spans="3:3" ht="15.75" customHeight="1">
      <c r="C495" s="100"/>
    </row>
    <row r="496" spans="3:3" ht="15.75" customHeight="1">
      <c r="C496" s="100"/>
    </row>
    <row r="497" spans="3:3" ht="15.75" customHeight="1">
      <c r="C497" s="100"/>
    </row>
    <row r="498" spans="3:3" ht="15.75" customHeight="1">
      <c r="C498" s="100"/>
    </row>
    <row r="499" spans="3:3" ht="15.75" customHeight="1">
      <c r="C499" s="100"/>
    </row>
    <row r="500" spans="3:3" ht="15.75" customHeight="1">
      <c r="C500" s="100"/>
    </row>
    <row r="501" spans="3:3" ht="15.75" customHeight="1">
      <c r="C501" s="100"/>
    </row>
    <row r="502" spans="3:3" ht="15.75" customHeight="1">
      <c r="C502" s="100"/>
    </row>
    <row r="503" spans="3:3" ht="15.75" customHeight="1">
      <c r="C503" s="100"/>
    </row>
    <row r="504" spans="3:3" ht="15.75" customHeight="1">
      <c r="C504" s="100"/>
    </row>
    <row r="505" spans="3:3" ht="15.75" customHeight="1">
      <c r="C505" s="100"/>
    </row>
    <row r="506" spans="3:3" ht="15.75" customHeight="1">
      <c r="C506" s="100"/>
    </row>
    <row r="507" spans="3:3" ht="15.75" customHeight="1">
      <c r="C507" s="100"/>
    </row>
    <row r="508" spans="3:3" ht="15.75" customHeight="1">
      <c r="C508" s="100"/>
    </row>
    <row r="509" spans="3:3" ht="15.75" customHeight="1">
      <c r="C509" s="100"/>
    </row>
    <row r="510" spans="3:3" ht="15.75" customHeight="1">
      <c r="C510" s="100"/>
    </row>
    <row r="511" spans="3:3" ht="15.75" customHeight="1">
      <c r="C511" s="100"/>
    </row>
    <row r="512" spans="3:3" ht="15.75" customHeight="1">
      <c r="C512" s="100"/>
    </row>
    <row r="513" spans="3:3" ht="15.75" customHeight="1">
      <c r="C513" s="100"/>
    </row>
    <row r="514" spans="3:3" ht="15.75" customHeight="1">
      <c r="C514" s="100"/>
    </row>
    <row r="515" spans="3:3" ht="15.75" customHeight="1">
      <c r="C515" s="100"/>
    </row>
    <row r="516" spans="3:3" ht="15.75" customHeight="1">
      <c r="C516" s="100"/>
    </row>
    <row r="517" spans="3:3" ht="15.75" customHeight="1">
      <c r="C517" s="100"/>
    </row>
    <row r="518" spans="3:3" ht="15.75" customHeight="1">
      <c r="C518" s="100"/>
    </row>
    <row r="519" spans="3:3" ht="15.75" customHeight="1">
      <c r="C519" s="100"/>
    </row>
    <row r="520" spans="3:3" ht="15.75" customHeight="1">
      <c r="C520" s="100"/>
    </row>
    <row r="521" spans="3:3" ht="15.75" customHeight="1">
      <c r="C521" s="100"/>
    </row>
    <row r="522" spans="3:3" ht="15.75" customHeight="1">
      <c r="C522" s="100"/>
    </row>
    <row r="523" spans="3:3" ht="15.75" customHeight="1">
      <c r="C523" s="100"/>
    </row>
    <row r="524" spans="3:3" ht="15.75" customHeight="1">
      <c r="C524" s="100"/>
    </row>
    <row r="525" spans="3:3" ht="15.75" customHeight="1">
      <c r="C525" s="100"/>
    </row>
    <row r="526" spans="3:3" ht="15.75" customHeight="1">
      <c r="C526" s="100"/>
    </row>
    <row r="527" spans="3:3" ht="15.75" customHeight="1">
      <c r="C527" s="100"/>
    </row>
    <row r="528" spans="3:3" ht="15.75" customHeight="1">
      <c r="C528" s="100"/>
    </row>
    <row r="529" spans="3:3" ht="15.75" customHeight="1">
      <c r="C529" s="100"/>
    </row>
    <row r="530" spans="3:3" ht="15.75" customHeight="1">
      <c r="C530" s="100"/>
    </row>
    <row r="531" spans="3:3" ht="15.75" customHeight="1">
      <c r="C531" s="100"/>
    </row>
    <row r="532" spans="3:3" ht="15.75" customHeight="1">
      <c r="C532" s="100"/>
    </row>
    <row r="533" spans="3:3" ht="15.75" customHeight="1">
      <c r="C533" s="100"/>
    </row>
    <row r="534" spans="3:3" ht="15.75" customHeight="1">
      <c r="C534" s="100"/>
    </row>
    <row r="535" spans="3:3" ht="15.75" customHeight="1">
      <c r="C535" s="100"/>
    </row>
    <row r="536" spans="3:3" ht="15.75" customHeight="1">
      <c r="C536" s="100"/>
    </row>
    <row r="537" spans="3:3" ht="15.75" customHeight="1">
      <c r="C537" s="100"/>
    </row>
    <row r="538" spans="3:3" ht="15.75" customHeight="1">
      <c r="C538" s="100"/>
    </row>
    <row r="539" spans="3:3" ht="15.75" customHeight="1">
      <c r="C539" s="100"/>
    </row>
    <row r="540" spans="3:3" ht="15.75" customHeight="1">
      <c r="C540" s="100"/>
    </row>
    <row r="541" spans="3:3" ht="15.75" customHeight="1">
      <c r="C541" s="100"/>
    </row>
    <row r="542" spans="3:3" ht="15.75" customHeight="1">
      <c r="C542" s="100"/>
    </row>
    <row r="543" spans="3:3" ht="15.75" customHeight="1">
      <c r="C543" s="100"/>
    </row>
    <row r="544" spans="3:3" ht="15.75" customHeight="1">
      <c r="C544" s="100"/>
    </row>
    <row r="545" spans="3:3" ht="15.75" customHeight="1">
      <c r="C545" s="100"/>
    </row>
    <row r="546" spans="3:3" ht="15.75" customHeight="1">
      <c r="C546" s="100"/>
    </row>
    <row r="547" spans="3:3" ht="15.75" customHeight="1">
      <c r="C547" s="100"/>
    </row>
    <row r="548" spans="3:3" ht="15.75" customHeight="1">
      <c r="C548" s="100"/>
    </row>
    <row r="549" spans="3:3" ht="15.75" customHeight="1">
      <c r="C549" s="100"/>
    </row>
    <row r="550" spans="3:3" ht="15.75" customHeight="1">
      <c r="C550" s="100"/>
    </row>
    <row r="551" spans="3:3" ht="15.75" customHeight="1">
      <c r="C551" s="100"/>
    </row>
    <row r="552" spans="3:3" ht="15.75" customHeight="1">
      <c r="C552" s="100"/>
    </row>
    <row r="553" spans="3:3" ht="15.75" customHeight="1">
      <c r="C553" s="100"/>
    </row>
    <row r="554" spans="3:3" ht="15.75" customHeight="1">
      <c r="C554" s="100"/>
    </row>
    <row r="555" spans="3:3" ht="15.75" customHeight="1">
      <c r="C555" s="100"/>
    </row>
    <row r="556" spans="3:3" ht="15.75" customHeight="1">
      <c r="C556" s="100"/>
    </row>
    <row r="557" spans="3:3" ht="15.75" customHeight="1">
      <c r="C557" s="100"/>
    </row>
    <row r="558" spans="3:3" ht="15.75" customHeight="1">
      <c r="C558" s="100"/>
    </row>
    <row r="559" spans="3:3" ht="15.75" customHeight="1">
      <c r="C559" s="100"/>
    </row>
    <row r="560" spans="3:3" ht="15.75" customHeight="1">
      <c r="C560" s="100"/>
    </row>
    <row r="561" spans="3:3" ht="15.75" customHeight="1">
      <c r="C561" s="100"/>
    </row>
    <row r="562" spans="3:3" ht="15.75" customHeight="1">
      <c r="C562" s="100"/>
    </row>
    <row r="563" spans="3:3" ht="15.75" customHeight="1">
      <c r="C563" s="100"/>
    </row>
    <row r="564" spans="3:3" ht="15.75" customHeight="1">
      <c r="C564" s="100"/>
    </row>
    <row r="565" spans="3:3" ht="15.75" customHeight="1">
      <c r="C565" s="100"/>
    </row>
    <row r="566" spans="3:3" ht="15.75" customHeight="1">
      <c r="C566" s="100"/>
    </row>
    <row r="567" spans="3:3" ht="15.75" customHeight="1">
      <c r="C567" s="100"/>
    </row>
    <row r="568" spans="3:3" ht="15.75" customHeight="1">
      <c r="C568" s="100"/>
    </row>
    <row r="569" spans="3:3" ht="15.75" customHeight="1">
      <c r="C569" s="100"/>
    </row>
    <row r="570" spans="3:3" ht="15.75" customHeight="1">
      <c r="C570" s="100"/>
    </row>
    <row r="571" spans="3:3" ht="15.75" customHeight="1">
      <c r="C571" s="100"/>
    </row>
    <row r="572" spans="3:3" ht="15.75" customHeight="1">
      <c r="C572" s="100"/>
    </row>
    <row r="573" spans="3:3" ht="15.75" customHeight="1">
      <c r="C573" s="100"/>
    </row>
    <row r="574" spans="3:3" ht="15.75" customHeight="1">
      <c r="C574" s="100"/>
    </row>
    <row r="575" spans="3:3" ht="15.75" customHeight="1">
      <c r="C575" s="100"/>
    </row>
    <row r="576" spans="3:3" ht="15.75" customHeight="1">
      <c r="C576" s="100"/>
    </row>
    <row r="577" spans="3:3" ht="15.75" customHeight="1">
      <c r="C577" s="100"/>
    </row>
    <row r="578" spans="3:3" ht="15.75" customHeight="1">
      <c r="C578" s="100"/>
    </row>
    <row r="579" spans="3:3" ht="15.75" customHeight="1">
      <c r="C579" s="100"/>
    </row>
    <row r="580" spans="3:3" ht="15.75" customHeight="1">
      <c r="C580" s="100"/>
    </row>
    <row r="581" spans="3:3" ht="15.75" customHeight="1">
      <c r="C581" s="100"/>
    </row>
    <row r="582" spans="3:3" ht="15.75" customHeight="1">
      <c r="C582" s="100"/>
    </row>
    <row r="583" spans="3:3" ht="15.75" customHeight="1">
      <c r="C583" s="100"/>
    </row>
    <row r="584" spans="3:3" ht="15.75" customHeight="1">
      <c r="C584" s="100"/>
    </row>
    <row r="585" spans="3:3" ht="15.75" customHeight="1">
      <c r="C585" s="100"/>
    </row>
    <row r="586" spans="3:3" ht="15.75" customHeight="1">
      <c r="C586" s="100"/>
    </row>
    <row r="587" spans="3:3" ht="15.75" customHeight="1">
      <c r="C587" s="100"/>
    </row>
    <row r="588" spans="3:3" ht="15.75" customHeight="1">
      <c r="C588" s="100"/>
    </row>
    <row r="589" spans="3:3" ht="15.75" customHeight="1">
      <c r="C589" s="100"/>
    </row>
    <row r="590" spans="3:3" ht="15.75" customHeight="1">
      <c r="C590" s="100"/>
    </row>
    <row r="591" spans="3:3" ht="15.75" customHeight="1">
      <c r="C591" s="100"/>
    </row>
    <row r="592" spans="3:3" ht="15.75" customHeight="1">
      <c r="C592" s="100"/>
    </row>
    <row r="593" spans="3:3" ht="15.75" customHeight="1">
      <c r="C593" s="100"/>
    </row>
    <row r="594" spans="3:3" ht="15.75" customHeight="1">
      <c r="C594" s="100"/>
    </row>
    <row r="595" spans="3:3" ht="15.75" customHeight="1">
      <c r="C595" s="100"/>
    </row>
    <row r="596" spans="3:3" ht="15.75" customHeight="1">
      <c r="C596" s="100"/>
    </row>
    <row r="597" spans="3:3" ht="15.75" customHeight="1">
      <c r="C597" s="100"/>
    </row>
    <row r="598" spans="3:3" ht="15.75" customHeight="1">
      <c r="C598" s="100"/>
    </row>
    <row r="599" spans="3:3" ht="15.75" customHeight="1">
      <c r="C599" s="100"/>
    </row>
    <row r="600" spans="3:3" ht="15.75" customHeight="1">
      <c r="C600" s="100"/>
    </row>
    <row r="601" spans="3:3" ht="15.75" customHeight="1">
      <c r="C601" s="100"/>
    </row>
    <row r="602" spans="3:3" ht="15.75" customHeight="1">
      <c r="C602" s="100"/>
    </row>
    <row r="603" spans="3:3" ht="15.75" customHeight="1">
      <c r="C603" s="100"/>
    </row>
    <row r="604" spans="3:3" ht="15.75" customHeight="1">
      <c r="C604" s="100"/>
    </row>
    <row r="605" spans="3:3" ht="15.75" customHeight="1">
      <c r="C605" s="100"/>
    </row>
    <row r="606" spans="3:3" ht="15.75" customHeight="1">
      <c r="C606" s="100"/>
    </row>
    <row r="607" spans="3:3" ht="15.75" customHeight="1">
      <c r="C607" s="100"/>
    </row>
    <row r="608" spans="3:3" ht="15.75" customHeight="1">
      <c r="C608" s="100"/>
    </row>
    <row r="609" spans="3:3" ht="15.75" customHeight="1">
      <c r="C609" s="100"/>
    </row>
    <row r="610" spans="3:3" ht="15.75" customHeight="1">
      <c r="C610" s="100"/>
    </row>
    <row r="611" spans="3:3" ht="15.75" customHeight="1">
      <c r="C611" s="100"/>
    </row>
    <row r="612" spans="3:3" ht="15.75" customHeight="1">
      <c r="C612" s="100"/>
    </row>
    <row r="613" spans="3:3" ht="15.75" customHeight="1">
      <c r="C613" s="100"/>
    </row>
    <row r="614" spans="3:3" ht="15.75" customHeight="1">
      <c r="C614" s="100"/>
    </row>
    <row r="615" spans="3:3" ht="15.75" customHeight="1">
      <c r="C615" s="100"/>
    </row>
    <row r="616" spans="3:3" ht="15.75" customHeight="1">
      <c r="C616" s="100"/>
    </row>
    <row r="617" spans="3:3" ht="15.75" customHeight="1">
      <c r="C617" s="100"/>
    </row>
    <row r="618" spans="3:3" ht="15.75" customHeight="1">
      <c r="C618" s="100"/>
    </row>
    <row r="619" spans="3:3" ht="15.75" customHeight="1">
      <c r="C619" s="100"/>
    </row>
    <row r="620" spans="3:3" ht="15.75" customHeight="1">
      <c r="C620" s="100"/>
    </row>
    <row r="621" spans="3:3" ht="15.75" customHeight="1">
      <c r="C621" s="100"/>
    </row>
    <row r="622" spans="3:3" ht="15.75" customHeight="1">
      <c r="C622" s="100"/>
    </row>
    <row r="623" spans="3:3" ht="15.75" customHeight="1">
      <c r="C623" s="100"/>
    </row>
    <row r="624" spans="3:3" ht="15.75" customHeight="1">
      <c r="C624" s="100"/>
    </row>
    <row r="625" spans="3:3" ht="15.75" customHeight="1">
      <c r="C625" s="100"/>
    </row>
    <row r="626" spans="3:3" ht="15.75" customHeight="1">
      <c r="C626" s="100"/>
    </row>
    <row r="627" spans="3:3" ht="15.75" customHeight="1">
      <c r="C627" s="100"/>
    </row>
    <row r="628" spans="3:3" ht="15.75" customHeight="1">
      <c r="C628" s="100"/>
    </row>
    <row r="629" spans="3:3" ht="15.75" customHeight="1">
      <c r="C629" s="100"/>
    </row>
    <row r="630" spans="3:3" ht="15.75" customHeight="1">
      <c r="C630" s="100"/>
    </row>
    <row r="631" spans="3:3" ht="15.75" customHeight="1">
      <c r="C631" s="100"/>
    </row>
    <row r="632" spans="3:3" ht="15.75" customHeight="1">
      <c r="C632" s="100"/>
    </row>
    <row r="633" spans="3:3" ht="15.75" customHeight="1">
      <c r="C633" s="100"/>
    </row>
    <row r="634" spans="3:3" ht="15.75" customHeight="1">
      <c r="C634" s="100"/>
    </row>
    <row r="635" spans="3:3" ht="15.75" customHeight="1">
      <c r="C635" s="100"/>
    </row>
    <row r="636" spans="3:3" ht="15.75" customHeight="1">
      <c r="C636" s="100"/>
    </row>
    <row r="637" spans="3:3" ht="15.75" customHeight="1">
      <c r="C637" s="100"/>
    </row>
    <row r="638" spans="3:3" ht="15.75" customHeight="1">
      <c r="C638" s="100"/>
    </row>
    <row r="639" spans="3:3" ht="15.75" customHeight="1">
      <c r="C639" s="100"/>
    </row>
    <row r="640" spans="3:3" ht="15.75" customHeight="1">
      <c r="C640" s="100"/>
    </row>
    <row r="641" spans="3:3" ht="15.75" customHeight="1">
      <c r="C641" s="100"/>
    </row>
    <row r="642" spans="3:3" ht="15.75" customHeight="1">
      <c r="C642" s="100"/>
    </row>
    <row r="643" spans="3:3" ht="15.75" customHeight="1">
      <c r="C643" s="100"/>
    </row>
    <row r="644" spans="3:3" ht="15.75" customHeight="1">
      <c r="C644" s="100"/>
    </row>
    <row r="645" spans="3:3" ht="15.75" customHeight="1">
      <c r="C645" s="100"/>
    </row>
    <row r="646" spans="3:3" ht="15.75" customHeight="1">
      <c r="C646" s="100"/>
    </row>
    <row r="647" spans="3:3" ht="15.75" customHeight="1">
      <c r="C647" s="100"/>
    </row>
    <row r="648" spans="3:3" ht="15.75" customHeight="1">
      <c r="C648" s="100"/>
    </row>
    <row r="649" spans="3:3" ht="15.75" customHeight="1">
      <c r="C649" s="100"/>
    </row>
    <row r="650" spans="3:3" ht="15.75" customHeight="1">
      <c r="C650" s="100"/>
    </row>
    <row r="651" spans="3:3" ht="15.75" customHeight="1">
      <c r="C651" s="100"/>
    </row>
    <row r="652" spans="3:3" ht="15.75" customHeight="1">
      <c r="C652" s="100"/>
    </row>
    <row r="653" spans="3:3" ht="15.75" customHeight="1">
      <c r="C653" s="100"/>
    </row>
    <row r="654" spans="3:3" ht="15.75" customHeight="1">
      <c r="C654" s="100"/>
    </row>
    <row r="655" spans="3:3" ht="15.75" customHeight="1">
      <c r="C655" s="100"/>
    </row>
    <row r="656" spans="3:3" ht="15.75" customHeight="1">
      <c r="C656" s="100"/>
    </row>
    <row r="657" spans="3:3" ht="15.75" customHeight="1">
      <c r="C657" s="100"/>
    </row>
    <row r="658" spans="3:3" ht="15.75" customHeight="1">
      <c r="C658" s="100"/>
    </row>
    <row r="659" spans="3:3" ht="15.75" customHeight="1">
      <c r="C659" s="100"/>
    </row>
    <row r="660" spans="3:3" ht="15.75" customHeight="1">
      <c r="C660" s="100"/>
    </row>
    <row r="661" spans="3:3" ht="15.75" customHeight="1">
      <c r="C661" s="100"/>
    </row>
    <row r="662" spans="3:3" ht="15.75" customHeight="1">
      <c r="C662" s="100"/>
    </row>
    <row r="663" spans="3:3" ht="15.75" customHeight="1">
      <c r="C663" s="100"/>
    </row>
    <row r="664" spans="3:3" ht="15.75" customHeight="1">
      <c r="C664" s="100"/>
    </row>
    <row r="665" spans="3:3" ht="15.75" customHeight="1">
      <c r="C665" s="100"/>
    </row>
    <row r="666" spans="3:3" ht="15.75" customHeight="1">
      <c r="C666" s="100"/>
    </row>
    <row r="667" spans="3:3" ht="15.75" customHeight="1">
      <c r="C667" s="100"/>
    </row>
    <row r="668" spans="3:3" ht="15.75" customHeight="1">
      <c r="C668" s="100"/>
    </row>
    <row r="669" spans="3:3" ht="15.75" customHeight="1">
      <c r="C669" s="100"/>
    </row>
    <row r="670" spans="3:3" ht="15.75" customHeight="1">
      <c r="C670" s="100"/>
    </row>
    <row r="671" spans="3:3" ht="15.75" customHeight="1">
      <c r="C671" s="100"/>
    </row>
    <row r="672" spans="3:3" ht="15.75" customHeight="1">
      <c r="C672" s="100"/>
    </row>
    <row r="673" spans="3:3" ht="15.75" customHeight="1">
      <c r="C673" s="100"/>
    </row>
    <row r="674" spans="3:3" ht="15.75" customHeight="1">
      <c r="C674" s="100"/>
    </row>
    <row r="675" spans="3:3" ht="15.75" customHeight="1">
      <c r="C675" s="100"/>
    </row>
    <row r="676" spans="3:3" ht="15.75" customHeight="1">
      <c r="C676" s="100"/>
    </row>
    <row r="677" spans="3:3" ht="15.75" customHeight="1">
      <c r="C677" s="100"/>
    </row>
    <row r="678" spans="3:3" ht="15.75" customHeight="1">
      <c r="C678" s="100"/>
    </row>
    <row r="679" spans="3:3" ht="15.75" customHeight="1">
      <c r="C679" s="100"/>
    </row>
    <row r="680" spans="3:3" ht="15.75" customHeight="1">
      <c r="C680" s="100"/>
    </row>
    <row r="681" spans="3:3" ht="15.75" customHeight="1">
      <c r="C681" s="100"/>
    </row>
    <row r="682" spans="3:3" ht="15.75" customHeight="1">
      <c r="C682" s="100"/>
    </row>
    <row r="683" spans="3:3" ht="15.75" customHeight="1">
      <c r="C683" s="100"/>
    </row>
    <row r="684" spans="3:3" ht="15.75" customHeight="1">
      <c r="C684" s="100"/>
    </row>
    <row r="685" spans="3:3" ht="15.75" customHeight="1">
      <c r="C685" s="100"/>
    </row>
    <row r="686" spans="3:3" ht="15.75" customHeight="1">
      <c r="C686" s="100"/>
    </row>
    <row r="687" spans="3:3" ht="15.75" customHeight="1">
      <c r="C687" s="100"/>
    </row>
    <row r="688" spans="3:3" ht="15.75" customHeight="1">
      <c r="C688" s="100"/>
    </row>
    <row r="689" spans="3:3" ht="15.75" customHeight="1">
      <c r="C689" s="100"/>
    </row>
    <row r="690" spans="3:3" ht="15.75" customHeight="1">
      <c r="C690" s="100"/>
    </row>
    <row r="691" spans="3:3" ht="15.75" customHeight="1">
      <c r="C691" s="100"/>
    </row>
    <row r="692" spans="3:3" ht="15.75" customHeight="1">
      <c r="C692" s="100"/>
    </row>
    <row r="693" spans="3:3" ht="15.75" customHeight="1">
      <c r="C693" s="100"/>
    </row>
    <row r="694" spans="3:3" ht="15.75" customHeight="1">
      <c r="C694" s="100"/>
    </row>
    <row r="695" spans="3:3" ht="15.75" customHeight="1">
      <c r="C695" s="100"/>
    </row>
    <row r="696" spans="3:3" ht="15.75" customHeight="1">
      <c r="C696" s="100"/>
    </row>
    <row r="697" spans="3:3" ht="15.75" customHeight="1">
      <c r="C697" s="100"/>
    </row>
    <row r="698" spans="3:3" ht="15.75" customHeight="1">
      <c r="C698" s="100"/>
    </row>
    <row r="699" spans="3:3" ht="15.75" customHeight="1">
      <c r="C699" s="100"/>
    </row>
    <row r="700" spans="3:3" ht="15.75" customHeight="1">
      <c r="C700" s="100"/>
    </row>
    <row r="701" spans="3:3" ht="15.75" customHeight="1">
      <c r="C701" s="100"/>
    </row>
    <row r="702" spans="3:3" ht="15.75" customHeight="1">
      <c r="C702" s="100"/>
    </row>
    <row r="703" spans="3:3" ht="15.75" customHeight="1">
      <c r="C703" s="100"/>
    </row>
    <row r="704" spans="3:3" ht="15.75" customHeight="1">
      <c r="C704" s="100"/>
    </row>
    <row r="705" spans="3:3" ht="15.75" customHeight="1">
      <c r="C705" s="100"/>
    </row>
    <row r="706" spans="3:3" ht="15.75" customHeight="1">
      <c r="C706" s="100"/>
    </row>
    <row r="707" spans="3:3" ht="15.75" customHeight="1">
      <c r="C707" s="100"/>
    </row>
    <row r="708" spans="3:3" ht="15.75" customHeight="1">
      <c r="C708" s="100"/>
    </row>
    <row r="709" spans="3:3" ht="15.75" customHeight="1">
      <c r="C709" s="100"/>
    </row>
    <row r="710" spans="3:3" ht="15.75" customHeight="1">
      <c r="C710" s="100"/>
    </row>
    <row r="711" spans="3:3" ht="15.75" customHeight="1">
      <c r="C711" s="100"/>
    </row>
    <row r="712" spans="3:3" ht="15.75" customHeight="1">
      <c r="C712" s="100"/>
    </row>
    <row r="713" spans="3:3" ht="15.75" customHeight="1">
      <c r="C713" s="100"/>
    </row>
    <row r="714" spans="3:3" ht="15.75" customHeight="1">
      <c r="C714" s="100"/>
    </row>
    <row r="715" spans="3:3" ht="15.75" customHeight="1">
      <c r="C715" s="100"/>
    </row>
    <row r="716" spans="3:3" ht="15.75" customHeight="1">
      <c r="C716" s="100"/>
    </row>
    <row r="717" spans="3:3" ht="15.75" customHeight="1">
      <c r="C717" s="100"/>
    </row>
    <row r="718" spans="3:3" ht="15.75" customHeight="1">
      <c r="C718" s="100"/>
    </row>
    <row r="719" spans="3:3" ht="15.75" customHeight="1">
      <c r="C719" s="100"/>
    </row>
    <row r="720" spans="3:3" ht="15.75" customHeight="1">
      <c r="C720" s="100"/>
    </row>
    <row r="721" spans="3:3" ht="15.75" customHeight="1">
      <c r="C721" s="100"/>
    </row>
    <row r="722" spans="3:3" ht="15.75" customHeight="1">
      <c r="C722" s="100"/>
    </row>
    <row r="723" spans="3:3" ht="15.75" customHeight="1">
      <c r="C723" s="100"/>
    </row>
    <row r="724" spans="3:3" ht="15.75" customHeight="1">
      <c r="C724" s="100"/>
    </row>
    <row r="725" spans="3:3" ht="15.75" customHeight="1">
      <c r="C725" s="100"/>
    </row>
    <row r="726" spans="3:3" ht="15.75" customHeight="1">
      <c r="C726" s="100"/>
    </row>
    <row r="727" spans="3:3" ht="15.75" customHeight="1">
      <c r="C727" s="100"/>
    </row>
    <row r="728" spans="3:3" ht="15.75" customHeight="1">
      <c r="C728" s="100"/>
    </row>
    <row r="729" spans="3:3" ht="15.75" customHeight="1">
      <c r="C729" s="100"/>
    </row>
    <row r="730" spans="3:3" ht="15.75" customHeight="1">
      <c r="C730" s="100"/>
    </row>
    <row r="731" spans="3:3" ht="15.75" customHeight="1">
      <c r="C731" s="100"/>
    </row>
    <row r="732" spans="3:3" ht="15.75" customHeight="1">
      <c r="C732" s="100"/>
    </row>
    <row r="733" spans="3:3" ht="15.75" customHeight="1">
      <c r="C733" s="100"/>
    </row>
    <row r="734" spans="3:3" ht="15.75" customHeight="1">
      <c r="C734" s="100"/>
    </row>
    <row r="735" spans="3:3" ht="15.75" customHeight="1">
      <c r="C735" s="100"/>
    </row>
    <row r="736" spans="3:3" ht="15.75" customHeight="1">
      <c r="C736" s="100"/>
    </row>
    <row r="737" spans="3:3" ht="15.75" customHeight="1">
      <c r="C737" s="100"/>
    </row>
    <row r="738" spans="3:3" ht="15.75" customHeight="1">
      <c r="C738" s="100"/>
    </row>
    <row r="739" spans="3:3" ht="15.75" customHeight="1">
      <c r="C739" s="100"/>
    </row>
    <row r="740" spans="3:3" ht="15.75" customHeight="1">
      <c r="C740" s="100"/>
    </row>
    <row r="741" spans="3:3" ht="15.75" customHeight="1">
      <c r="C741" s="100"/>
    </row>
    <row r="742" spans="3:3" ht="15.75" customHeight="1">
      <c r="C742" s="100"/>
    </row>
    <row r="743" spans="3:3" ht="15.75" customHeight="1">
      <c r="C743" s="100"/>
    </row>
    <row r="744" spans="3:3" ht="15.75" customHeight="1">
      <c r="C744" s="100"/>
    </row>
    <row r="745" spans="3:3" ht="15.75" customHeight="1">
      <c r="C745" s="100"/>
    </row>
    <row r="746" spans="3:3" ht="15.75" customHeight="1">
      <c r="C746" s="100"/>
    </row>
    <row r="747" spans="3:3" ht="15.75" customHeight="1">
      <c r="C747" s="100"/>
    </row>
    <row r="748" spans="3:3" ht="15.75" customHeight="1">
      <c r="C748" s="100"/>
    </row>
    <row r="749" spans="3:3" ht="15.75" customHeight="1">
      <c r="C749" s="100"/>
    </row>
    <row r="750" spans="3:3" ht="15.75" customHeight="1">
      <c r="C750" s="100"/>
    </row>
    <row r="751" spans="3:3" ht="15.75" customHeight="1">
      <c r="C751" s="100"/>
    </row>
    <row r="752" spans="3:3" ht="15.75" customHeight="1">
      <c r="C752" s="100"/>
    </row>
    <row r="753" spans="3:3" ht="15.75" customHeight="1">
      <c r="C753" s="100"/>
    </row>
    <row r="754" spans="3:3" ht="15.75" customHeight="1">
      <c r="C754" s="100"/>
    </row>
    <row r="755" spans="3:3" ht="15.75" customHeight="1">
      <c r="C755" s="100"/>
    </row>
    <row r="756" spans="3:3" ht="15.75" customHeight="1">
      <c r="C756" s="100"/>
    </row>
    <row r="757" spans="3:3" ht="15.75" customHeight="1">
      <c r="C757" s="100"/>
    </row>
    <row r="758" spans="3:3" ht="15.75" customHeight="1">
      <c r="C758" s="100"/>
    </row>
    <row r="759" spans="3:3" ht="15.75" customHeight="1">
      <c r="C759" s="100"/>
    </row>
    <row r="760" spans="3:3" ht="15.75" customHeight="1">
      <c r="C760" s="100"/>
    </row>
    <row r="761" spans="3:3" ht="15.75" customHeight="1">
      <c r="C761" s="100"/>
    </row>
    <row r="762" spans="3:3" ht="15.75" customHeight="1">
      <c r="C762" s="100"/>
    </row>
    <row r="763" spans="3:3" ht="15.75" customHeight="1">
      <c r="C763" s="100"/>
    </row>
    <row r="764" spans="3:3" ht="15.75" customHeight="1">
      <c r="C764" s="100"/>
    </row>
    <row r="765" spans="3:3" ht="15.75" customHeight="1">
      <c r="C765" s="100"/>
    </row>
    <row r="766" spans="3:3" ht="15.75" customHeight="1">
      <c r="C766" s="100"/>
    </row>
    <row r="767" spans="3:3" ht="15.75" customHeight="1">
      <c r="C767" s="100"/>
    </row>
    <row r="768" spans="3:3" ht="15.75" customHeight="1">
      <c r="C768" s="100"/>
    </row>
    <row r="769" spans="3:3" ht="15.75" customHeight="1">
      <c r="C769" s="100"/>
    </row>
    <row r="770" spans="3:3" ht="15.75" customHeight="1">
      <c r="C770" s="100"/>
    </row>
    <row r="771" spans="3:3" ht="15.75" customHeight="1">
      <c r="C771" s="100"/>
    </row>
    <row r="772" spans="3:3" ht="15.75" customHeight="1">
      <c r="C772" s="100"/>
    </row>
    <row r="773" spans="3:3" ht="15.75" customHeight="1">
      <c r="C773" s="100"/>
    </row>
    <row r="774" spans="3:3" ht="15.75" customHeight="1">
      <c r="C774" s="100"/>
    </row>
    <row r="775" spans="3:3" ht="15.75" customHeight="1">
      <c r="C775" s="100"/>
    </row>
    <row r="776" spans="3:3" ht="15.75" customHeight="1">
      <c r="C776" s="100"/>
    </row>
    <row r="777" spans="3:3" ht="15.75" customHeight="1">
      <c r="C777" s="100"/>
    </row>
    <row r="778" spans="3:3" ht="15.75" customHeight="1">
      <c r="C778" s="100"/>
    </row>
    <row r="779" spans="3:3" ht="15.75" customHeight="1">
      <c r="C779" s="100"/>
    </row>
    <row r="780" spans="3:3" ht="15.75" customHeight="1">
      <c r="C780" s="100"/>
    </row>
    <row r="781" spans="3:3" ht="15.75" customHeight="1">
      <c r="C781" s="100"/>
    </row>
    <row r="782" spans="3:3" ht="15.75" customHeight="1">
      <c r="C782" s="100"/>
    </row>
    <row r="783" spans="3:3" ht="15.75" customHeight="1">
      <c r="C783" s="100"/>
    </row>
    <row r="784" spans="3:3" ht="15.75" customHeight="1">
      <c r="C784" s="100"/>
    </row>
    <row r="785" spans="3:3" ht="15.75" customHeight="1">
      <c r="C785" s="100"/>
    </row>
    <row r="786" spans="3:3" ht="15.75" customHeight="1">
      <c r="C786" s="100"/>
    </row>
    <row r="787" spans="3:3" ht="15.75" customHeight="1">
      <c r="C787" s="100"/>
    </row>
    <row r="788" spans="3:3" ht="15.75" customHeight="1">
      <c r="C788" s="100"/>
    </row>
    <row r="789" spans="3:3" ht="15.75" customHeight="1">
      <c r="C789" s="100"/>
    </row>
    <row r="790" spans="3:3" ht="15.75" customHeight="1">
      <c r="C790" s="100"/>
    </row>
    <row r="791" spans="3:3" ht="15.75" customHeight="1">
      <c r="C791" s="100"/>
    </row>
    <row r="792" spans="3:3" ht="15.75" customHeight="1">
      <c r="C792" s="100"/>
    </row>
    <row r="793" spans="3:3" ht="15.75" customHeight="1">
      <c r="C793" s="100"/>
    </row>
    <row r="794" spans="3:3" ht="15.75" customHeight="1">
      <c r="C794" s="100"/>
    </row>
    <row r="795" spans="3:3" ht="15.75" customHeight="1">
      <c r="C795" s="100"/>
    </row>
    <row r="796" spans="3:3" ht="15.75" customHeight="1">
      <c r="C796" s="100"/>
    </row>
    <row r="797" spans="3:3" ht="15.75" customHeight="1">
      <c r="C797" s="100"/>
    </row>
    <row r="798" spans="3:3" ht="15.75" customHeight="1">
      <c r="C798" s="100"/>
    </row>
    <row r="799" spans="3:3" ht="15.75" customHeight="1">
      <c r="C799" s="100"/>
    </row>
    <row r="800" spans="3:3" ht="15.75" customHeight="1">
      <c r="C800" s="100"/>
    </row>
    <row r="801" spans="3:3" ht="15.75" customHeight="1">
      <c r="C801" s="100"/>
    </row>
    <row r="802" spans="3:3" ht="15.75" customHeight="1">
      <c r="C802" s="100"/>
    </row>
    <row r="803" spans="3:3" ht="15.75" customHeight="1">
      <c r="C803" s="100"/>
    </row>
    <row r="804" spans="3:3" ht="15.75" customHeight="1">
      <c r="C804" s="100"/>
    </row>
    <row r="805" spans="3:3" ht="15.75" customHeight="1">
      <c r="C805" s="100"/>
    </row>
    <row r="806" spans="3:3" ht="15.75" customHeight="1">
      <c r="C806" s="100"/>
    </row>
    <row r="807" spans="3:3" ht="15.75" customHeight="1">
      <c r="C807" s="100"/>
    </row>
    <row r="808" spans="3:3" ht="15.75" customHeight="1">
      <c r="C808" s="100"/>
    </row>
    <row r="809" spans="3:3" ht="15.75" customHeight="1">
      <c r="C809" s="100"/>
    </row>
    <row r="810" spans="3:3" ht="15.75" customHeight="1">
      <c r="C810" s="100"/>
    </row>
    <row r="811" spans="3:3" ht="15.75" customHeight="1">
      <c r="C811" s="100"/>
    </row>
    <row r="812" spans="3:3" ht="15.75" customHeight="1">
      <c r="C812" s="100"/>
    </row>
    <row r="813" spans="3:3" ht="15.75" customHeight="1">
      <c r="C813" s="100"/>
    </row>
    <row r="814" spans="3:3" ht="15.75" customHeight="1">
      <c r="C814" s="100"/>
    </row>
    <row r="815" spans="3:3" ht="15.75" customHeight="1">
      <c r="C815" s="100"/>
    </row>
    <row r="816" spans="3:3" ht="15.75" customHeight="1">
      <c r="C816" s="100"/>
    </row>
    <row r="817" spans="3:3" ht="15.75" customHeight="1">
      <c r="C817" s="100"/>
    </row>
    <row r="818" spans="3:3" ht="15.75" customHeight="1">
      <c r="C818" s="100"/>
    </row>
    <row r="819" spans="3:3" ht="15.75" customHeight="1">
      <c r="C819" s="100"/>
    </row>
    <row r="820" spans="3:3" ht="15.75" customHeight="1">
      <c r="C820" s="100"/>
    </row>
    <row r="821" spans="3:3" ht="15.75" customHeight="1">
      <c r="C821" s="100"/>
    </row>
    <row r="822" spans="3:3" ht="15.75" customHeight="1">
      <c r="C822" s="100"/>
    </row>
    <row r="823" spans="3:3" ht="15.75" customHeight="1">
      <c r="C823" s="100"/>
    </row>
    <row r="824" spans="3:3" ht="15.75" customHeight="1">
      <c r="C824" s="100"/>
    </row>
    <row r="825" spans="3:3" ht="15.75" customHeight="1">
      <c r="C825" s="100"/>
    </row>
    <row r="826" spans="3:3" ht="15.75" customHeight="1">
      <c r="C826" s="100"/>
    </row>
    <row r="827" spans="3:3" ht="15.75" customHeight="1">
      <c r="C827" s="100"/>
    </row>
    <row r="828" spans="3:3" ht="15.75" customHeight="1">
      <c r="C828" s="100"/>
    </row>
    <row r="829" spans="3:3" ht="15.75" customHeight="1">
      <c r="C829" s="100"/>
    </row>
    <row r="830" spans="3:3" ht="15.75" customHeight="1">
      <c r="C830" s="100"/>
    </row>
    <row r="831" spans="3:3" ht="15.75" customHeight="1">
      <c r="C831" s="100"/>
    </row>
    <row r="832" spans="3:3" ht="15.75" customHeight="1">
      <c r="C832" s="100"/>
    </row>
    <row r="833" spans="3:3" ht="15.75" customHeight="1">
      <c r="C833" s="100"/>
    </row>
    <row r="834" spans="3:3" ht="15.75" customHeight="1">
      <c r="C834" s="100"/>
    </row>
    <row r="835" spans="3:3" ht="15.75" customHeight="1">
      <c r="C835" s="100"/>
    </row>
    <row r="836" spans="3:3" ht="15.75" customHeight="1">
      <c r="C836" s="100"/>
    </row>
    <row r="837" spans="3:3" ht="15.75" customHeight="1">
      <c r="C837" s="100"/>
    </row>
    <row r="838" spans="3:3" ht="15.75" customHeight="1">
      <c r="C838" s="100"/>
    </row>
    <row r="839" spans="3:3" ht="15.75" customHeight="1">
      <c r="C839" s="100"/>
    </row>
    <row r="840" spans="3:3" ht="15.75" customHeight="1">
      <c r="C840" s="100"/>
    </row>
    <row r="841" spans="3:3" ht="15.75" customHeight="1">
      <c r="C841" s="100"/>
    </row>
    <row r="842" spans="3:3" ht="15.75" customHeight="1">
      <c r="C842" s="100"/>
    </row>
    <row r="843" spans="3:3" ht="15.75" customHeight="1">
      <c r="C843" s="100"/>
    </row>
    <row r="844" spans="3:3" ht="15.75" customHeight="1">
      <c r="C844" s="100"/>
    </row>
    <row r="845" spans="3:3" ht="15.75" customHeight="1">
      <c r="C845" s="100"/>
    </row>
    <row r="846" spans="3:3" ht="15.75" customHeight="1">
      <c r="C846" s="100"/>
    </row>
    <row r="847" spans="3:3" ht="15.75" customHeight="1">
      <c r="C847" s="100"/>
    </row>
    <row r="848" spans="3:3" ht="15.75" customHeight="1">
      <c r="C848" s="100"/>
    </row>
    <row r="849" spans="3:3" ht="15.75" customHeight="1">
      <c r="C849" s="100"/>
    </row>
    <row r="850" spans="3:3" ht="15.75" customHeight="1">
      <c r="C850" s="100"/>
    </row>
    <row r="851" spans="3:3" ht="15.75" customHeight="1">
      <c r="C851" s="100"/>
    </row>
    <row r="852" spans="3:3" ht="15.75" customHeight="1">
      <c r="C852" s="100"/>
    </row>
    <row r="853" spans="3:3" ht="15.75" customHeight="1">
      <c r="C853" s="100"/>
    </row>
    <row r="854" spans="3:3" ht="15.75" customHeight="1">
      <c r="C854" s="100"/>
    </row>
    <row r="855" spans="3:3" ht="15.75" customHeight="1">
      <c r="C855" s="100"/>
    </row>
    <row r="856" spans="3:3" ht="15.75" customHeight="1">
      <c r="C856" s="100"/>
    </row>
    <row r="857" spans="3:3" ht="15.75" customHeight="1">
      <c r="C857" s="100"/>
    </row>
    <row r="858" spans="3:3" ht="15.75" customHeight="1">
      <c r="C858" s="100"/>
    </row>
    <row r="859" spans="3:3" ht="15.75" customHeight="1">
      <c r="C859" s="100"/>
    </row>
    <row r="860" spans="3:3" ht="15.75" customHeight="1">
      <c r="C860" s="100"/>
    </row>
    <row r="861" spans="3:3" ht="15.75" customHeight="1">
      <c r="C861" s="100"/>
    </row>
    <row r="862" spans="3:3" ht="15.75" customHeight="1">
      <c r="C862" s="100"/>
    </row>
    <row r="863" spans="3:3" ht="15.75" customHeight="1">
      <c r="C863" s="100"/>
    </row>
    <row r="864" spans="3:3" ht="15.75" customHeight="1">
      <c r="C864" s="100"/>
    </row>
    <row r="865" spans="3:3" ht="15.75" customHeight="1">
      <c r="C865" s="100"/>
    </row>
    <row r="866" spans="3:3" ht="15.75" customHeight="1">
      <c r="C866" s="100"/>
    </row>
    <row r="867" spans="3:3" ht="15.75" customHeight="1">
      <c r="C867" s="100"/>
    </row>
    <row r="868" spans="3:3" ht="15.75" customHeight="1">
      <c r="C868" s="100"/>
    </row>
    <row r="869" spans="3:3" ht="15.75" customHeight="1">
      <c r="C869" s="100"/>
    </row>
    <row r="870" spans="3:3" ht="15.75" customHeight="1">
      <c r="C870" s="100"/>
    </row>
    <row r="871" spans="3:3" ht="15.75" customHeight="1">
      <c r="C871" s="100"/>
    </row>
    <row r="872" spans="3:3" ht="15.75" customHeight="1">
      <c r="C872" s="100"/>
    </row>
    <row r="873" spans="3:3" ht="15.75" customHeight="1">
      <c r="C873" s="100"/>
    </row>
    <row r="874" spans="3:3" ht="15.75" customHeight="1">
      <c r="C874" s="100"/>
    </row>
    <row r="875" spans="3:3" ht="15.75" customHeight="1">
      <c r="C875" s="100"/>
    </row>
    <row r="876" spans="3:3" ht="15.75" customHeight="1">
      <c r="C876" s="100"/>
    </row>
    <row r="877" spans="3:3" ht="15.75" customHeight="1">
      <c r="C877" s="100"/>
    </row>
    <row r="878" spans="3:3" ht="15.75" customHeight="1">
      <c r="C878" s="100"/>
    </row>
    <row r="879" spans="3:3" ht="15.75" customHeight="1">
      <c r="C879" s="100"/>
    </row>
    <row r="880" spans="3:3" ht="15.75" customHeight="1">
      <c r="C880" s="100"/>
    </row>
    <row r="881" spans="3:3" ht="15.75" customHeight="1">
      <c r="C881" s="100"/>
    </row>
    <row r="882" spans="3:3" ht="15.75" customHeight="1">
      <c r="C882" s="100"/>
    </row>
    <row r="883" spans="3:3" ht="15.75" customHeight="1">
      <c r="C883" s="100"/>
    </row>
    <row r="884" spans="3:3" ht="15.75" customHeight="1">
      <c r="C884" s="100"/>
    </row>
    <row r="885" spans="3:3" ht="15.75" customHeight="1">
      <c r="C885" s="100"/>
    </row>
    <row r="886" spans="3:3" ht="15.75" customHeight="1">
      <c r="C886" s="100"/>
    </row>
    <row r="887" spans="3:3" ht="15.75" customHeight="1">
      <c r="C887" s="100"/>
    </row>
    <row r="888" spans="3:3" ht="15.75" customHeight="1">
      <c r="C888" s="100"/>
    </row>
    <row r="889" spans="3:3" ht="15.75" customHeight="1">
      <c r="C889" s="100"/>
    </row>
    <row r="890" spans="3:3" ht="15.75" customHeight="1">
      <c r="C890" s="100"/>
    </row>
    <row r="891" spans="3:3" ht="15.75" customHeight="1">
      <c r="C891" s="100"/>
    </row>
    <row r="892" spans="3:3" ht="15.75" customHeight="1">
      <c r="C892" s="100"/>
    </row>
    <row r="893" spans="3:3" ht="15.75" customHeight="1">
      <c r="C893" s="100"/>
    </row>
    <row r="894" spans="3:3" ht="15.75" customHeight="1">
      <c r="C894" s="100"/>
    </row>
    <row r="895" spans="3:3" ht="15.75" customHeight="1">
      <c r="C895" s="100"/>
    </row>
    <row r="896" spans="3:3" ht="15.75" customHeight="1">
      <c r="C896" s="100"/>
    </row>
    <row r="897" spans="3:3" ht="15.75" customHeight="1">
      <c r="C897" s="100"/>
    </row>
    <row r="898" spans="3:3" ht="15.75" customHeight="1">
      <c r="C898" s="100"/>
    </row>
    <row r="899" spans="3:3" ht="15.75" customHeight="1">
      <c r="C899" s="100"/>
    </row>
    <row r="900" spans="3:3" ht="15.75" customHeight="1">
      <c r="C900" s="100"/>
    </row>
    <row r="901" spans="3:3" ht="15.75" customHeight="1">
      <c r="C901" s="100"/>
    </row>
    <row r="902" spans="3:3" ht="15.75" customHeight="1">
      <c r="C902" s="100"/>
    </row>
    <row r="903" spans="3:3" ht="15.75" customHeight="1">
      <c r="C903" s="100"/>
    </row>
    <row r="904" spans="3:3" ht="15.75" customHeight="1">
      <c r="C904" s="100"/>
    </row>
    <row r="905" spans="3:3" ht="15.75" customHeight="1">
      <c r="C905" s="100"/>
    </row>
    <row r="906" spans="3:3" ht="15.75" customHeight="1">
      <c r="C906" s="100"/>
    </row>
    <row r="907" spans="3:3" ht="15.75" customHeight="1">
      <c r="C907" s="100"/>
    </row>
    <row r="908" spans="3:3" ht="15.75" customHeight="1">
      <c r="C908" s="100"/>
    </row>
    <row r="909" spans="3:3" ht="15.75" customHeight="1">
      <c r="C909" s="100"/>
    </row>
    <row r="910" spans="3:3" ht="15.75" customHeight="1">
      <c r="C910" s="100"/>
    </row>
    <row r="911" spans="3:3" ht="15.75" customHeight="1">
      <c r="C911" s="100"/>
    </row>
    <row r="912" spans="3:3" ht="15.75" customHeight="1">
      <c r="C912" s="100"/>
    </row>
    <row r="913" spans="3:3" ht="15.75" customHeight="1">
      <c r="C913" s="100"/>
    </row>
    <row r="914" spans="3:3" ht="15.75" customHeight="1">
      <c r="C914" s="100"/>
    </row>
    <row r="915" spans="3:3" ht="15.75" customHeight="1">
      <c r="C915" s="100"/>
    </row>
    <row r="916" spans="3:3" ht="15.75" customHeight="1">
      <c r="C916" s="100"/>
    </row>
    <row r="917" spans="3:3" ht="15.75" customHeight="1">
      <c r="C917" s="100"/>
    </row>
    <row r="918" spans="3:3" ht="15.75" customHeight="1">
      <c r="C918" s="100"/>
    </row>
    <row r="919" spans="3:3" ht="15.75" customHeight="1">
      <c r="C919" s="100"/>
    </row>
    <row r="920" spans="3:3" ht="15.75" customHeight="1">
      <c r="C920" s="100"/>
    </row>
    <row r="921" spans="3:3" ht="15.75" customHeight="1">
      <c r="C921" s="100"/>
    </row>
    <row r="922" spans="3:3" ht="15.75" customHeight="1">
      <c r="C922" s="100"/>
    </row>
    <row r="923" spans="3:3" ht="15.75" customHeight="1">
      <c r="C923" s="100"/>
    </row>
    <row r="924" spans="3:3" ht="15.75" customHeight="1">
      <c r="C924" s="100"/>
    </row>
    <row r="925" spans="3:3" ht="15.75" customHeight="1">
      <c r="C925" s="100"/>
    </row>
    <row r="926" spans="3:3" ht="15.75" customHeight="1">
      <c r="C926" s="100"/>
    </row>
    <row r="927" spans="3:3" ht="15.75" customHeight="1">
      <c r="C927" s="100"/>
    </row>
    <row r="928" spans="3:3" ht="15.75" customHeight="1">
      <c r="C928" s="100"/>
    </row>
    <row r="929" spans="3:3" ht="15.75" customHeight="1">
      <c r="C929" s="100"/>
    </row>
    <row r="930" spans="3:3" ht="15.75" customHeight="1">
      <c r="C930" s="100"/>
    </row>
    <row r="931" spans="3:3" ht="15.75" customHeight="1">
      <c r="C931" s="100"/>
    </row>
    <row r="932" spans="3:3" ht="15.75" customHeight="1">
      <c r="C932" s="100"/>
    </row>
    <row r="933" spans="3:3" ht="15.75" customHeight="1">
      <c r="C933" s="100"/>
    </row>
    <row r="934" spans="3:3" ht="15.75" customHeight="1">
      <c r="C934" s="100"/>
    </row>
    <row r="935" spans="3:3" ht="15.75" customHeight="1">
      <c r="C935" s="100"/>
    </row>
    <row r="936" spans="3:3" ht="15.75" customHeight="1">
      <c r="C936" s="100"/>
    </row>
    <row r="937" spans="3:3" ht="15.75" customHeight="1">
      <c r="C937" s="100"/>
    </row>
    <row r="938" spans="3:3" ht="15.75" customHeight="1">
      <c r="C938" s="100"/>
    </row>
    <row r="939" spans="3:3" ht="15.75" customHeight="1">
      <c r="C939" s="100"/>
    </row>
    <row r="940" spans="3:3" ht="15.75" customHeight="1">
      <c r="C940" s="100"/>
    </row>
    <row r="941" spans="3:3" ht="15.75" customHeight="1">
      <c r="C941" s="100"/>
    </row>
    <row r="942" spans="3:3" ht="15.75" customHeight="1">
      <c r="C942" s="100"/>
    </row>
    <row r="943" spans="3:3" ht="15.75" customHeight="1">
      <c r="C943" s="100"/>
    </row>
    <row r="944" spans="3:3" ht="15.75" customHeight="1">
      <c r="C944" s="100"/>
    </row>
    <row r="945" spans="3:3" ht="15.75" customHeight="1">
      <c r="C945" s="100"/>
    </row>
    <row r="946" spans="3:3" ht="15.75" customHeight="1">
      <c r="C946" s="100"/>
    </row>
    <row r="947" spans="3:3" ht="15.75" customHeight="1">
      <c r="C947" s="100"/>
    </row>
    <row r="948" spans="3:3" ht="15.75" customHeight="1">
      <c r="C948" s="100"/>
    </row>
    <row r="949" spans="3:3" ht="15.75" customHeight="1">
      <c r="C949" s="100"/>
    </row>
    <row r="950" spans="3:3" ht="15.75" customHeight="1">
      <c r="C950" s="100"/>
    </row>
    <row r="951" spans="3:3" ht="15.75" customHeight="1">
      <c r="C951" s="100"/>
    </row>
    <row r="952" spans="3:3" ht="15.75" customHeight="1">
      <c r="C952" s="100"/>
    </row>
    <row r="953" spans="3:3" ht="15.75" customHeight="1">
      <c r="C953" s="100"/>
    </row>
    <row r="954" spans="3:3" ht="15.75" customHeight="1">
      <c r="C954" s="100"/>
    </row>
    <row r="955" spans="3:3" ht="15.75" customHeight="1">
      <c r="C955" s="100"/>
    </row>
    <row r="956" spans="3:3" ht="15.75" customHeight="1">
      <c r="C956" s="100"/>
    </row>
    <row r="957" spans="3:3" ht="15.75" customHeight="1">
      <c r="C957" s="100"/>
    </row>
    <row r="958" spans="3:3" ht="15.75" customHeight="1">
      <c r="C958" s="100"/>
    </row>
    <row r="959" spans="3:3" ht="15.75" customHeight="1">
      <c r="C959" s="100"/>
    </row>
    <row r="960" spans="3:3" ht="15.75" customHeight="1">
      <c r="C960" s="100"/>
    </row>
    <row r="961" spans="3:3" ht="15.75" customHeight="1">
      <c r="C961" s="100"/>
    </row>
    <row r="962" spans="3:3" ht="15.75" customHeight="1">
      <c r="C962" s="100"/>
    </row>
    <row r="963" spans="3:3" ht="15.75" customHeight="1">
      <c r="C963" s="100"/>
    </row>
    <row r="964" spans="3:3" ht="15.75" customHeight="1">
      <c r="C964" s="100"/>
    </row>
    <row r="965" spans="3:3" ht="15.75" customHeight="1">
      <c r="C965" s="100"/>
    </row>
    <row r="966" spans="3:3" ht="15.75" customHeight="1">
      <c r="C966" s="100"/>
    </row>
    <row r="967" spans="3:3" ht="15.75" customHeight="1">
      <c r="C967" s="100"/>
    </row>
    <row r="968" spans="3:3" ht="15.75" customHeight="1">
      <c r="C968" s="100"/>
    </row>
    <row r="969" spans="3:3" ht="15.75" customHeight="1">
      <c r="C969" s="100"/>
    </row>
    <row r="970" spans="3:3" ht="15.75" customHeight="1">
      <c r="C970" s="100"/>
    </row>
    <row r="971" spans="3:3" ht="15.75" customHeight="1">
      <c r="C971" s="100"/>
    </row>
    <row r="972" spans="3:3" ht="15.75" customHeight="1">
      <c r="C972" s="100"/>
    </row>
    <row r="973" spans="3:3" ht="15.75" customHeight="1">
      <c r="C973" s="100"/>
    </row>
    <row r="974" spans="3:3" ht="15.75" customHeight="1">
      <c r="C974" s="100"/>
    </row>
    <row r="975" spans="3:3" ht="15.75" customHeight="1">
      <c r="C975" s="100"/>
    </row>
    <row r="976" spans="3:3" ht="15.75" customHeight="1">
      <c r="C976" s="100"/>
    </row>
    <row r="977" spans="3:3" ht="15.75" customHeight="1">
      <c r="C977" s="100"/>
    </row>
    <row r="978" spans="3:3" ht="15.75" customHeight="1">
      <c r="C978" s="100"/>
    </row>
    <row r="979" spans="3:3" ht="15.75" customHeight="1">
      <c r="C979" s="100"/>
    </row>
    <row r="980" spans="3:3" ht="15.75" customHeight="1">
      <c r="C980" s="100"/>
    </row>
    <row r="981" spans="3:3" ht="15.75" customHeight="1">
      <c r="C981" s="100"/>
    </row>
    <row r="982" spans="3:3" ht="15.75" customHeight="1">
      <c r="C982" s="100"/>
    </row>
    <row r="983" spans="3:3" ht="15.75" customHeight="1">
      <c r="C983" s="100"/>
    </row>
    <row r="984" spans="3:3" ht="15.75" customHeight="1">
      <c r="C984" s="100"/>
    </row>
    <row r="985" spans="3:3" ht="15.75" customHeight="1">
      <c r="C985" s="100"/>
    </row>
    <row r="986" spans="3:3" ht="15.75" customHeight="1">
      <c r="C986" s="100"/>
    </row>
    <row r="987" spans="3:3" ht="15.75" customHeight="1">
      <c r="C987" s="100"/>
    </row>
    <row r="988" spans="3:3" ht="15.75" customHeight="1">
      <c r="C988" s="100"/>
    </row>
    <row r="989" spans="3:3" ht="15.75" customHeight="1">
      <c r="C989" s="100"/>
    </row>
    <row r="990" spans="3:3" ht="15.75" customHeight="1">
      <c r="C990" s="100"/>
    </row>
    <row r="991" spans="3:3" ht="15.75" customHeight="1">
      <c r="C991" s="100"/>
    </row>
    <row r="992" spans="3:3" ht="15.75" customHeight="1">
      <c r="C992" s="100"/>
    </row>
    <row r="993" spans="3:3" ht="15.75" customHeight="1">
      <c r="C993" s="100"/>
    </row>
    <row r="994" spans="3:3" ht="15.75" customHeight="1">
      <c r="C994" s="100"/>
    </row>
    <row r="995" spans="3:3" ht="15.75" customHeight="1">
      <c r="C995" s="100"/>
    </row>
    <row r="996" spans="3:3" ht="15.75" customHeight="1">
      <c r="C996" s="100"/>
    </row>
    <row r="997" spans="3:3" ht="15.75" customHeight="1">
      <c r="C997" s="100"/>
    </row>
    <row r="998" spans="3:3" ht="15.75" customHeight="1">
      <c r="C998" s="100"/>
    </row>
    <row r="999" spans="3:3" ht="15.75" customHeight="1">
      <c r="C999" s="100"/>
    </row>
    <row r="1000" spans="3:3" ht="15.75" customHeight="1">
      <c r="C1000" s="100"/>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1001"/>
  <sheetViews>
    <sheetView workbookViewId="0">
      <pane ySplit="2" topLeftCell="A370" activePane="bottomLeft" state="frozen"/>
      <selection pane="bottomLeft" activeCell="L110" sqref="L110"/>
    </sheetView>
  </sheetViews>
  <sheetFormatPr baseColWidth="10" defaultColWidth="14.5" defaultRowHeight="15.75" customHeight="1"/>
  <cols>
    <col min="2" max="2" width="128.6640625" customWidth="1"/>
    <col min="3" max="4" width="42.83203125" customWidth="1"/>
    <col min="5" max="6" width="14.5" customWidth="1"/>
  </cols>
  <sheetData>
    <row r="1" spans="1:6">
      <c r="A1" s="56" t="s">
        <v>27</v>
      </c>
      <c r="B1" s="58" t="s">
        <v>21</v>
      </c>
      <c r="C1" s="59" t="s">
        <v>521</v>
      </c>
      <c r="D1" s="59" t="s">
        <v>51</v>
      </c>
      <c r="E1" s="59" t="s">
        <v>24</v>
      </c>
      <c r="F1" s="59" t="s">
        <v>26</v>
      </c>
    </row>
    <row r="2" spans="1:6">
      <c r="A2" s="56" t="s">
        <v>606</v>
      </c>
      <c r="B2" s="58" t="s">
        <v>606</v>
      </c>
      <c r="C2" s="59" t="s">
        <v>606</v>
      </c>
      <c r="D2" s="59" t="s">
        <v>609</v>
      </c>
      <c r="E2" s="59" t="s">
        <v>610</v>
      </c>
      <c r="F2" s="59" t="s">
        <v>611</v>
      </c>
    </row>
    <row r="3" spans="1:6">
      <c r="A3" s="61">
        <v>17667</v>
      </c>
      <c r="B3" s="63" t="s">
        <v>229</v>
      </c>
      <c r="C3" s="64" t="s">
        <v>135</v>
      </c>
      <c r="D3" s="64" t="s">
        <v>237</v>
      </c>
      <c r="E3" s="64">
        <v>33.239637000000002</v>
      </c>
      <c r="F3" s="64">
        <v>35.653953000000001</v>
      </c>
    </row>
    <row r="4" spans="1:6">
      <c r="A4" s="61">
        <v>17668</v>
      </c>
      <c r="B4" s="63" t="s">
        <v>341</v>
      </c>
      <c r="C4" s="64" t="s">
        <v>32</v>
      </c>
      <c r="D4" s="64" t="s">
        <v>346</v>
      </c>
      <c r="E4" s="64">
        <v>31.768319000000002</v>
      </c>
      <c r="F4" s="64">
        <v>35.213709999999999</v>
      </c>
    </row>
    <row r="5" spans="1:6">
      <c r="A5" s="61">
        <v>17677</v>
      </c>
      <c r="B5" s="63" t="s">
        <v>404</v>
      </c>
      <c r="C5" s="64" t="s">
        <v>409</v>
      </c>
      <c r="D5" s="64" t="s">
        <v>410</v>
      </c>
      <c r="E5" s="64">
        <v>31.7859178</v>
      </c>
      <c r="F5" s="64">
        <v>35.242329599999998</v>
      </c>
    </row>
    <row r="6" spans="1:6">
      <c r="A6" s="61">
        <v>17677</v>
      </c>
      <c r="B6" s="63" t="s">
        <v>444</v>
      </c>
      <c r="C6" s="64" t="s">
        <v>447</v>
      </c>
      <c r="D6" s="64" t="s">
        <v>618</v>
      </c>
      <c r="E6" s="64">
        <v>31.986668600000002</v>
      </c>
      <c r="F6" s="64">
        <v>34.912524400000002</v>
      </c>
    </row>
    <row r="7" spans="1:6">
      <c r="A7" s="61">
        <v>17692</v>
      </c>
      <c r="B7" s="63" t="s">
        <v>509</v>
      </c>
      <c r="C7" s="64" t="s">
        <v>512</v>
      </c>
      <c r="D7" s="64" t="s">
        <v>513</v>
      </c>
      <c r="E7" s="64">
        <v>32.497103000000003</v>
      </c>
      <c r="F7" s="64">
        <v>35.497335999999997</v>
      </c>
    </row>
    <row r="8" spans="1:6">
      <c r="A8" s="61">
        <v>17712</v>
      </c>
      <c r="B8" s="63" t="s">
        <v>518</v>
      </c>
      <c r="C8" s="64" t="s">
        <v>519</v>
      </c>
      <c r="D8" s="64" t="s">
        <v>520</v>
      </c>
      <c r="E8" s="64">
        <v>33.049922000000002</v>
      </c>
      <c r="F8" s="64">
        <v>35.487062000000002</v>
      </c>
    </row>
    <row r="9" spans="1:6">
      <c r="A9" s="61">
        <v>17716</v>
      </c>
      <c r="B9" s="63" t="s">
        <v>525</v>
      </c>
      <c r="C9" s="64" t="s">
        <v>526</v>
      </c>
      <c r="D9" s="64" t="s">
        <v>527</v>
      </c>
      <c r="E9" s="64">
        <v>31.518459</v>
      </c>
      <c r="F9" s="64">
        <v>34.580544000000003</v>
      </c>
    </row>
    <row r="10" spans="1:6">
      <c r="A10" s="61">
        <v>17726</v>
      </c>
      <c r="B10" s="63" t="s">
        <v>538</v>
      </c>
      <c r="C10" s="64" t="s">
        <v>539</v>
      </c>
      <c r="D10" s="64" t="s">
        <v>545</v>
      </c>
      <c r="E10" s="64">
        <v>32.085299900000003</v>
      </c>
      <c r="F10" s="64">
        <v>34.781767599999903</v>
      </c>
    </row>
    <row r="11" spans="1:6">
      <c r="A11" s="61">
        <v>17755</v>
      </c>
      <c r="B11" s="63" t="s">
        <v>529</v>
      </c>
      <c r="C11" s="64" t="s">
        <v>531</v>
      </c>
      <c r="D11" s="64" t="s">
        <v>532</v>
      </c>
      <c r="E11" s="64">
        <v>31.252973000000001</v>
      </c>
      <c r="F11" s="64">
        <v>34.791462000000003</v>
      </c>
    </row>
    <row r="12" spans="1:6">
      <c r="A12" s="61">
        <v>17765</v>
      </c>
      <c r="B12" s="63" t="s">
        <v>535</v>
      </c>
      <c r="C12" s="64" t="s">
        <v>536</v>
      </c>
      <c r="D12" s="64" t="s">
        <v>537</v>
      </c>
      <c r="E12" s="64">
        <v>31.663664600000001</v>
      </c>
      <c r="F12" s="64">
        <v>35.1390575</v>
      </c>
    </row>
    <row r="13" spans="1:6">
      <c r="A13" s="61">
        <v>17782</v>
      </c>
      <c r="B13" s="63" t="s">
        <v>544</v>
      </c>
      <c r="C13" s="64" t="s">
        <v>539</v>
      </c>
      <c r="D13" s="64" t="s">
        <v>545</v>
      </c>
      <c r="E13" s="64">
        <v>32.085299900000003</v>
      </c>
      <c r="F13" s="64">
        <v>34.781767599999903</v>
      </c>
    </row>
    <row r="14" spans="1:6">
      <c r="A14" s="61">
        <v>17789</v>
      </c>
      <c r="B14" s="63" t="s">
        <v>546</v>
      </c>
      <c r="C14" s="64" t="s">
        <v>547</v>
      </c>
      <c r="D14" s="64" t="s">
        <v>553</v>
      </c>
      <c r="E14" s="64">
        <v>31.681260399999999</v>
      </c>
      <c r="F14" s="64">
        <v>34.585908400000001</v>
      </c>
    </row>
    <row r="15" spans="1:6">
      <c r="A15" s="61">
        <v>17958</v>
      </c>
      <c r="B15" s="63" t="s">
        <v>548</v>
      </c>
      <c r="C15" s="64" t="s">
        <v>531</v>
      </c>
      <c r="D15" s="64" t="s">
        <v>532</v>
      </c>
      <c r="E15" s="64">
        <v>31.252973000000001</v>
      </c>
      <c r="F15" s="64">
        <v>34.791462000000003</v>
      </c>
    </row>
    <row r="16" spans="1:6">
      <c r="A16" s="61">
        <v>18006</v>
      </c>
      <c r="B16" s="63" t="s">
        <v>549</v>
      </c>
      <c r="C16" s="67" t="s">
        <v>447</v>
      </c>
      <c r="D16" s="67" t="s">
        <v>618</v>
      </c>
      <c r="E16" s="67">
        <v>31.986668600000002</v>
      </c>
      <c r="F16" s="67">
        <v>34.912524400000002</v>
      </c>
    </row>
    <row r="17" spans="1:6">
      <c r="A17" s="61">
        <v>18007</v>
      </c>
      <c r="B17" s="63" t="s">
        <v>554</v>
      </c>
      <c r="C17" s="67" t="s">
        <v>447</v>
      </c>
      <c r="D17" s="67" t="s">
        <v>618</v>
      </c>
      <c r="E17" s="67">
        <v>31.986668600000002</v>
      </c>
      <c r="F17" s="67">
        <v>34.912524400000002</v>
      </c>
    </row>
    <row r="18" spans="1:6">
      <c r="A18" s="61">
        <v>18048</v>
      </c>
      <c r="B18" s="63" t="s">
        <v>556</v>
      </c>
      <c r="C18" s="64" t="s">
        <v>32</v>
      </c>
      <c r="D18" s="64" t="s">
        <v>346</v>
      </c>
      <c r="E18" s="64">
        <v>31.768319000000002</v>
      </c>
      <c r="F18" s="64">
        <v>35.213709999999999</v>
      </c>
    </row>
    <row r="19" spans="1:6">
      <c r="A19" s="61">
        <v>18232</v>
      </c>
      <c r="B19" s="63" t="s">
        <v>557</v>
      </c>
      <c r="C19" s="64" t="s">
        <v>558</v>
      </c>
      <c r="D19" s="64" t="s">
        <v>603</v>
      </c>
      <c r="E19" s="64">
        <v>31.560907</v>
      </c>
      <c r="F19" s="64">
        <v>34.844090000000001</v>
      </c>
    </row>
    <row r="20" spans="1:6">
      <c r="A20" s="61">
        <v>18232</v>
      </c>
      <c r="B20" s="63" t="s">
        <v>560</v>
      </c>
      <c r="C20" s="67" t="s">
        <v>447</v>
      </c>
      <c r="D20" s="67" t="s">
        <v>618</v>
      </c>
      <c r="E20" s="67">
        <v>31.986668600000002</v>
      </c>
      <c r="F20" s="67">
        <v>34.912524400000002</v>
      </c>
    </row>
    <row r="21" spans="1:6">
      <c r="A21" s="61">
        <v>18339</v>
      </c>
      <c r="B21" s="63" t="s">
        <v>561</v>
      </c>
      <c r="C21" s="64" t="s">
        <v>563</v>
      </c>
      <c r="D21" s="64" t="s">
        <v>625</v>
      </c>
      <c r="E21" s="64">
        <v>31.419462500000002</v>
      </c>
      <c r="F21" s="64">
        <v>34.568954900000001</v>
      </c>
    </row>
    <row r="22" spans="1:6">
      <c r="A22" s="61">
        <v>18354</v>
      </c>
      <c r="B22" s="63" t="s">
        <v>564</v>
      </c>
      <c r="C22" s="67" t="s">
        <v>447</v>
      </c>
      <c r="D22" s="67" t="s">
        <v>618</v>
      </c>
      <c r="E22" s="67">
        <v>31.986668600000002</v>
      </c>
      <c r="F22" s="67">
        <v>34.912524400000002</v>
      </c>
    </row>
    <row r="23" spans="1:6">
      <c r="A23" s="61">
        <v>18439</v>
      </c>
      <c r="B23" s="63" t="s">
        <v>565</v>
      </c>
      <c r="C23" s="64" t="s">
        <v>566</v>
      </c>
      <c r="D23" s="64" t="s">
        <v>642</v>
      </c>
      <c r="E23" s="64">
        <v>31.522693999999898</v>
      </c>
      <c r="F23" s="64">
        <v>34.595581000000003</v>
      </c>
    </row>
    <row r="24" spans="1:6">
      <c r="A24" s="61">
        <v>18450</v>
      </c>
      <c r="B24" s="63" t="s">
        <v>567</v>
      </c>
      <c r="C24" s="64" t="s">
        <v>305</v>
      </c>
      <c r="D24" s="64"/>
      <c r="E24" s="69">
        <v>46.664433899999999</v>
      </c>
      <c r="F24" s="69">
        <v>-95.799303399999999</v>
      </c>
    </row>
    <row r="25" spans="1:6">
      <c r="A25" s="61">
        <v>18491</v>
      </c>
      <c r="B25" s="63" t="s">
        <v>571</v>
      </c>
      <c r="C25" s="64" t="s">
        <v>663</v>
      </c>
      <c r="D25" s="64" t="s">
        <v>664</v>
      </c>
      <c r="E25" s="69">
        <v>40.625931600000001</v>
      </c>
      <c r="F25" s="69">
        <v>-75.370457899999906</v>
      </c>
    </row>
    <row r="26" spans="1:6">
      <c r="A26" s="61">
        <v>18495</v>
      </c>
      <c r="B26" s="63" t="s">
        <v>573</v>
      </c>
      <c r="C26" s="70" t="s">
        <v>666</v>
      </c>
      <c r="D26" s="64"/>
      <c r="E26" s="69">
        <v>46.1865606</v>
      </c>
      <c r="F26" s="69">
        <v>21.3122677</v>
      </c>
    </row>
    <row r="27" spans="1:6">
      <c r="A27" s="61">
        <v>18502</v>
      </c>
      <c r="B27" s="63" t="s">
        <v>577</v>
      </c>
      <c r="C27" s="64" t="s">
        <v>552</v>
      </c>
      <c r="D27" s="64"/>
      <c r="E27" s="69">
        <v>50.930395999999902</v>
      </c>
      <c r="F27" s="69">
        <v>-1.3446841</v>
      </c>
    </row>
    <row r="28" spans="1:6">
      <c r="A28" s="61">
        <v>18597</v>
      </c>
      <c r="B28" s="63" t="s">
        <v>579</v>
      </c>
      <c r="C28" s="64" t="s">
        <v>674</v>
      </c>
      <c r="D28" s="64" t="s">
        <v>675</v>
      </c>
      <c r="E28" s="64">
        <v>31.374545000000001</v>
      </c>
      <c r="F28" s="64">
        <v>34.398992</v>
      </c>
    </row>
    <row r="29" spans="1:6">
      <c r="A29" s="61">
        <v>18598</v>
      </c>
      <c r="B29" s="63" t="s">
        <v>583</v>
      </c>
      <c r="C29" s="64" t="s">
        <v>678</v>
      </c>
      <c r="D29" s="64" t="s">
        <v>346</v>
      </c>
      <c r="E29" s="64">
        <v>31.768319000000002</v>
      </c>
      <c r="F29" s="64">
        <v>35.213709999999999</v>
      </c>
    </row>
    <row r="30" spans="1:6">
      <c r="A30" s="61">
        <v>18610</v>
      </c>
      <c r="B30" s="63" t="s">
        <v>585</v>
      </c>
      <c r="C30" s="64" t="s">
        <v>32</v>
      </c>
      <c r="D30" s="64" t="s">
        <v>346</v>
      </c>
      <c r="E30" s="64">
        <v>31.768319000000002</v>
      </c>
      <c r="F30" s="64">
        <v>35.213709999999999</v>
      </c>
    </row>
    <row r="31" spans="1:6">
      <c r="A31" s="61">
        <v>18612</v>
      </c>
      <c r="B31" s="63" t="s">
        <v>587</v>
      </c>
      <c r="C31" s="64" t="s">
        <v>680</v>
      </c>
      <c r="D31" s="64"/>
      <c r="E31" s="64">
        <v>31.733404799999999</v>
      </c>
      <c r="F31" s="64">
        <v>35.193938299999999</v>
      </c>
    </row>
    <row r="32" spans="1:6">
      <c r="A32" s="61">
        <v>18613</v>
      </c>
      <c r="B32" s="63" t="s">
        <v>589</v>
      </c>
      <c r="C32" s="64" t="s">
        <v>682</v>
      </c>
      <c r="D32" s="64" t="s">
        <v>346</v>
      </c>
      <c r="E32" s="64">
        <v>31.768319000000002</v>
      </c>
      <c r="F32" s="64">
        <v>35.213709999999999</v>
      </c>
    </row>
    <row r="33" spans="1:6">
      <c r="A33" s="61">
        <v>18652</v>
      </c>
      <c r="B33" s="63" t="s">
        <v>590</v>
      </c>
      <c r="C33" s="64" t="s">
        <v>32</v>
      </c>
      <c r="D33" s="64" t="s">
        <v>346</v>
      </c>
      <c r="E33" s="73">
        <v>31.532568999999999</v>
      </c>
      <c r="F33" s="73">
        <v>35.099826</v>
      </c>
    </row>
    <row r="34" spans="1:6">
      <c r="A34" s="61">
        <v>18732</v>
      </c>
      <c r="B34" s="63" t="s">
        <v>592</v>
      </c>
      <c r="C34" s="64" t="s">
        <v>593</v>
      </c>
      <c r="D34" s="64" t="s">
        <v>691</v>
      </c>
      <c r="E34" s="64">
        <v>40.625931600000001</v>
      </c>
      <c r="F34" s="64">
        <v>-75.370457899999906</v>
      </c>
    </row>
    <row r="35" spans="1:6">
      <c r="A35" s="61">
        <v>18736</v>
      </c>
      <c r="B35" s="63" t="s">
        <v>594</v>
      </c>
      <c r="C35" s="64" t="s">
        <v>595</v>
      </c>
      <c r="D35" s="64" t="s">
        <v>694</v>
      </c>
      <c r="E35" s="73">
        <v>48.455712599999998</v>
      </c>
      <c r="F35" s="73">
        <v>5.2291417999999998</v>
      </c>
    </row>
    <row r="36" spans="1:6">
      <c r="A36" s="61">
        <v>18755</v>
      </c>
      <c r="B36" s="63" t="s">
        <v>596</v>
      </c>
      <c r="C36" s="64" t="s">
        <v>32</v>
      </c>
      <c r="D36" s="64" t="s">
        <v>346</v>
      </c>
      <c r="E36" s="64">
        <v>31.768319000000002</v>
      </c>
      <c r="F36" s="64">
        <v>35.213709999999999</v>
      </c>
    </row>
    <row r="37" spans="1:6">
      <c r="A37" s="61">
        <v>18763</v>
      </c>
      <c r="B37" s="63" t="s">
        <v>597</v>
      </c>
      <c r="C37" s="64" t="s">
        <v>598</v>
      </c>
      <c r="D37" s="64" t="s">
        <v>702</v>
      </c>
      <c r="E37" s="64">
        <v>32.663418999999998</v>
      </c>
      <c r="F37" s="64">
        <v>35.259861000000001</v>
      </c>
    </row>
    <row r="38" spans="1:6">
      <c r="A38" s="61">
        <v>18814</v>
      </c>
      <c r="B38" s="63" t="s">
        <v>599</v>
      </c>
      <c r="C38" s="64" t="s">
        <v>32</v>
      </c>
      <c r="D38" s="64" t="s">
        <v>346</v>
      </c>
      <c r="E38" s="64">
        <v>31.768319000000002</v>
      </c>
      <c r="F38" s="64">
        <v>35.213709999999999</v>
      </c>
    </row>
    <row r="39" spans="1:6">
      <c r="A39" s="61">
        <v>18858</v>
      </c>
      <c r="B39" s="63" t="s">
        <v>600</v>
      </c>
      <c r="C39" s="64" t="s">
        <v>539</v>
      </c>
      <c r="D39" s="64" t="s">
        <v>545</v>
      </c>
      <c r="E39" s="64">
        <v>32.085299900000003</v>
      </c>
      <c r="F39" s="64">
        <v>34.781767599999903</v>
      </c>
    </row>
    <row r="40" spans="1:6">
      <c r="A40" s="61">
        <v>18861</v>
      </c>
      <c r="B40" s="63" t="s">
        <v>601</v>
      </c>
      <c r="C40" s="67" t="s">
        <v>447</v>
      </c>
      <c r="D40" s="67" t="s">
        <v>618</v>
      </c>
      <c r="E40" s="67">
        <v>31.986668600000002</v>
      </c>
      <c r="F40" s="67">
        <v>34.912524400000002</v>
      </c>
    </row>
    <row r="41" spans="1:6">
      <c r="A41" s="61">
        <v>18876</v>
      </c>
      <c r="B41" s="63" t="s">
        <v>602</v>
      </c>
      <c r="C41" s="67" t="s">
        <v>711</v>
      </c>
      <c r="D41" s="67" t="s">
        <v>712</v>
      </c>
      <c r="E41" s="67">
        <v>29.557669000000001</v>
      </c>
      <c r="F41" s="67">
        <v>34.951925000000003</v>
      </c>
    </row>
    <row r="42" spans="1:6">
      <c r="A42" s="61">
        <v>18923</v>
      </c>
      <c r="B42" s="63" t="s">
        <v>604</v>
      </c>
      <c r="C42" s="64" t="s">
        <v>605</v>
      </c>
      <c r="D42" s="64" t="s">
        <v>714</v>
      </c>
      <c r="E42" s="73">
        <v>30.6035255</v>
      </c>
      <c r="F42" s="73">
        <v>-87.903604700000002</v>
      </c>
    </row>
    <row r="43" spans="1:6">
      <c r="A43" s="61">
        <v>18957</v>
      </c>
      <c r="B43" s="63" t="s">
        <v>613</v>
      </c>
      <c r="C43" s="64" t="s">
        <v>32</v>
      </c>
      <c r="D43" s="64" t="s">
        <v>346</v>
      </c>
      <c r="E43" s="64">
        <v>31.768319000000002</v>
      </c>
      <c r="F43" s="64">
        <v>35.213709999999999</v>
      </c>
    </row>
    <row r="44" spans="1:6">
      <c r="A44" s="61">
        <v>18962</v>
      </c>
      <c r="B44" s="63" t="s">
        <v>615</v>
      </c>
      <c r="C44" s="64" t="s">
        <v>616</v>
      </c>
      <c r="D44" s="64" t="s">
        <v>725</v>
      </c>
      <c r="E44" s="64">
        <v>31.931566</v>
      </c>
      <c r="F44" s="64">
        <v>34.872937999999998</v>
      </c>
    </row>
    <row r="45" spans="1:6">
      <c r="A45" s="61">
        <v>18962</v>
      </c>
      <c r="B45" s="63" t="s">
        <v>619</v>
      </c>
      <c r="C45" s="67" t="s">
        <v>726</v>
      </c>
      <c r="D45" s="67" t="s">
        <v>727</v>
      </c>
      <c r="E45" s="67">
        <v>31.522693999999898</v>
      </c>
      <c r="F45" s="67">
        <v>34.595581000000003</v>
      </c>
    </row>
    <row r="46" spans="1:6">
      <c r="A46" s="61">
        <v>18965</v>
      </c>
      <c r="B46" s="63" t="s">
        <v>623</v>
      </c>
      <c r="C46" s="64" t="s">
        <v>624</v>
      </c>
      <c r="D46" s="64" t="s">
        <v>728</v>
      </c>
      <c r="E46" s="73">
        <v>30.071952899999999</v>
      </c>
      <c r="F46" s="73">
        <v>31.3300391</v>
      </c>
    </row>
    <row r="47" spans="1:6">
      <c r="A47" s="61">
        <v>18966</v>
      </c>
      <c r="B47" s="63" t="s">
        <v>626</v>
      </c>
      <c r="C47" s="64" t="s">
        <v>627</v>
      </c>
      <c r="D47" s="64" t="s">
        <v>731</v>
      </c>
      <c r="E47" s="64">
        <v>32.499578999999997</v>
      </c>
      <c r="F47" s="64">
        <v>35.114134</v>
      </c>
    </row>
    <row r="48" spans="1:6">
      <c r="A48" s="61">
        <v>18978</v>
      </c>
      <c r="B48" s="63" t="s">
        <v>628</v>
      </c>
      <c r="C48" s="64" t="s">
        <v>32</v>
      </c>
      <c r="D48" s="64" t="s">
        <v>346</v>
      </c>
      <c r="E48" s="64">
        <v>31.768319000000002</v>
      </c>
      <c r="F48" s="64">
        <v>35.213709999999999</v>
      </c>
    </row>
    <row r="49" spans="1:6">
      <c r="A49" s="61">
        <v>18990</v>
      </c>
      <c r="B49" s="63" t="s">
        <v>629</v>
      </c>
      <c r="C49" s="64" t="s">
        <v>630</v>
      </c>
      <c r="D49" s="64" t="s">
        <v>735</v>
      </c>
      <c r="E49" s="73">
        <v>14.7654254</v>
      </c>
      <c r="F49" s="73">
        <v>121.041528</v>
      </c>
    </row>
    <row r="50" spans="1:6">
      <c r="A50" s="61">
        <v>18994</v>
      </c>
      <c r="B50" s="63" t="s">
        <v>632</v>
      </c>
      <c r="C50" s="67" t="s">
        <v>447</v>
      </c>
      <c r="D50" s="67" t="s">
        <v>618</v>
      </c>
      <c r="E50" s="67">
        <v>31.986668600000002</v>
      </c>
      <c r="F50" s="67">
        <v>34.912524400000002</v>
      </c>
    </row>
    <row r="51" spans="1:6">
      <c r="A51" s="61">
        <v>19032</v>
      </c>
      <c r="B51" s="63" t="s">
        <v>29</v>
      </c>
      <c r="C51" s="64" t="s">
        <v>32</v>
      </c>
      <c r="D51" s="64" t="s">
        <v>346</v>
      </c>
      <c r="E51" s="64">
        <v>31.768319000000002</v>
      </c>
      <c r="F51" s="64">
        <v>35.213709999999999</v>
      </c>
    </row>
    <row r="52" spans="1:6">
      <c r="A52" s="61">
        <v>19050</v>
      </c>
      <c r="B52" s="63" t="s">
        <v>635</v>
      </c>
      <c r="C52" s="64" t="s">
        <v>32</v>
      </c>
      <c r="D52" s="64" t="s">
        <v>346</v>
      </c>
      <c r="E52" s="64">
        <v>31.768319000000002</v>
      </c>
      <c r="F52" s="64">
        <v>35.213709999999999</v>
      </c>
    </row>
    <row r="53" spans="1:6">
      <c r="A53" s="61">
        <v>19177</v>
      </c>
      <c r="B53" s="63" t="s">
        <v>638</v>
      </c>
      <c r="C53" s="64" t="s">
        <v>32</v>
      </c>
      <c r="D53" s="64" t="s">
        <v>346</v>
      </c>
      <c r="E53" s="64">
        <v>31.768319000000002</v>
      </c>
      <c r="F53" s="64">
        <v>35.213709999999999</v>
      </c>
    </row>
    <row r="54" spans="1:6">
      <c r="A54" s="61">
        <v>19189</v>
      </c>
      <c r="B54" s="63" t="s">
        <v>639</v>
      </c>
      <c r="C54" s="64" t="s">
        <v>447</v>
      </c>
      <c r="D54" s="64" t="s">
        <v>618</v>
      </c>
      <c r="E54" s="64">
        <v>31.986668600000002</v>
      </c>
      <c r="F54" s="64">
        <v>34.912524400000002</v>
      </c>
    </row>
    <row r="55" spans="1:6">
      <c r="A55" s="61">
        <v>19263</v>
      </c>
      <c r="B55" s="63" t="s">
        <v>643</v>
      </c>
      <c r="C55" s="64" t="s">
        <v>32</v>
      </c>
      <c r="D55" s="64" t="s">
        <v>346</v>
      </c>
      <c r="E55" s="64">
        <v>31.768319000000002</v>
      </c>
      <c r="F55" s="64">
        <v>35.213709999999999</v>
      </c>
    </row>
    <row r="56" spans="1:6">
      <c r="A56" s="61">
        <v>19304</v>
      </c>
      <c r="B56" s="63" t="s">
        <v>645</v>
      </c>
      <c r="C56" s="64" t="s">
        <v>539</v>
      </c>
      <c r="D56" s="64" t="s">
        <v>545</v>
      </c>
      <c r="E56" s="64">
        <v>32.085299900000003</v>
      </c>
      <c r="F56" s="64">
        <v>34.781767599999903</v>
      </c>
    </row>
    <row r="57" spans="1:6">
      <c r="A57" s="61">
        <v>19316</v>
      </c>
      <c r="B57" s="63" t="s">
        <v>646</v>
      </c>
      <c r="C57" s="64" t="s">
        <v>647</v>
      </c>
      <c r="D57" s="64" t="s">
        <v>744</v>
      </c>
      <c r="E57" s="64">
        <v>32.178195000000002</v>
      </c>
      <c r="F57" s="64">
        <v>34.907609999999998</v>
      </c>
    </row>
    <row r="58" spans="1:6">
      <c r="A58" s="61">
        <v>19324</v>
      </c>
      <c r="B58" s="63" t="s">
        <v>648</v>
      </c>
      <c r="C58" s="64" t="s">
        <v>649</v>
      </c>
      <c r="D58" s="64" t="s">
        <v>745</v>
      </c>
      <c r="E58" s="64">
        <v>32.321458</v>
      </c>
      <c r="F58" s="64">
        <v>34.853195999999997</v>
      </c>
    </row>
    <row r="59" spans="1:6">
      <c r="A59" s="61">
        <v>19324</v>
      </c>
      <c r="B59" s="63" t="s">
        <v>651</v>
      </c>
      <c r="C59" s="64" t="s">
        <v>32</v>
      </c>
      <c r="D59" s="64" t="s">
        <v>346</v>
      </c>
      <c r="E59" s="64">
        <v>31.768319000000002</v>
      </c>
      <c r="F59" s="64">
        <v>35.213709999999999</v>
      </c>
    </row>
    <row r="60" spans="1:6">
      <c r="A60" s="61">
        <v>19325</v>
      </c>
      <c r="B60" s="63" t="s">
        <v>652</v>
      </c>
      <c r="C60" s="64" t="s">
        <v>32</v>
      </c>
      <c r="D60" s="64" t="s">
        <v>346</v>
      </c>
      <c r="E60" s="64">
        <v>31.768319000000002</v>
      </c>
      <c r="F60" s="64">
        <v>35.213709999999999</v>
      </c>
    </row>
    <row r="61" spans="1:6">
      <c r="A61" s="61">
        <v>19347</v>
      </c>
      <c r="B61" s="63" t="s">
        <v>653</v>
      </c>
      <c r="C61" s="64" t="s">
        <v>447</v>
      </c>
      <c r="D61" s="64" t="s">
        <v>618</v>
      </c>
      <c r="E61" s="64">
        <v>31.986668600000002</v>
      </c>
      <c r="F61" s="64">
        <v>34.912524400000002</v>
      </c>
    </row>
    <row r="62" spans="1:6">
      <c r="A62" s="61">
        <v>19350</v>
      </c>
      <c r="B62" s="63" t="s">
        <v>655</v>
      </c>
      <c r="C62" s="64" t="s">
        <v>656</v>
      </c>
      <c r="D62" s="64" t="s">
        <v>751</v>
      </c>
      <c r="E62" s="64">
        <v>31.898042799999999</v>
      </c>
      <c r="F62" s="64">
        <v>35.204271400000003</v>
      </c>
    </row>
    <row r="63" spans="1:6">
      <c r="A63" s="61">
        <v>19358</v>
      </c>
      <c r="B63" s="63" t="s">
        <v>657</v>
      </c>
      <c r="C63" s="64" t="s">
        <v>658</v>
      </c>
      <c r="D63" s="64" t="s">
        <v>754</v>
      </c>
      <c r="E63" s="64">
        <v>32.015833000000001</v>
      </c>
      <c r="F63" s="64">
        <v>34.787384000000003</v>
      </c>
    </row>
    <row r="64" spans="1:6">
      <c r="A64" s="61">
        <v>19416</v>
      </c>
      <c r="B64" s="63" t="s">
        <v>36</v>
      </c>
      <c r="C64" s="64" t="s">
        <v>38</v>
      </c>
      <c r="D64" s="64" t="s">
        <v>756</v>
      </c>
      <c r="E64" s="64">
        <v>32.128972900000001</v>
      </c>
      <c r="F64" s="64">
        <v>34.853284000000002</v>
      </c>
    </row>
    <row r="65" spans="1:6">
      <c r="A65" s="61">
        <v>19418</v>
      </c>
      <c r="B65" s="63" t="s">
        <v>41</v>
      </c>
      <c r="C65" s="64" t="s">
        <v>43</v>
      </c>
      <c r="D65" s="64" t="s">
        <v>758</v>
      </c>
      <c r="E65" s="64">
        <v>32.247720999999999</v>
      </c>
      <c r="F65" s="64">
        <v>34.935136999999997</v>
      </c>
    </row>
    <row r="66" spans="1:6">
      <c r="A66" s="61">
        <v>19504</v>
      </c>
      <c r="B66" s="63" t="s">
        <v>46</v>
      </c>
      <c r="C66" s="64" t="s">
        <v>48</v>
      </c>
      <c r="D66" s="64" t="s">
        <v>761</v>
      </c>
      <c r="E66" s="64">
        <v>31.977142000000001</v>
      </c>
      <c r="F66" s="64">
        <v>34.953834999999998</v>
      </c>
    </row>
    <row r="67" spans="1:6">
      <c r="A67" s="61">
        <v>19509</v>
      </c>
      <c r="B67" s="63" t="s">
        <v>55</v>
      </c>
      <c r="C67" s="64" t="s">
        <v>58</v>
      </c>
      <c r="D67" s="64" t="s">
        <v>763</v>
      </c>
      <c r="E67" s="64">
        <v>32.095838000000001</v>
      </c>
      <c r="F67" s="64">
        <v>34.952176999999999</v>
      </c>
    </row>
    <row r="68" spans="1:6">
      <c r="A68" s="61">
        <v>19516</v>
      </c>
      <c r="B68" s="63" t="s">
        <v>63</v>
      </c>
      <c r="C68" s="64" t="s">
        <v>32</v>
      </c>
      <c r="D68" s="64" t="s">
        <v>346</v>
      </c>
      <c r="E68" s="64">
        <v>31.768319000000002</v>
      </c>
      <c r="F68" s="64">
        <v>35.213709999999999</v>
      </c>
    </row>
    <row r="69" spans="1:6">
      <c r="A69" s="61">
        <v>19520</v>
      </c>
      <c r="B69" s="63" t="s">
        <v>65</v>
      </c>
      <c r="C69" s="64" t="s">
        <v>67</v>
      </c>
      <c r="D69" s="64" t="s">
        <v>767</v>
      </c>
      <c r="E69" s="64">
        <v>31.872478000000001</v>
      </c>
      <c r="F69" s="64">
        <v>34.943252999999999</v>
      </c>
    </row>
    <row r="70" spans="1:6">
      <c r="A70" s="61">
        <v>19521</v>
      </c>
      <c r="B70" s="63" t="s">
        <v>69</v>
      </c>
      <c r="C70" s="64" t="s">
        <v>43</v>
      </c>
      <c r="D70" s="64" t="s">
        <v>758</v>
      </c>
      <c r="E70" s="64">
        <v>32.247720999999999</v>
      </c>
      <c r="F70" s="64">
        <v>34.935136999999997</v>
      </c>
    </row>
    <row r="71" spans="1:6">
      <c r="A71" s="61">
        <v>19529</v>
      </c>
      <c r="B71" s="63" t="s">
        <v>74</v>
      </c>
      <c r="C71" s="64" t="s">
        <v>78</v>
      </c>
      <c r="D71" s="64" t="s">
        <v>769</v>
      </c>
      <c r="E71" s="64">
        <v>31.804392</v>
      </c>
      <c r="F71" s="64">
        <v>35.126876000000003</v>
      </c>
    </row>
    <row r="72" spans="1:6">
      <c r="A72" s="61">
        <v>19549</v>
      </c>
      <c r="B72" s="63" t="s">
        <v>88</v>
      </c>
      <c r="C72" s="64" t="s">
        <v>91</v>
      </c>
      <c r="D72" s="64" t="s">
        <v>772</v>
      </c>
      <c r="E72" s="64">
        <v>31.762499999999999</v>
      </c>
      <c r="F72" s="64">
        <v>35.134990999999999</v>
      </c>
    </row>
    <row r="73" spans="1:6">
      <c r="A73" s="61">
        <v>19582</v>
      </c>
      <c r="B73" s="63" t="s">
        <v>98</v>
      </c>
      <c r="C73" s="64" t="s">
        <v>101</v>
      </c>
      <c r="D73" s="64" t="s">
        <v>774</v>
      </c>
      <c r="E73" s="64">
        <v>31.803757999999998</v>
      </c>
      <c r="F73" s="64">
        <v>35.102508</v>
      </c>
    </row>
    <row r="74" spans="1:6">
      <c r="A74" s="61">
        <v>19598</v>
      </c>
      <c r="B74" s="63" t="s">
        <v>109</v>
      </c>
      <c r="C74" s="64" t="s">
        <v>111</v>
      </c>
      <c r="D74" s="64" t="s">
        <v>777</v>
      </c>
      <c r="E74" s="64">
        <v>48.881955300000001</v>
      </c>
      <c r="F74" s="64">
        <v>17.278103000000002</v>
      </c>
    </row>
    <row r="75" spans="1:6">
      <c r="A75" s="61">
        <v>19611</v>
      </c>
      <c r="B75" s="63" t="s">
        <v>117</v>
      </c>
      <c r="C75" s="64" t="s">
        <v>119</v>
      </c>
      <c r="D75" s="64" t="s">
        <v>780</v>
      </c>
      <c r="E75" s="64">
        <v>31.951014000000001</v>
      </c>
      <c r="F75" s="64">
        <v>34.888075000000001</v>
      </c>
    </row>
    <row r="76" spans="1:6">
      <c r="A76" s="61">
        <v>19644</v>
      </c>
      <c r="B76" s="63" t="s">
        <v>139</v>
      </c>
      <c r="C76" s="64" t="s">
        <v>141</v>
      </c>
      <c r="D76" s="64" t="s">
        <v>782</v>
      </c>
      <c r="E76" s="64">
        <v>32.030338999999998</v>
      </c>
      <c r="F76" s="64">
        <v>34.8870985</v>
      </c>
    </row>
    <row r="77" spans="1:6">
      <c r="A77" s="61">
        <v>19709</v>
      </c>
      <c r="B77" s="63" t="s">
        <v>143</v>
      </c>
      <c r="C77" s="64" t="s">
        <v>38</v>
      </c>
      <c r="D77" s="64" t="s">
        <v>756</v>
      </c>
      <c r="E77" s="64">
        <v>32.128972900000001</v>
      </c>
      <c r="F77" s="64">
        <v>34.853284000000002</v>
      </c>
    </row>
    <row r="78" spans="1:6">
      <c r="A78" s="61">
        <v>19727</v>
      </c>
      <c r="B78" s="63" t="s">
        <v>146</v>
      </c>
      <c r="C78" s="64" t="s">
        <v>148</v>
      </c>
      <c r="D78" s="64" t="s">
        <v>785</v>
      </c>
      <c r="E78" s="64">
        <v>31.794129000000002</v>
      </c>
      <c r="F78" s="64">
        <v>34.631909</v>
      </c>
    </row>
    <row r="79" spans="1:6">
      <c r="A79" s="61">
        <v>19736</v>
      </c>
      <c r="B79" s="63" t="s">
        <v>701</v>
      </c>
      <c r="C79" s="64" t="s">
        <v>703</v>
      </c>
      <c r="D79" s="64" t="s">
        <v>786</v>
      </c>
      <c r="E79" s="73">
        <v>38.873021999999999</v>
      </c>
      <c r="F79" s="73">
        <v>-76.997738400000003</v>
      </c>
    </row>
    <row r="80" spans="1:6">
      <c r="A80" s="61">
        <v>19751</v>
      </c>
      <c r="B80" s="63" t="s">
        <v>708</v>
      </c>
      <c r="C80" s="64" t="s">
        <v>709</v>
      </c>
      <c r="D80" s="64" t="s">
        <v>791</v>
      </c>
      <c r="E80" s="64">
        <v>32.049357000000001</v>
      </c>
      <c r="F80" s="64">
        <v>34.758355000000002</v>
      </c>
    </row>
    <row r="81" spans="1:6">
      <c r="A81" s="61">
        <v>19759</v>
      </c>
      <c r="B81" s="63" t="s">
        <v>150</v>
      </c>
      <c r="C81" s="64" t="s">
        <v>152</v>
      </c>
      <c r="D81" s="64" t="s">
        <v>794</v>
      </c>
      <c r="E81" s="64">
        <v>29.562427499999998</v>
      </c>
      <c r="F81" s="64">
        <v>34.944801200000001</v>
      </c>
    </row>
    <row r="82" spans="1:6">
      <c r="A82" s="61">
        <v>19760</v>
      </c>
      <c r="B82" s="63" t="s">
        <v>713</v>
      </c>
      <c r="C82" s="64" t="s">
        <v>542</v>
      </c>
      <c r="D82" s="64" t="s">
        <v>798</v>
      </c>
      <c r="E82" s="64">
        <v>31.7403163</v>
      </c>
      <c r="F82" s="64">
        <v>35.217882500000002</v>
      </c>
    </row>
    <row r="83" spans="1:6">
      <c r="A83" s="61">
        <v>19762</v>
      </c>
      <c r="B83" s="63" t="s">
        <v>715</v>
      </c>
      <c r="C83" s="64" t="s">
        <v>716</v>
      </c>
      <c r="D83" s="64" t="s">
        <v>803</v>
      </c>
      <c r="E83" s="64">
        <v>-27.986423200000001</v>
      </c>
      <c r="F83" s="64">
        <v>153.38071859999999</v>
      </c>
    </row>
    <row r="84" spans="1:6">
      <c r="A84" s="61">
        <v>19770</v>
      </c>
      <c r="B84" s="63" t="s">
        <v>717</v>
      </c>
      <c r="C84" s="64" t="s">
        <v>709</v>
      </c>
      <c r="D84" s="64" t="s">
        <v>791</v>
      </c>
      <c r="E84" s="64">
        <v>32.049357000000001</v>
      </c>
      <c r="F84" s="64">
        <v>34.758355000000002</v>
      </c>
    </row>
    <row r="85" spans="1:6">
      <c r="A85" s="61">
        <v>19790</v>
      </c>
      <c r="B85" s="63" t="s">
        <v>720</v>
      </c>
      <c r="C85" s="64" t="s">
        <v>721</v>
      </c>
      <c r="D85" s="64" t="s">
        <v>806</v>
      </c>
      <c r="E85" s="64">
        <v>32.290630399999998</v>
      </c>
      <c r="F85" s="64">
        <v>34.998832</v>
      </c>
    </row>
    <row r="86" spans="1:6">
      <c r="A86" s="61">
        <v>19800</v>
      </c>
      <c r="B86" s="63" t="s">
        <v>157</v>
      </c>
      <c r="C86" s="67" t="s">
        <v>810</v>
      </c>
      <c r="D86" s="67" t="s">
        <v>811</v>
      </c>
      <c r="E86" s="67">
        <v>46.222479900000003</v>
      </c>
      <c r="F86" s="67">
        <v>7.3289966999999896</v>
      </c>
    </row>
    <row r="87" spans="1:6">
      <c r="A87" s="61">
        <v>19802</v>
      </c>
      <c r="B87" s="63" t="s">
        <v>738</v>
      </c>
      <c r="C87" s="67" t="s">
        <v>447</v>
      </c>
      <c r="D87" s="67" t="s">
        <v>618</v>
      </c>
      <c r="E87" s="67">
        <v>31.986668600000002</v>
      </c>
      <c r="F87" s="67">
        <v>34.912524400000002</v>
      </c>
    </row>
    <row r="88" spans="1:6">
      <c r="A88" s="61">
        <v>19804</v>
      </c>
      <c r="B88" s="63" t="s">
        <v>740</v>
      </c>
      <c r="C88" s="64" t="s">
        <v>539</v>
      </c>
      <c r="D88" s="64" t="s">
        <v>545</v>
      </c>
      <c r="E88" s="64">
        <v>32.085299900000003</v>
      </c>
      <c r="F88" s="64">
        <v>34.781767599999903</v>
      </c>
    </row>
    <row r="89" spans="1:6">
      <c r="A89" s="61">
        <v>19808</v>
      </c>
      <c r="B89" s="63" t="s">
        <v>174</v>
      </c>
      <c r="C89" s="67" t="s">
        <v>815</v>
      </c>
      <c r="D89" s="67" t="s">
        <v>816</v>
      </c>
      <c r="E89" s="67">
        <v>31.522561</v>
      </c>
      <c r="F89" s="67">
        <v>34.453592999999998</v>
      </c>
    </row>
    <row r="90" spans="1:6">
      <c r="A90" s="61">
        <v>19809</v>
      </c>
      <c r="B90" s="63" t="s">
        <v>746</v>
      </c>
      <c r="C90" s="64" t="s">
        <v>747</v>
      </c>
      <c r="D90" s="64" t="s">
        <v>817</v>
      </c>
      <c r="E90" s="64">
        <v>33.098984999999999</v>
      </c>
      <c r="F90" s="64">
        <v>35.288522</v>
      </c>
    </row>
    <row r="91" spans="1:6">
      <c r="A91" s="61">
        <v>19810</v>
      </c>
      <c r="B91" s="63" t="s">
        <v>192</v>
      </c>
      <c r="C91" s="67" t="s">
        <v>195</v>
      </c>
      <c r="D91" s="67" t="s">
        <v>820</v>
      </c>
      <c r="E91" s="67">
        <v>31.774262</v>
      </c>
      <c r="F91" s="67">
        <v>35.048171000000004</v>
      </c>
    </row>
    <row r="92" spans="1:6">
      <c r="A92" s="61">
        <v>19828</v>
      </c>
      <c r="B92" s="63" t="s">
        <v>757</v>
      </c>
      <c r="C92" s="64" t="s">
        <v>575</v>
      </c>
      <c r="D92" s="64" t="s">
        <v>686</v>
      </c>
      <c r="E92" s="64">
        <v>46.1865606</v>
      </c>
      <c r="F92" s="64">
        <v>21.3122677</v>
      </c>
    </row>
    <row r="93" spans="1:6">
      <c r="A93" s="61">
        <v>19849</v>
      </c>
      <c r="B93" s="63" t="s">
        <v>759</v>
      </c>
      <c r="C93" s="64" t="s">
        <v>760</v>
      </c>
      <c r="D93" s="64" t="s">
        <v>824</v>
      </c>
      <c r="E93" s="64">
        <v>33.085918999999997</v>
      </c>
      <c r="F93" s="64">
        <v>35.315626999999999</v>
      </c>
    </row>
    <row r="94" spans="1:6">
      <c r="A94" s="61">
        <v>19851</v>
      </c>
      <c r="B94" s="63" t="s">
        <v>762</v>
      </c>
      <c r="C94" s="64" t="s">
        <v>32</v>
      </c>
      <c r="D94" s="64" t="s">
        <v>346</v>
      </c>
      <c r="E94" s="64">
        <v>31.768319000000002</v>
      </c>
      <c r="F94" s="64">
        <v>35.213709999999999</v>
      </c>
    </row>
    <row r="95" spans="1:6">
      <c r="A95" s="61">
        <v>19853</v>
      </c>
      <c r="B95" s="63" t="s">
        <v>219</v>
      </c>
      <c r="C95" s="64" t="s">
        <v>210</v>
      </c>
      <c r="D95" s="64" t="s">
        <v>829</v>
      </c>
      <c r="E95" s="64">
        <v>31.707272</v>
      </c>
      <c r="F95" s="64">
        <v>35.104193000000002</v>
      </c>
    </row>
    <row r="96" spans="1:6">
      <c r="A96" s="61">
        <v>19854</v>
      </c>
      <c r="B96" s="63" t="s">
        <v>765</v>
      </c>
      <c r="C96" s="64" t="s">
        <v>766</v>
      </c>
      <c r="D96" s="64" t="s">
        <v>831</v>
      </c>
      <c r="E96" s="73">
        <v>30.829561999999999</v>
      </c>
      <c r="F96" s="73">
        <v>35.038816400000002</v>
      </c>
    </row>
    <row r="97" spans="1:6">
      <c r="A97" s="61">
        <v>19881</v>
      </c>
      <c r="B97" s="63" t="s">
        <v>768</v>
      </c>
      <c r="C97" s="67" t="s">
        <v>838</v>
      </c>
      <c r="D97" s="67" t="s">
        <v>839</v>
      </c>
      <c r="E97" s="67">
        <v>41.735088400000002</v>
      </c>
      <c r="F97" s="67">
        <v>-75.1396151</v>
      </c>
    </row>
    <row r="98" spans="1:6">
      <c r="A98" s="61">
        <v>19894</v>
      </c>
      <c r="B98" s="63" t="s">
        <v>773</v>
      </c>
      <c r="C98" s="64" t="s">
        <v>119</v>
      </c>
      <c r="D98" s="64" t="s">
        <v>780</v>
      </c>
      <c r="E98" s="64">
        <v>31.951014000000001</v>
      </c>
      <c r="F98" s="64">
        <v>34.888075000000001</v>
      </c>
    </row>
    <row r="99" spans="1:6">
      <c r="A99" s="61">
        <v>19894</v>
      </c>
      <c r="B99" s="63" t="s">
        <v>776</v>
      </c>
      <c r="C99" s="64" t="s">
        <v>539</v>
      </c>
      <c r="D99" s="64" t="s">
        <v>545</v>
      </c>
      <c r="E99" s="64">
        <v>32.085299900000003</v>
      </c>
      <c r="F99" s="64">
        <v>34.781767599999903</v>
      </c>
    </row>
    <row r="100" spans="1:6">
      <c r="A100" s="61">
        <v>19899</v>
      </c>
      <c r="B100" s="63" t="s">
        <v>779</v>
      </c>
      <c r="C100" s="67" t="s">
        <v>16</v>
      </c>
      <c r="D100" s="67" t="s">
        <v>843</v>
      </c>
      <c r="E100" s="67">
        <v>34.802074999999903</v>
      </c>
      <c r="F100" s="67">
        <v>38.996814999999998</v>
      </c>
    </row>
    <row r="101" spans="1:6">
      <c r="A101" s="61">
        <v>19901</v>
      </c>
      <c r="B101" s="63" t="s">
        <v>225</v>
      </c>
      <c r="C101" s="64" t="s">
        <v>215</v>
      </c>
      <c r="D101" s="64" t="s">
        <v>845</v>
      </c>
      <c r="E101" s="64">
        <v>32.184781000000001</v>
      </c>
      <c r="F101" s="64">
        <v>34.871326000000003</v>
      </c>
    </row>
    <row r="102" spans="1:6">
      <c r="A102" s="61">
        <v>19902</v>
      </c>
      <c r="B102" s="63" t="s">
        <v>784</v>
      </c>
      <c r="C102" s="67" t="s">
        <v>848</v>
      </c>
      <c r="D102" s="67" t="s">
        <v>850</v>
      </c>
      <c r="E102" s="67">
        <v>32.085299900000003</v>
      </c>
      <c r="F102" s="67">
        <v>34.781767599999903</v>
      </c>
    </row>
    <row r="103" spans="1:6">
      <c r="A103" s="61">
        <v>19905</v>
      </c>
      <c r="B103" s="63" t="s">
        <v>787</v>
      </c>
      <c r="C103" s="64" t="s">
        <v>788</v>
      </c>
      <c r="D103" s="64" t="s">
        <v>853</v>
      </c>
      <c r="E103" s="73">
        <v>37.6096</v>
      </c>
      <c r="F103" s="73">
        <v>-80.587989999999905</v>
      </c>
    </row>
    <row r="104" spans="1:6">
      <c r="A104" s="61">
        <v>19905</v>
      </c>
      <c r="B104" s="63" t="s">
        <v>792</v>
      </c>
      <c r="C104" s="64" t="s">
        <v>793</v>
      </c>
      <c r="D104" s="64" t="s">
        <v>855</v>
      </c>
      <c r="E104" s="64">
        <v>33.242077999999999</v>
      </c>
      <c r="F104" s="64">
        <v>35.574142000000002</v>
      </c>
    </row>
    <row r="105" spans="1:6">
      <c r="A105" s="61">
        <v>19906</v>
      </c>
      <c r="B105" s="63" t="s">
        <v>795</v>
      </c>
      <c r="C105" s="64" t="s">
        <v>796</v>
      </c>
      <c r="D105" s="64" t="s">
        <v>857</v>
      </c>
      <c r="E105" s="64">
        <v>32.128972900000001</v>
      </c>
      <c r="F105" s="64">
        <v>34.853284000000002</v>
      </c>
    </row>
    <row r="106" spans="1:6">
      <c r="A106" s="61">
        <v>19906</v>
      </c>
      <c r="B106" s="63" t="s">
        <v>799</v>
      </c>
      <c r="C106" s="64" t="s">
        <v>800</v>
      </c>
      <c r="D106" s="64" t="s">
        <v>859</v>
      </c>
      <c r="E106" s="64">
        <v>33.087634000000001</v>
      </c>
      <c r="F106" s="64">
        <v>35.173430000000003</v>
      </c>
    </row>
    <row r="107" spans="1:6">
      <c r="A107" s="61">
        <v>19906</v>
      </c>
      <c r="B107" s="63" t="s">
        <v>234</v>
      </c>
      <c r="C107" s="64" t="s">
        <v>32</v>
      </c>
      <c r="D107" s="64" t="s">
        <v>346</v>
      </c>
      <c r="E107" s="64">
        <v>31.768319000000002</v>
      </c>
      <c r="F107" s="64">
        <v>35.213709999999999</v>
      </c>
    </row>
    <row r="108" spans="1:6">
      <c r="A108" s="61">
        <v>19912</v>
      </c>
      <c r="B108" s="63" t="s">
        <v>804</v>
      </c>
      <c r="C108" s="64" t="s">
        <v>32</v>
      </c>
      <c r="D108" s="64" t="s">
        <v>346</v>
      </c>
      <c r="E108" s="64">
        <v>31.768319000000002</v>
      </c>
      <c r="F108" s="64">
        <v>35.213709999999999</v>
      </c>
    </row>
    <row r="109" spans="1:6">
      <c r="A109" s="61">
        <v>19918</v>
      </c>
      <c r="B109" s="63" t="s">
        <v>805</v>
      </c>
      <c r="C109" s="64" t="s">
        <v>32</v>
      </c>
      <c r="D109" s="64" t="s">
        <v>346</v>
      </c>
      <c r="E109" s="64">
        <v>31.768319000000002</v>
      </c>
      <c r="F109" s="64">
        <v>35.213709999999999</v>
      </c>
    </row>
    <row r="110" spans="1:6">
      <c r="A110" s="61">
        <v>19926</v>
      </c>
      <c r="B110" s="63" t="s">
        <v>807</v>
      </c>
      <c r="C110" s="64" t="s">
        <v>808</v>
      </c>
      <c r="D110" s="64" t="s">
        <v>862</v>
      </c>
      <c r="E110" s="73">
        <v>30.798611099999999</v>
      </c>
      <c r="F110" s="73">
        <v>35.2461111</v>
      </c>
    </row>
    <row r="111" spans="1:6">
      <c r="A111" s="61">
        <v>19929</v>
      </c>
      <c r="B111" s="63" t="s">
        <v>812</v>
      </c>
      <c r="C111" s="67" t="s">
        <v>838</v>
      </c>
      <c r="D111" s="67" t="s">
        <v>839</v>
      </c>
      <c r="E111" s="67">
        <v>41.735088400000002</v>
      </c>
      <c r="F111" s="67">
        <v>-75.1396151</v>
      </c>
    </row>
    <row r="112" spans="1:6">
      <c r="A112" s="61">
        <v>19931</v>
      </c>
      <c r="B112" s="63" t="s">
        <v>818</v>
      </c>
      <c r="C112" s="64" t="s">
        <v>819</v>
      </c>
      <c r="D112" s="64" t="s">
        <v>864</v>
      </c>
      <c r="E112" s="64">
        <v>33.015585399999999</v>
      </c>
      <c r="F112" s="64">
        <v>35.784354</v>
      </c>
    </row>
    <row r="113" spans="1:6">
      <c r="A113" s="61">
        <v>19940</v>
      </c>
      <c r="B113" s="63" t="s">
        <v>821</v>
      </c>
      <c r="C113" s="64" t="s">
        <v>822</v>
      </c>
      <c r="D113" s="64" t="s">
        <v>867</v>
      </c>
      <c r="E113" s="64">
        <v>33.058979000000001</v>
      </c>
      <c r="F113" s="64">
        <v>35.433235000000003</v>
      </c>
    </row>
    <row r="114" spans="1:6">
      <c r="A114" s="61">
        <v>19945</v>
      </c>
      <c r="B114" s="63" t="s">
        <v>823</v>
      </c>
      <c r="C114" s="64" t="s">
        <v>32</v>
      </c>
      <c r="D114" s="64" t="s">
        <v>346</v>
      </c>
      <c r="E114" s="64">
        <v>31.768319000000002</v>
      </c>
      <c r="F114" s="64">
        <v>35.213709999999999</v>
      </c>
    </row>
    <row r="115" spans="1:6">
      <c r="A115" s="61">
        <v>19948</v>
      </c>
      <c r="B115" s="63" t="s">
        <v>825</v>
      </c>
      <c r="C115" s="85"/>
      <c r="D115" s="86" t="s">
        <v>582</v>
      </c>
      <c r="E115" s="73">
        <v>39.912941199999999</v>
      </c>
      <c r="F115" s="73">
        <v>-104.79560549999999</v>
      </c>
    </row>
    <row r="116" spans="1:6">
      <c r="A116" s="61">
        <v>19963</v>
      </c>
      <c r="B116" s="63" t="s">
        <v>828</v>
      </c>
      <c r="C116" s="64" t="s">
        <v>838</v>
      </c>
      <c r="D116" s="64" t="s">
        <v>839</v>
      </c>
      <c r="E116" s="64">
        <v>41.735088400000002</v>
      </c>
      <c r="F116" s="64">
        <v>-75.1396151</v>
      </c>
    </row>
    <row r="117" spans="1:6">
      <c r="A117" s="61">
        <v>19965</v>
      </c>
      <c r="B117" s="63" t="s">
        <v>832</v>
      </c>
      <c r="C117" s="64" t="s">
        <v>32</v>
      </c>
      <c r="D117" s="64" t="s">
        <v>346</v>
      </c>
      <c r="E117" s="64">
        <v>31.768319000000002</v>
      </c>
      <c r="F117" s="64">
        <v>35.213709999999999</v>
      </c>
    </row>
    <row r="118" spans="1:6">
      <c r="A118" s="61">
        <v>19969</v>
      </c>
      <c r="B118" s="63" t="s">
        <v>250</v>
      </c>
      <c r="C118" s="67" t="s">
        <v>253</v>
      </c>
      <c r="D118" s="67" t="s">
        <v>879</v>
      </c>
      <c r="E118" s="73">
        <v>31.870235000000001</v>
      </c>
      <c r="F118" s="73">
        <v>34.984304000000002</v>
      </c>
    </row>
    <row r="119" spans="1:6">
      <c r="A119" s="61">
        <v>19972</v>
      </c>
      <c r="B119" s="63" t="s">
        <v>837</v>
      </c>
      <c r="C119" s="64" t="s">
        <v>447</v>
      </c>
      <c r="D119" s="64" t="s">
        <v>618</v>
      </c>
      <c r="E119" s="64">
        <v>31.986668600000002</v>
      </c>
      <c r="F119" s="64">
        <v>34.912524400000002</v>
      </c>
    </row>
    <row r="120" spans="1:6">
      <c r="A120" s="61">
        <v>19972</v>
      </c>
      <c r="B120" s="63" t="s">
        <v>840</v>
      </c>
      <c r="C120" s="64" t="s">
        <v>841</v>
      </c>
      <c r="D120" s="64" t="s">
        <v>885</v>
      </c>
      <c r="E120" s="73">
        <v>30.489355499999999</v>
      </c>
      <c r="F120" s="73">
        <v>-99.772010899999998</v>
      </c>
    </row>
    <row r="121" spans="1:6">
      <c r="A121" s="61">
        <v>19988</v>
      </c>
      <c r="B121" s="63" t="s">
        <v>842</v>
      </c>
      <c r="C121" s="64" t="s">
        <v>447</v>
      </c>
      <c r="D121" s="64" t="s">
        <v>618</v>
      </c>
      <c r="E121" s="64">
        <v>31.986668600000002</v>
      </c>
      <c r="F121" s="64">
        <v>34.912524400000002</v>
      </c>
    </row>
    <row r="122" spans="1:6">
      <c r="A122" s="61">
        <v>19988</v>
      </c>
      <c r="B122" s="63" t="s">
        <v>846</v>
      </c>
      <c r="C122" s="64" t="s">
        <v>815</v>
      </c>
      <c r="D122" s="64" t="s">
        <v>816</v>
      </c>
      <c r="E122" s="64">
        <v>31.522561</v>
      </c>
      <c r="F122" s="64">
        <v>34.453592999999998</v>
      </c>
    </row>
    <row r="123" spans="1:6">
      <c r="A123" s="61">
        <v>19992</v>
      </c>
      <c r="B123" s="63" t="s">
        <v>852</v>
      </c>
      <c r="C123" s="64" t="s">
        <v>32</v>
      </c>
      <c r="D123" s="64" t="s">
        <v>346</v>
      </c>
      <c r="E123" s="64">
        <v>31.768319000000002</v>
      </c>
      <c r="F123" s="64">
        <v>35.213709999999999</v>
      </c>
    </row>
    <row r="124" spans="1:6">
      <c r="A124" s="61">
        <v>19992</v>
      </c>
      <c r="B124" s="63" t="s">
        <v>854</v>
      </c>
      <c r="C124" s="64" t="s">
        <v>447</v>
      </c>
      <c r="D124" s="64" t="s">
        <v>618</v>
      </c>
      <c r="E124" s="64">
        <v>31.986668600000002</v>
      </c>
      <c r="F124" s="64">
        <v>34.912524400000002</v>
      </c>
    </row>
    <row r="125" spans="1:6">
      <c r="A125" s="61">
        <v>19993</v>
      </c>
      <c r="B125" s="63" t="s">
        <v>260</v>
      </c>
      <c r="C125" s="67" t="s">
        <v>263</v>
      </c>
      <c r="D125" s="67" t="s">
        <v>899</v>
      </c>
      <c r="E125" s="67">
        <v>32.596811000000002</v>
      </c>
      <c r="F125" s="67">
        <v>35.100445000000001</v>
      </c>
    </row>
    <row r="126" spans="1:6">
      <c r="A126" s="61">
        <v>19997</v>
      </c>
      <c r="B126" s="63" t="s">
        <v>863</v>
      </c>
      <c r="C126" s="64" t="s">
        <v>32</v>
      </c>
      <c r="D126" s="64" t="s">
        <v>346</v>
      </c>
      <c r="E126" s="64">
        <v>31.768319000000002</v>
      </c>
      <c r="F126" s="64">
        <v>35.213709999999999</v>
      </c>
    </row>
    <row r="127" spans="1:6">
      <c r="A127" s="61">
        <v>20000</v>
      </c>
      <c r="B127" s="63" t="s">
        <v>866</v>
      </c>
      <c r="C127" s="64" t="s">
        <v>32</v>
      </c>
      <c r="D127" s="64" t="s">
        <v>346</v>
      </c>
      <c r="E127" s="64">
        <v>31.768319000000002</v>
      </c>
      <c r="F127" s="64">
        <v>35.213709999999999</v>
      </c>
    </row>
    <row r="128" spans="1:6">
      <c r="A128" s="61">
        <v>20002</v>
      </c>
      <c r="B128" s="63" t="s">
        <v>868</v>
      </c>
      <c r="C128" s="64" t="s">
        <v>32</v>
      </c>
      <c r="D128" s="64" t="s">
        <v>346</v>
      </c>
      <c r="E128" s="64">
        <v>31.768319000000002</v>
      </c>
      <c r="F128" s="64">
        <v>35.213709999999999</v>
      </c>
    </row>
    <row r="129" spans="1:6">
      <c r="A129" s="61">
        <v>20023</v>
      </c>
      <c r="B129" s="63" t="s">
        <v>870</v>
      </c>
      <c r="C129" s="64" t="s">
        <v>447</v>
      </c>
      <c r="D129" s="64" t="s">
        <v>618</v>
      </c>
      <c r="E129" s="64">
        <v>31.986668600000002</v>
      </c>
      <c r="F129" s="64">
        <v>34.912524400000002</v>
      </c>
    </row>
    <row r="130" spans="1:6">
      <c r="A130" s="61">
        <v>20030</v>
      </c>
      <c r="B130" s="63" t="s">
        <v>871</v>
      </c>
      <c r="C130" s="64" t="s">
        <v>447</v>
      </c>
      <c r="D130" s="64" t="s">
        <v>618</v>
      </c>
      <c r="E130" s="64">
        <v>31.986668600000002</v>
      </c>
      <c r="F130" s="64">
        <v>34.912524400000002</v>
      </c>
    </row>
    <row r="131" spans="1:6">
      <c r="A131" s="61">
        <v>20033</v>
      </c>
      <c r="B131" s="63" t="s">
        <v>872</v>
      </c>
      <c r="C131" s="64" t="s">
        <v>873</v>
      </c>
      <c r="D131" s="64" t="s">
        <v>903</v>
      </c>
      <c r="E131" s="73">
        <v>47.950736900000003</v>
      </c>
      <c r="F131" s="73">
        <v>-90.800822599999904</v>
      </c>
    </row>
    <row r="132" spans="1:6">
      <c r="A132" s="61">
        <v>20051</v>
      </c>
      <c r="B132" s="63" t="s">
        <v>874</v>
      </c>
      <c r="C132" s="64" t="s">
        <v>447</v>
      </c>
      <c r="D132" s="64" t="s">
        <v>618</v>
      </c>
      <c r="E132" s="64">
        <v>31.986668600000002</v>
      </c>
      <c r="F132" s="64">
        <v>34.912524400000002</v>
      </c>
    </row>
    <row r="133" spans="1:6">
      <c r="A133" s="61">
        <v>20058</v>
      </c>
      <c r="B133" s="63" t="s">
        <v>877</v>
      </c>
      <c r="C133" s="64" t="s">
        <v>878</v>
      </c>
      <c r="D133" s="64" t="s">
        <v>908</v>
      </c>
      <c r="E133" s="73">
        <v>31.650404300000002</v>
      </c>
      <c r="F133" s="73">
        <v>34.585953600000003</v>
      </c>
    </row>
    <row r="134" spans="1:6">
      <c r="A134" s="61">
        <v>20058</v>
      </c>
      <c r="B134" s="63" t="s">
        <v>880</v>
      </c>
      <c r="C134" s="64" t="s">
        <v>881</v>
      </c>
      <c r="D134" s="64" t="s">
        <v>911</v>
      </c>
      <c r="E134" s="64">
        <v>33.208781999999999</v>
      </c>
      <c r="F134" s="64">
        <v>35.606515000000002</v>
      </c>
    </row>
    <row r="135" spans="1:6">
      <c r="A135" s="61">
        <v>20058</v>
      </c>
      <c r="B135" s="63" t="s">
        <v>882</v>
      </c>
      <c r="C135" s="64" t="s">
        <v>726</v>
      </c>
      <c r="D135" s="64" t="s">
        <v>727</v>
      </c>
      <c r="E135" s="64">
        <v>31.522693999999898</v>
      </c>
      <c r="F135" s="64">
        <v>34.595581000000003</v>
      </c>
    </row>
    <row r="136" spans="1:6">
      <c r="A136" s="61">
        <v>20058</v>
      </c>
      <c r="B136" s="63" t="s">
        <v>883</v>
      </c>
      <c r="C136" s="64" t="s">
        <v>884</v>
      </c>
      <c r="D136" s="64" t="s">
        <v>912</v>
      </c>
      <c r="E136" s="73">
        <v>44.638672300000003</v>
      </c>
      <c r="F136" s="73">
        <v>-72.724214199999906</v>
      </c>
    </row>
    <row r="137" spans="1:6">
      <c r="A137" s="61">
        <v>20058</v>
      </c>
      <c r="B137" s="63" t="s">
        <v>888</v>
      </c>
      <c r="C137" s="64" t="s">
        <v>889</v>
      </c>
      <c r="D137" s="64" t="s">
        <v>913</v>
      </c>
      <c r="E137" s="64">
        <v>32.630552199999997</v>
      </c>
      <c r="F137" s="64">
        <v>51.299747199999999</v>
      </c>
    </row>
    <row r="138" spans="1:6">
      <c r="A138" s="61">
        <v>20072</v>
      </c>
      <c r="B138" s="63" t="s">
        <v>890</v>
      </c>
      <c r="C138" s="64" t="s">
        <v>891</v>
      </c>
      <c r="D138" s="64" t="s">
        <v>914</v>
      </c>
      <c r="E138" s="64">
        <v>31.877958</v>
      </c>
      <c r="F138" s="64">
        <v>34.739449</v>
      </c>
    </row>
    <row r="139" spans="1:6">
      <c r="A139" s="61">
        <v>20092</v>
      </c>
      <c r="B139" s="63" t="s">
        <v>892</v>
      </c>
      <c r="C139" s="64" t="s">
        <v>32</v>
      </c>
      <c r="D139" s="64" t="s">
        <v>346</v>
      </c>
      <c r="E139" s="64">
        <v>31.768319000000002</v>
      </c>
      <c r="F139" s="64">
        <v>35.213709999999999</v>
      </c>
    </row>
    <row r="140" spans="1:6">
      <c r="A140" s="61">
        <v>20103</v>
      </c>
      <c r="B140" s="63" t="s">
        <v>894</v>
      </c>
      <c r="C140" s="64" t="s">
        <v>895</v>
      </c>
      <c r="D140" s="64" t="s">
        <v>917</v>
      </c>
      <c r="E140" s="64">
        <v>50.937531</v>
      </c>
      <c r="F140" s="64">
        <v>6.9602785999999996</v>
      </c>
    </row>
    <row r="141" spans="1:6">
      <c r="A141" s="61">
        <v>20104</v>
      </c>
      <c r="B141" s="63" t="s">
        <v>896</v>
      </c>
      <c r="C141" s="64" t="s">
        <v>897</v>
      </c>
      <c r="D141" s="64" t="s">
        <v>922</v>
      </c>
      <c r="E141" s="64">
        <v>31.335729999999899</v>
      </c>
      <c r="F141" s="64">
        <v>34.394086999999999</v>
      </c>
    </row>
    <row r="142" spans="1:6">
      <c r="A142" s="61">
        <v>20107</v>
      </c>
      <c r="B142" s="63" t="s">
        <v>902</v>
      </c>
      <c r="C142" s="64" t="s">
        <v>32</v>
      </c>
      <c r="D142" s="64" t="s">
        <v>346</v>
      </c>
      <c r="E142" s="64">
        <v>31.768319000000002</v>
      </c>
      <c r="F142" s="64">
        <v>35.213709999999999</v>
      </c>
    </row>
    <row r="143" spans="1:6">
      <c r="A143" s="61">
        <v>20107</v>
      </c>
      <c r="B143" s="63" t="s">
        <v>278</v>
      </c>
      <c r="C143" s="67" t="s">
        <v>923</v>
      </c>
      <c r="D143" s="67" t="s">
        <v>924</v>
      </c>
      <c r="E143" s="67">
        <v>31.687183999999998</v>
      </c>
      <c r="F143" s="67">
        <v>34.982523</v>
      </c>
    </row>
    <row r="144" spans="1:6">
      <c r="A144" s="61">
        <v>20114</v>
      </c>
      <c r="B144" s="63" t="s">
        <v>907</v>
      </c>
      <c r="C144" s="85"/>
      <c r="D144" s="86" t="s">
        <v>582</v>
      </c>
      <c r="E144" s="73">
        <v>39.912941199999999</v>
      </c>
      <c r="F144" s="73">
        <v>-104.79560549999999</v>
      </c>
    </row>
    <row r="145" spans="1:6">
      <c r="A145" s="61">
        <v>20119</v>
      </c>
      <c r="B145" s="63" t="s">
        <v>910</v>
      </c>
      <c r="C145" s="64" t="s">
        <v>900</v>
      </c>
      <c r="D145" s="64" t="s">
        <v>930</v>
      </c>
      <c r="E145" s="90"/>
      <c r="F145" s="90"/>
    </row>
    <row r="146" spans="1:6">
      <c r="A146" s="61">
        <v>20121</v>
      </c>
      <c r="B146" s="63" t="s">
        <v>915</v>
      </c>
      <c r="C146" s="64" t="s">
        <v>916</v>
      </c>
      <c r="D146" s="64" t="s">
        <v>941</v>
      </c>
      <c r="E146" s="64">
        <v>31.938992200000001</v>
      </c>
      <c r="F146" s="64">
        <v>34.834816400000001</v>
      </c>
    </row>
    <row r="147" spans="1:6">
      <c r="A147" s="61">
        <v>20122</v>
      </c>
      <c r="B147" s="63" t="s">
        <v>918</v>
      </c>
      <c r="C147" s="64" t="s">
        <v>919</v>
      </c>
      <c r="D147" s="64" t="s">
        <v>947</v>
      </c>
      <c r="E147" s="64">
        <v>33.207932999999997</v>
      </c>
      <c r="F147" s="64">
        <v>35.570245999999997</v>
      </c>
    </row>
    <row r="148" spans="1:6">
      <c r="A148" s="61">
        <v>20122</v>
      </c>
      <c r="B148" s="63" t="s">
        <v>920</v>
      </c>
      <c r="C148" s="64" t="s">
        <v>949</v>
      </c>
      <c r="D148" s="64" t="s">
        <v>951</v>
      </c>
      <c r="E148" s="64">
        <v>31.472679999999901</v>
      </c>
      <c r="F148" s="64">
        <v>34.497675000000001</v>
      </c>
    </row>
    <row r="149" spans="1:6">
      <c r="A149" s="61">
        <v>20124</v>
      </c>
      <c r="B149" s="63" t="s">
        <v>925</v>
      </c>
      <c r="C149" s="64" t="s">
        <v>926</v>
      </c>
      <c r="D149" s="64" t="s">
        <v>954</v>
      </c>
      <c r="E149" s="73">
        <v>52.054356400000003</v>
      </c>
      <c r="F149" s="73">
        <v>31.5858952</v>
      </c>
    </row>
    <row r="150" spans="1:6">
      <c r="A150" s="61">
        <v>20128</v>
      </c>
      <c r="B150" s="63" t="s">
        <v>927</v>
      </c>
      <c r="C150" s="64" t="s">
        <v>928</v>
      </c>
      <c r="D150" s="64" t="s">
        <v>960</v>
      </c>
      <c r="E150" s="64">
        <v>32.178195000000002</v>
      </c>
      <c r="F150" s="64">
        <v>34.907609999999998</v>
      </c>
    </row>
    <row r="151" spans="1:6">
      <c r="A151" s="61">
        <v>20129</v>
      </c>
      <c r="B151" s="63" t="s">
        <v>302</v>
      </c>
      <c r="C151" s="64" t="s">
        <v>32</v>
      </c>
      <c r="D151" s="64" t="s">
        <v>346</v>
      </c>
      <c r="E151" s="64">
        <v>31.768319000000002</v>
      </c>
      <c r="F151" s="64">
        <v>35.213709999999999</v>
      </c>
    </row>
    <row r="152" spans="1:6">
      <c r="A152" s="61">
        <v>20130</v>
      </c>
      <c r="B152" s="63" t="s">
        <v>931</v>
      </c>
      <c r="C152" s="64" t="s">
        <v>932</v>
      </c>
      <c r="D152" s="64" t="s">
        <v>964</v>
      </c>
      <c r="E152" s="73">
        <v>31.784251999999999</v>
      </c>
      <c r="F152" s="73">
        <v>34.661743000000001</v>
      </c>
    </row>
    <row r="153" spans="1:6">
      <c r="A153" s="61">
        <v>20133</v>
      </c>
      <c r="B153" s="63" t="s">
        <v>935</v>
      </c>
      <c r="C153" s="64" t="s">
        <v>936</v>
      </c>
      <c r="D153" s="64" t="s">
        <v>967</v>
      </c>
      <c r="E153" s="64">
        <v>31.986984</v>
      </c>
      <c r="F153" s="64">
        <v>34.915773000000002</v>
      </c>
    </row>
    <row r="154" spans="1:6">
      <c r="A154" s="61">
        <v>20133</v>
      </c>
      <c r="B154" s="63" t="s">
        <v>937</v>
      </c>
      <c r="C154" s="64" t="s">
        <v>938</v>
      </c>
      <c r="D154" s="64" t="s">
        <v>968</v>
      </c>
      <c r="E154" s="73">
        <v>32.1157465</v>
      </c>
      <c r="F154" s="73">
        <v>34.966594800000003</v>
      </c>
    </row>
    <row r="155" spans="1:6">
      <c r="A155" s="61">
        <v>20134</v>
      </c>
      <c r="B155" s="63" t="s">
        <v>940</v>
      </c>
      <c r="C155" s="64" t="s">
        <v>32</v>
      </c>
      <c r="D155" s="64" t="s">
        <v>346</v>
      </c>
      <c r="E155" s="64">
        <v>31.768319000000002</v>
      </c>
      <c r="F155" s="64">
        <v>35.213709999999999</v>
      </c>
    </row>
    <row r="156" spans="1:6">
      <c r="A156" s="61">
        <v>20137</v>
      </c>
      <c r="B156" s="63" t="s">
        <v>942</v>
      </c>
      <c r="C156" s="64" t="s">
        <v>944</v>
      </c>
      <c r="D156" s="64" t="s">
        <v>973</v>
      </c>
      <c r="E156" s="64">
        <v>32.491475000000001</v>
      </c>
      <c r="F156" s="64">
        <v>34.967412000000003</v>
      </c>
    </row>
    <row r="157" spans="1:6">
      <c r="A157" s="61">
        <v>20139</v>
      </c>
      <c r="B157" s="63" t="s">
        <v>948</v>
      </c>
      <c r="C157" s="64" t="s">
        <v>950</v>
      </c>
      <c r="D157" s="64" t="s">
        <v>975</v>
      </c>
      <c r="E157" s="64">
        <v>31.794452400000001</v>
      </c>
      <c r="F157" s="64">
        <v>35.200602799999999</v>
      </c>
    </row>
    <row r="158" spans="1:6">
      <c r="A158" s="61">
        <v>20140</v>
      </c>
      <c r="B158" s="63" t="s">
        <v>952</v>
      </c>
      <c r="C158" s="64" t="s">
        <v>953</v>
      </c>
      <c r="D158" s="64" t="s">
        <v>977</v>
      </c>
      <c r="E158" s="64">
        <v>32.085299900000003</v>
      </c>
      <c r="F158" s="64">
        <v>34.781767599999903</v>
      </c>
    </row>
    <row r="159" spans="1:6">
      <c r="A159" s="61">
        <v>20143</v>
      </c>
      <c r="B159" s="63" t="s">
        <v>310</v>
      </c>
      <c r="C159" s="64" t="s">
        <v>252</v>
      </c>
      <c r="D159" s="64" t="s">
        <v>978</v>
      </c>
      <c r="E159" s="64">
        <v>31.973001499999999</v>
      </c>
      <c r="F159" s="64">
        <v>34.792501299999998</v>
      </c>
    </row>
    <row r="160" spans="1:6">
      <c r="A160" s="61">
        <v>20144</v>
      </c>
      <c r="B160" s="63" t="s">
        <v>956</v>
      </c>
      <c r="C160" s="64" t="s">
        <v>958</v>
      </c>
      <c r="D160" s="64" t="s">
        <v>980</v>
      </c>
      <c r="E160" s="64">
        <v>31.801798000000002</v>
      </c>
      <c r="F160" s="64">
        <v>35.216002000000003</v>
      </c>
    </row>
    <row r="161" spans="1:6">
      <c r="A161" s="61">
        <v>20145</v>
      </c>
      <c r="B161" s="63" t="s">
        <v>314</v>
      </c>
      <c r="C161" s="64" t="s">
        <v>256</v>
      </c>
      <c r="D161" s="64" t="s">
        <v>982</v>
      </c>
      <c r="E161" s="64">
        <v>31.806493</v>
      </c>
      <c r="F161" s="64">
        <v>34.655611</v>
      </c>
    </row>
    <row r="162" spans="1:6">
      <c r="A162" s="61">
        <v>20146</v>
      </c>
      <c r="B162" s="63" t="s">
        <v>961</v>
      </c>
      <c r="C162" s="64" t="s">
        <v>962</v>
      </c>
      <c r="D162" s="64" t="s">
        <v>984</v>
      </c>
      <c r="E162" s="73">
        <v>32.783392999999997</v>
      </c>
      <c r="F162" s="73">
        <v>35.640118999999999</v>
      </c>
    </row>
    <row r="163" spans="1:6">
      <c r="A163" s="61">
        <v>20146</v>
      </c>
      <c r="B163" s="63" t="s">
        <v>966</v>
      </c>
      <c r="C163" s="64" t="s">
        <v>848</v>
      </c>
      <c r="D163" s="64" t="s">
        <v>850</v>
      </c>
      <c r="E163" s="64">
        <v>32.085299900000003</v>
      </c>
      <c r="F163" s="64">
        <v>34.781767599999903</v>
      </c>
    </row>
    <row r="164" spans="1:6">
      <c r="A164" s="61">
        <v>20147</v>
      </c>
      <c r="B164" s="63" t="s">
        <v>969</v>
      </c>
      <c r="C164" s="64" t="s">
        <v>32</v>
      </c>
      <c r="D164" s="64" t="s">
        <v>346</v>
      </c>
      <c r="E164" s="64">
        <v>31.768319000000002</v>
      </c>
      <c r="F164" s="64">
        <v>35.213709999999999</v>
      </c>
    </row>
    <row r="165" spans="1:6">
      <c r="A165" s="61">
        <v>20150</v>
      </c>
      <c r="B165" s="63" t="s">
        <v>970</v>
      </c>
      <c r="C165" s="64" t="s">
        <v>971</v>
      </c>
      <c r="D165" s="64" t="s">
        <v>992</v>
      </c>
      <c r="E165" s="64">
        <v>47.9967842</v>
      </c>
      <c r="F165" s="64">
        <v>-91.596116199999997</v>
      </c>
    </row>
    <row r="166" spans="1:6">
      <c r="A166" s="61">
        <v>20153</v>
      </c>
      <c r="B166" s="63" t="s">
        <v>972</v>
      </c>
      <c r="C166" s="64" t="s">
        <v>726</v>
      </c>
      <c r="D166" s="64" t="s">
        <v>727</v>
      </c>
      <c r="E166" s="64">
        <v>31.522693999999898</v>
      </c>
      <c r="F166" s="64">
        <v>34.595581000000003</v>
      </c>
    </row>
    <row r="167" spans="1:6">
      <c r="A167" s="61">
        <v>20164</v>
      </c>
      <c r="B167" s="63" t="s">
        <v>976</v>
      </c>
      <c r="C167" s="64" t="s">
        <v>447</v>
      </c>
      <c r="D167" s="64" t="s">
        <v>618</v>
      </c>
      <c r="E167" s="64">
        <v>31.986668600000002</v>
      </c>
      <c r="F167" s="64">
        <v>34.912524400000002</v>
      </c>
    </row>
    <row r="168" spans="1:6">
      <c r="A168" s="61">
        <v>20169</v>
      </c>
      <c r="B168" s="63" t="s">
        <v>983</v>
      </c>
      <c r="C168" s="64" t="s">
        <v>838</v>
      </c>
      <c r="D168" s="64" t="s">
        <v>839</v>
      </c>
      <c r="E168" s="64">
        <v>41.735088400000002</v>
      </c>
      <c r="F168" s="64">
        <v>-75.1396151</v>
      </c>
    </row>
    <row r="169" spans="1:6">
      <c r="A169" s="61">
        <v>20170</v>
      </c>
      <c r="B169" s="63" t="s">
        <v>985</v>
      </c>
      <c r="C169" s="64" t="s">
        <v>971</v>
      </c>
      <c r="D169" s="64" t="s">
        <v>992</v>
      </c>
      <c r="E169" s="64">
        <v>47.9967842</v>
      </c>
      <c r="F169" s="64">
        <v>-91.596116199999997</v>
      </c>
    </row>
    <row r="170" spans="1:6">
      <c r="A170" s="61">
        <v>20170</v>
      </c>
      <c r="B170" s="63" t="s">
        <v>987</v>
      </c>
      <c r="C170" s="64" t="s">
        <v>889</v>
      </c>
      <c r="D170" s="64" t="s">
        <v>913</v>
      </c>
      <c r="E170" s="64">
        <v>32.630552199999997</v>
      </c>
      <c r="F170" s="64">
        <v>51.299747199999999</v>
      </c>
    </row>
    <row r="171" spans="1:6">
      <c r="A171" s="61">
        <v>20171</v>
      </c>
      <c r="B171" s="63" t="s">
        <v>988</v>
      </c>
      <c r="C171" s="64" t="s">
        <v>32</v>
      </c>
      <c r="D171" s="64" t="s">
        <v>346</v>
      </c>
      <c r="E171" s="64">
        <v>31.768319000000002</v>
      </c>
      <c r="F171" s="64">
        <v>35.213709999999999</v>
      </c>
    </row>
    <row r="172" spans="1:6">
      <c r="A172" s="61">
        <v>20173</v>
      </c>
      <c r="B172" s="63" t="s">
        <v>989</v>
      </c>
      <c r="C172" s="64" t="s">
        <v>447</v>
      </c>
      <c r="D172" s="64" t="s">
        <v>618</v>
      </c>
      <c r="E172" s="64">
        <v>31.986668600000002</v>
      </c>
      <c r="F172" s="64">
        <v>34.912524400000002</v>
      </c>
    </row>
    <row r="173" spans="1:6">
      <c r="A173" s="61">
        <v>20182</v>
      </c>
      <c r="B173" s="63" t="s">
        <v>997</v>
      </c>
      <c r="C173" s="64" t="s">
        <v>949</v>
      </c>
      <c r="D173" s="64" t="s">
        <v>951</v>
      </c>
      <c r="E173" s="64">
        <v>31.472679999999901</v>
      </c>
      <c r="F173" s="64">
        <v>34.497675000000001</v>
      </c>
    </row>
    <row r="174" spans="1:6">
      <c r="A174" s="61">
        <v>20183</v>
      </c>
      <c r="B174" s="63" t="s">
        <v>999</v>
      </c>
      <c r="C174" s="64" t="s">
        <v>1001</v>
      </c>
      <c r="D174" s="64" t="s">
        <v>1006</v>
      </c>
      <c r="E174" s="90"/>
      <c r="F174" s="90"/>
    </row>
    <row r="175" spans="1:6">
      <c r="A175" s="61">
        <v>20187</v>
      </c>
      <c r="B175" s="63" t="s">
        <v>1002</v>
      </c>
      <c r="C175" s="64" t="s">
        <v>1003</v>
      </c>
      <c r="D175" s="64" t="s">
        <v>1010</v>
      </c>
      <c r="E175" s="73">
        <v>43.650028900000002</v>
      </c>
      <c r="F175" s="73">
        <v>-73.992443899999998</v>
      </c>
    </row>
    <row r="176" spans="1:6">
      <c r="A176" s="61">
        <v>20188</v>
      </c>
      <c r="B176" s="63" t="s">
        <v>361</v>
      </c>
      <c r="C176" s="64" t="s">
        <v>265</v>
      </c>
      <c r="D176" s="64" t="s">
        <v>1021</v>
      </c>
      <c r="E176" s="64">
        <v>31.335729999999899</v>
      </c>
      <c r="F176" s="64">
        <v>34.394086999999999</v>
      </c>
    </row>
    <row r="177" spans="1:6">
      <c r="A177" s="61">
        <v>20192</v>
      </c>
      <c r="B177" s="63" t="s">
        <v>1005</v>
      </c>
      <c r="C177" s="64" t="s">
        <v>711</v>
      </c>
      <c r="D177" s="64" t="s">
        <v>712</v>
      </c>
      <c r="E177" s="64">
        <v>29.557669000000001</v>
      </c>
      <c r="F177" s="64">
        <v>34.951925000000003</v>
      </c>
    </row>
    <row r="178" spans="1:6">
      <c r="A178" s="61">
        <v>20196</v>
      </c>
      <c r="B178" s="63" t="s">
        <v>1007</v>
      </c>
      <c r="C178" s="64" t="s">
        <v>32</v>
      </c>
      <c r="D178" s="64" t="s">
        <v>346</v>
      </c>
      <c r="E178" s="64">
        <v>31.768319000000002</v>
      </c>
      <c r="F178" s="64">
        <v>35.213709999999999</v>
      </c>
    </row>
    <row r="179" spans="1:6">
      <c r="A179" s="61">
        <v>20197</v>
      </c>
      <c r="B179" s="63" t="s">
        <v>1008</v>
      </c>
      <c r="C179" s="64" t="s">
        <v>32</v>
      </c>
      <c r="D179" s="64" t="s">
        <v>346</v>
      </c>
      <c r="E179" s="64">
        <v>31.768319000000002</v>
      </c>
      <c r="F179" s="64">
        <v>35.213709999999999</v>
      </c>
    </row>
    <row r="180" spans="1:6">
      <c r="A180" s="61">
        <v>20199</v>
      </c>
      <c r="B180" s="63" t="s">
        <v>1009</v>
      </c>
      <c r="C180" s="64" t="s">
        <v>32</v>
      </c>
      <c r="D180" s="64" t="s">
        <v>346</v>
      </c>
      <c r="E180" s="64">
        <v>31.768319000000002</v>
      </c>
      <c r="F180" s="64">
        <v>35.213709999999999</v>
      </c>
    </row>
    <row r="181" spans="1:6">
      <c r="A181" s="61">
        <v>20208</v>
      </c>
      <c r="B181" s="63" t="s">
        <v>1011</v>
      </c>
      <c r="C181" s="64" t="s">
        <v>1034</v>
      </c>
      <c r="D181" s="64" t="s">
        <v>1035</v>
      </c>
      <c r="E181" s="64">
        <v>31.559028699999999</v>
      </c>
      <c r="F181" s="64">
        <v>35.473189499999997</v>
      </c>
    </row>
    <row r="182" spans="1:6">
      <c r="A182" s="61">
        <v>20216</v>
      </c>
      <c r="B182" s="63" t="s">
        <v>1015</v>
      </c>
      <c r="C182" s="64" t="s">
        <v>1016</v>
      </c>
      <c r="D182" s="64" t="s">
        <v>1039</v>
      </c>
      <c r="E182" s="64">
        <v>31.767764</v>
      </c>
      <c r="F182" s="64">
        <v>35.160212999999999</v>
      </c>
    </row>
    <row r="183" spans="1:6">
      <c r="A183" s="61">
        <v>20221</v>
      </c>
      <c r="B183" s="63" t="s">
        <v>1017</v>
      </c>
      <c r="C183" s="64" t="s">
        <v>1018</v>
      </c>
      <c r="D183" s="64" t="s">
        <v>1040</v>
      </c>
      <c r="E183" s="64">
        <v>4.4166799999999897</v>
      </c>
      <c r="F183" s="64">
        <v>-75.449979999999996</v>
      </c>
    </row>
    <row r="184" spans="1:6">
      <c r="A184" s="61">
        <v>20221</v>
      </c>
      <c r="B184" s="63" t="s">
        <v>1019</v>
      </c>
      <c r="C184" s="64" t="s">
        <v>1022</v>
      </c>
      <c r="D184" s="64" t="s">
        <v>1045</v>
      </c>
      <c r="E184" s="64">
        <v>32.074806199999998</v>
      </c>
      <c r="F184" s="64">
        <v>34.765366999999998</v>
      </c>
    </row>
    <row r="185" spans="1:6">
      <c r="A185" s="61">
        <v>20227</v>
      </c>
      <c r="B185" s="63" t="s">
        <v>1023</v>
      </c>
      <c r="C185" s="64" t="s">
        <v>889</v>
      </c>
      <c r="D185" s="64" t="s">
        <v>913</v>
      </c>
      <c r="E185" s="64">
        <v>32.630552199999997</v>
      </c>
      <c r="F185" s="64">
        <v>51.299747199999999</v>
      </c>
    </row>
    <row r="186" spans="1:6">
      <c r="A186" s="61">
        <v>20227</v>
      </c>
      <c r="B186" s="63" t="s">
        <v>378</v>
      </c>
      <c r="C186" s="64" t="s">
        <v>269</v>
      </c>
      <c r="D186" s="64" t="s">
        <v>1048</v>
      </c>
      <c r="E186" s="64">
        <v>31.374545000000001</v>
      </c>
      <c r="F186" s="64">
        <v>34.398992</v>
      </c>
    </row>
    <row r="187" spans="1:6">
      <c r="A187" s="61">
        <v>20232</v>
      </c>
      <c r="B187" s="63" t="s">
        <v>1026</v>
      </c>
      <c r="C187" s="64" t="s">
        <v>889</v>
      </c>
      <c r="D187" s="64" t="s">
        <v>913</v>
      </c>
      <c r="E187" s="64">
        <v>32.630552199999997</v>
      </c>
      <c r="F187" s="64">
        <v>51.299747199999999</v>
      </c>
    </row>
    <row r="188" spans="1:6">
      <c r="A188" s="61">
        <v>20232</v>
      </c>
      <c r="B188" s="63" t="s">
        <v>1027</v>
      </c>
      <c r="C188" s="64" t="s">
        <v>1029</v>
      </c>
      <c r="D188" s="64" t="s">
        <v>1052</v>
      </c>
      <c r="E188" s="64">
        <v>31.522693999999898</v>
      </c>
      <c r="F188" s="64">
        <v>34.595581000000003</v>
      </c>
    </row>
    <row r="189" spans="1:6">
      <c r="A189" s="61">
        <v>20238</v>
      </c>
      <c r="B189" s="63" t="s">
        <v>1030</v>
      </c>
      <c r="C189" s="64" t="s">
        <v>1032</v>
      </c>
      <c r="D189" s="64" t="s">
        <v>1055</v>
      </c>
      <c r="E189" s="64">
        <v>31.522693999999898</v>
      </c>
      <c r="F189" s="64">
        <v>34.595581000000003</v>
      </c>
    </row>
    <row r="190" spans="1:6">
      <c r="A190" s="61">
        <v>20238</v>
      </c>
      <c r="B190" s="63" t="s">
        <v>1036</v>
      </c>
      <c r="C190" s="64" t="s">
        <v>1037</v>
      </c>
      <c r="D190" s="64" t="s">
        <v>1059</v>
      </c>
      <c r="E190" s="73">
        <v>31.478283000000001</v>
      </c>
      <c r="F190" s="73">
        <v>34.927318</v>
      </c>
    </row>
    <row r="191" spans="1:6">
      <c r="A191" s="61">
        <v>20247</v>
      </c>
      <c r="B191" s="63" t="s">
        <v>1041</v>
      </c>
      <c r="C191" s="64" t="s">
        <v>1042</v>
      </c>
      <c r="D191" s="64" t="s">
        <v>1064</v>
      </c>
      <c r="E191" s="64">
        <v>32.723787000000002</v>
      </c>
      <c r="F191" s="64">
        <v>35.565241999999998</v>
      </c>
    </row>
    <row r="192" spans="1:6">
      <c r="A192" s="61">
        <v>20258</v>
      </c>
      <c r="B192" s="63" t="s">
        <v>1043</v>
      </c>
      <c r="C192" s="64" t="s">
        <v>1044</v>
      </c>
      <c r="D192" s="64" t="s">
        <v>1068</v>
      </c>
      <c r="E192" s="73">
        <v>32.311926999999997</v>
      </c>
      <c r="F192" s="73">
        <v>35.026584</v>
      </c>
    </row>
    <row r="193" spans="1:6">
      <c r="A193" s="61">
        <v>20259</v>
      </c>
      <c r="B193" s="63" t="s">
        <v>1047</v>
      </c>
      <c r="C193" s="85"/>
      <c r="D193" s="86" t="s">
        <v>582</v>
      </c>
      <c r="E193" s="73">
        <v>39.912941199999999</v>
      </c>
      <c r="F193" s="73">
        <v>-104.79560549999999</v>
      </c>
    </row>
    <row r="194" spans="1:6">
      <c r="A194" s="61">
        <v>20261</v>
      </c>
      <c r="B194" s="63" t="s">
        <v>1053</v>
      </c>
      <c r="C194" s="64" t="s">
        <v>1054</v>
      </c>
      <c r="D194" s="64" t="s">
        <v>1077</v>
      </c>
      <c r="E194" s="73">
        <v>32.420771999999999</v>
      </c>
      <c r="F194" s="73">
        <v>35.173869000000003</v>
      </c>
    </row>
    <row r="195" spans="1:6">
      <c r="A195" s="61">
        <v>20264</v>
      </c>
      <c r="B195" s="63" t="s">
        <v>1057</v>
      </c>
      <c r="C195" s="64" t="s">
        <v>1058</v>
      </c>
      <c r="D195" s="64" t="s">
        <v>1081</v>
      </c>
      <c r="E195" s="64">
        <v>33.818502100000003</v>
      </c>
      <c r="F195" s="64">
        <v>-84.368981199999993</v>
      </c>
    </row>
    <row r="196" spans="1:6">
      <c r="A196" s="61">
        <v>20265</v>
      </c>
      <c r="B196" s="63" t="s">
        <v>1060</v>
      </c>
      <c r="C196" s="64" t="s">
        <v>447</v>
      </c>
      <c r="D196" s="64" t="s">
        <v>618</v>
      </c>
      <c r="E196" s="64">
        <v>31.986668600000002</v>
      </c>
      <c r="F196" s="64">
        <v>34.912524400000002</v>
      </c>
    </row>
    <row r="197" spans="1:6">
      <c r="A197" s="61">
        <v>20272</v>
      </c>
      <c r="B197" s="63" t="s">
        <v>1063</v>
      </c>
      <c r="C197" s="64" t="s">
        <v>616</v>
      </c>
      <c r="D197" s="64" t="s">
        <v>725</v>
      </c>
      <c r="E197" s="64">
        <v>31.931566</v>
      </c>
      <c r="F197" s="64">
        <v>34.872937999999998</v>
      </c>
    </row>
    <row r="198" spans="1:6">
      <c r="A198" s="61">
        <v>20272</v>
      </c>
      <c r="B198" s="63" t="s">
        <v>1067</v>
      </c>
      <c r="C198" s="64" t="s">
        <v>447</v>
      </c>
      <c r="D198" s="64" t="s">
        <v>618</v>
      </c>
      <c r="E198" s="64">
        <v>31.986668600000002</v>
      </c>
      <c r="F198" s="64">
        <v>34.912524400000002</v>
      </c>
    </row>
    <row r="199" spans="1:6">
      <c r="A199" s="61">
        <v>20279</v>
      </c>
      <c r="B199" s="63" t="s">
        <v>470</v>
      </c>
      <c r="C199" s="67" t="s">
        <v>1088</v>
      </c>
      <c r="D199" s="67" t="s">
        <v>1089</v>
      </c>
      <c r="E199" s="67">
        <v>42.4072107</v>
      </c>
      <c r="F199" s="67">
        <v>-71.382437400000001</v>
      </c>
    </row>
    <row r="200" spans="1:6">
      <c r="A200" s="61">
        <v>20281</v>
      </c>
      <c r="B200" s="63" t="s">
        <v>1070</v>
      </c>
      <c r="C200" s="64" t="s">
        <v>838</v>
      </c>
      <c r="D200" s="64" t="s">
        <v>839</v>
      </c>
      <c r="E200" s="64">
        <v>41.735088400000002</v>
      </c>
      <c r="F200" s="64">
        <v>-75.1396151</v>
      </c>
    </row>
    <row r="201" spans="1:6">
      <c r="A201" s="61">
        <v>20289</v>
      </c>
      <c r="B201" s="63" t="s">
        <v>1076</v>
      </c>
      <c r="C201" s="64" t="s">
        <v>1078</v>
      </c>
      <c r="D201" s="64" t="s">
        <v>1092</v>
      </c>
      <c r="E201" s="64">
        <v>32.196015000000003</v>
      </c>
      <c r="F201" s="64">
        <v>34.981513</v>
      </c>
    </row>
    <row r="202" spans="1:6">
      <c r="A202" s="61">
        <v>20290</v>
      </c>
      <c r="B202" s="63" t="s">
        <v>1079</v>
      </c>
      <c r="C202" s="67" t="s">
        <v>711</v>
      </c>
      <c r="D202" s="67" t="s">
        <v>712</v>
      </c>
      <c r="E202" s="67">
        <v>29.557669000000001</v>
      </c>
      <c r="F202" s="67">
        <v>34.951925000000003</v>
      </c>
    </row>
    <row r="203" spans="1:6">
      <c r="A203" s="61">
        <v>20290</v>
      </c>
      <c r="B203" s="63" t="s">
        <v>1082</v>
      </c>
      <c r="C203" s="64" t="s">
        <v>1083</v>
      </c>
      <c r="D203" s="64" t="s">
        <v>1096</v>
      </c>
      <c r="E203" s="73">
        <v>32.2250364</v>
      </c>
      <c r="F203" s="73">
        <v>35.260968200000001</v>
      </c>
    </row>
    <row r="204" spans="1:6">
      <c r="A204" s="61">
        <v>20293</v>
      </c>
      <c r="B204" s="63" t="s">
        <v>1085</v>
      </c>
      <c r="C204" s="64" t="s">
        <v>1086</v>
      </c>
      <c r="D204" s="64" t="s">
        <v>1102</v>
      </c>
      <c r="E204" s="73">
        <v>32.2250364</v>
      </c>
      <c r="F204" s="73">
        <v>35.260968200000001</v>
      </c>
    </row>
    <row r="205" spans="1:6">
      <c r="A205" s="61">
        <v>20295</v>
      </c>
      <c r="B205" s="63" t="s">
        <v>1091</v>
      </c>
      <c r="C205" s="64" t="s">
        <v>838</v>
      </c>
      <c r="D205" s="64" t="s">
        <v>839</v>
      </c>
      <c r="E205" s="64">
        <v>41.735088400000002</v>
      </c>
      <c r="F205" s="64">
        <v>-75.1396151</v>
      </c>
    </row>
    <row r="206" spans="1:6">
      <c r="A206" s="61">
        <v>20309</v>
      </c>
      <c r="B206" s="63" t="s">
        <v>1093</v>
      </c>
      <c r="C206" s="64" t="s">
        <v>447</v>
      </c>
      <c r="D206" s="64" t="s">
        <v>618</v>
      </c>
      <c r="E206" s="64">
        <v>31.986668600000002</v>
      </c>
      <c r="F206" s="64">
        <v>34.912524400000002</v>
      </c>
    </row>
    <row r="207" spans="1:6">
      <c r="A207" s="61">
        <v>20314</v>
      </c>
      <c r="B207" s="63" t="s">
        <v>1095</v>
      </c>
      <c r="C207" s="64" t="s">
        <v>447</v>
      </c>
      <c r="D207" s="64" t="s">
        <v>618</v>
      </c>
      <c r="E207" s="64">
        <v>31.986668600000002</v>
      </c>
      <c r="F207" s="64">
        <v>34.912524400000002</v>
      </c>
    </row>
    <row r="208" spans="1:6">
      <c r="A208" s="61">
        <v>20318</v>
      </c>
      <c r="B208" s="63" t="s">
        <v>384</v>
      </c>
      <c r="C208" s="64" t="s">
        <v>270</v>
      </c>
      <c r="D208" s="64" t="s">
        <v>1107</v>
      </c>
      <c r="E208" s="64">
        <v>31.472679999999901</v>
      </c>
      <c r="F208" s="64">
        <v>34.497675000000001</v>
      </c>
    </row>
    <row r="209" spans="1:6">
      <c r="A209" s="61">
        <v>20320</v>
      </c>
      <c r="B209" s="63" t="s">
        <v>1099</v>
      </c>
      <c r="C209" s="64" t="s">
        <v>32</v>
      </c>
      <c r="D209" s="64" t="s">
        <v>346</v>
      </c>
      <c r="E209" s="64">
        <v>31.768319000000002</v>
      </c>
      <c r="F209" s="64">
        <v>35.213709999999999</v>
      </c>
    </row>
    <row r="210" spans="1:6">
      <c r="A210" s="61">
        <v>20323</v>
      </c>
      <c r="B210" s="63" t="s">
        <v>388</v>
      </c>
      <c r="C210" s="67" t="s">
        <v>1110</v>
      </c>
      <c r="D210" s="67" t="s">
        <v>1112</v>
      </c>
      <c r="E210" s="67">
        <v>31.502205999999902</v>
      </c>
      <c r="F210" s="67">
        <v>34.561673999999996</v>
      </c>
    </row>
    <row r="211" spans="1:6">
      <c r="A211" s="61">
        <v>20326</v>
      </c>
      <c r="B211" s="63" t="s">
        <v>393</v>
      </c>
      <c r="C211" s="64" t="s">
        <v>276</v>
      </c>
      <c r="D211" s="64" t="s">
        <v>1116</v>
      </c>
      <c r="E211" s="64">
        <v>31.559840000000001</v>
      </c>
      <c r="F211" s="64">
        <v>34.564889000000001</v>
      </c>
    </row>
    <row r="212" spans="1:6">
      <c r="A212" s="61">
        <v>20327</v>
      </c>
      <c r="B212" s="63" t="s">
        <v>1108</v>
      </c>
      <c r="C212" s="64" t="s">
        <v>447</v>
      </c>
      <c r="D212" s="64" t="s">
        <v>618</v>
      </c>
      <c r="E212" s="64">
        <v>31.986668600000002</v>
      </c>
      <c r="F212" s="64">
        <v>34.912524400000002</v>
      </c>
    </row>
    <row r="213" spans="1:6">
      <c r="A213" s="61">
        <v>20328</v>
      </c>
      <c r="B213" s="63" t="s">
        <v>397</v>
      </c>
      <c r="C213" s="64" t="s">
        <v>281</v>
      </c>
      <c r="D213" s="64" t="s">
        <v>1119</v>
      </c>
      <c r="E213" s="64">
        <v>31.668788500000002</v>
      </c>
      <c r="F213" s="64">
        <v>34.574252299999998</v>
      </c>
    </row>
    <row r="214" spans="1:6">
      <c r="A214" s="61">
        <v>20329</v>
      </c>
      <c r="B214" s="63" t="s">
        <v>401</v>
      </c>
      <c r="C214" s="64" t="s">
        <v>286</v>
      </c>
      <c r="D214" s="64" t="s">
        <v>1120</v>
      </c>
      <c r="E214" s="64">
        <v>31.424513000000001</v>
      </c>
      <c r="F214" s="64">
        <v>34.492567000000001</v>
      </c>
    </row>
    <row r="215" spans="1:6">
      <c r="A215" s="61">
        <v>20330</v>
      </c>
      <c r="B215" s="63" t="s">
        <v>406</v>
      </c>
      <c r="C215" s="67" t="s">
        <v>408</v>
      </c>
      <c r="D215" s="67" t="s">
        <v>1123</v>
      </c>
      <c r="E215" s="67">
        <v>31.921287</v>
      </c>
      <c r="F215" s="67">
        <v>34.774904999999997</v>
      </c>
    </row>
    <row r="216" spans="1:6">
      <c r="A216" s="61">
        <v>20330</v>
      </c>
      <c r="B216" s="63" t="s">
        <v>415</v>
      </c>
      <c r="C216" s="64" t="s">
        <v>297</v>
      </c>
      <c r="D216" s="64" t="s">
        <v>1125</v>
      </c>
      <c r="E216" s="64">
        <v>31.870474999999999</v>
      </c>
      <c r="F216" s="64">
        <v>34.826734000000002</v>
      </c>
    </row>
    <row r="217" spans="1:6">
      <c r="A217" s="61">
        <v>20331</v>
      </c>
      <c r="B217" s="63" t="s">
        <v>1121</v>
      </c>
      <c r="C217" s="64" t="s">
        <v>1122</v>
      </c>
      <c r="D217" s="64" t="s">
        <v>1127</v>
      </c>
      <c r="E217" s="73">
        <v>35.912754499999998</v>
      </c>
      <c r="F217" s="73">
        <v>-114.0757739</v>
      </c>
    </row>
    <row r="218" spans="1:6">
      <c r="A218" s="61">
        <v>20331</v>
      </c>
      <c r="B218" s="63" t="s">
        <v>418</v>
      </c>
      <c r="C218" s="67" t="s">
        <v>420</v>
      </c>
      <c r="D218" s="67" t="s">
        <v>1136</v>
      </c>
      <c r="E218" s="67">
        <v>31.66</v>
      </c>
      <c r="F218" s="67">
        <v>34.792816999999999</v>
      </c>
    </row>
    <row r="219" spans="1:6">
      <c r="A219" s="61">
        <v>20332</v>
      </c>
      <c r="B219" s="63" t="s">
        <v>1128</v>
      </c>
      <c r="C219" s="64" t="s">
        <v>552</v>
      </c>
      <c r="D219" s="64" t="s">
        <v>1140</v>
      </c>
      <c r="E219" s="64">
        <v>42.123649899999997</v>
      </c>
      <c r="F219" s="64">
        <v>-71.178623700000003</v>
      </c>
    </row>
    <row r="220" spans="1:6">
      <c r="A220" s="61">
        <v>20333</v>
      </c>
      <c r="B220" s="63" t="s">
        <v>1130</v>
      </c>
      <c r="C220" s="64" t="s">
        <v>1131</v>
      </c>
      <c r="D220" s="64" t="s">
        <v>1143</v>
      </c>
      <c r="E220" s="64">
        <v>32.2250364</v>
      </c>
      <c r="F220" s="64">
        <v>35.260968200000001</v>
      </c>
    </row>
    <row r="221" spans="1:6">
      <c r="A221" s="61">
        <v>20335</v>
      </c>
      <c r="B221" s="63" t="s">
        <v>1134</v>
      </c>
      <c r="C221" s="64" t="s">
        <v>447</v>
      </c>
      <c r="D221" s="64" t="s">
        <v>618</v>
      </c>
      <c r="E221" s="64">
        <v>31.986668600000002</v>
      </c>
      <c r="F221" s="64">
        <v>34.912524400000002</v>
      </c>
    </row>
    <row r="222" spans="1:6">
      <c r="A222" s="61">
        <v>20339</v>
      </c>
      <c r="B222" s="63" t="s">
        <v>1137</v>
      </c>
      <c r="C222" s="64" t="s">
        <v>1138</v>
      </c>
      <c r="D222" s="64" t="s">
        <v>1146</v>
      </c>
      <c r="E222" s="64">
        <v>46.1865606</v>
      </c>
      <c r="F222" s="64">
        <v>21.3122677</v>
      </c>
    </row>
    <row r="223" spans="1:6">
      <c r="A223" s="61">
        <v>20345</v>
      </c>
      <c r="B223" s="63" t="s">
        <v>1139</v>
      </c>
      <c r="C223" s="64" t="s">
        <v>32</v>
      </c>
      <c r="D223" s="64" t="s">
        <v>346</v>
      </c>
      <c r="E223" s="64">
        <v>31.768319000000002</v>
      </c>
      <c r="F223" s="64">
        <v>35.213709999999999</v>
      </c>
    </row>
    <row r="224" spans="1:6">
      <c r="A224" s="61">
        <v>20354</v>
      </c>
      <c r="B224" s="63" t="s">
        <v>1141</v>
      </c>
      <c r="C224" s="64" t="s">
        <v>1142</v>
      </c>
      <c r="D224" s="64" t="s">
        <v>1151</v>
      </c>
      <c r="E224" s="73">
        <v>31.9585753</v>
      </c>
      <c r="F224" s="73">
        <v>-106.3687049</v>
      </c>
    </row>
    <row r="225" spans="1:6">
      <c r="A225" s="61">
        <v>20359</v>
      </c>
      <c r="B225" s="63" t="s">
        <v>1144</v>
      </c>
      <c r="C225" s="64" t="s">
        <v>1145</v>
      </c>
      <c r="D225" s="64" t="s">
        <v>1158</v>
      </c>
      <c r="E225" s="73">
        <v>-35.056858800000001</v>
      </c>
      <c r="F225" s="73">
        <v>117.5045734</v>
      </c>
    </row>
    <row r="226" spans="1:6">
      <c r="A226" s="61">
        <v>20362</v>
      </c>
      <c r="B226" s="63" t="s">
        <v>1147</v>
      </c>
      <c r="C226" s="64" t="s">
        <v>32</v>
      </c>
      <c r="D226" s="64" t="s">
        <v>346</v>
      </c>
      <c r="E226" s="64">
        <v>31.768319000000002</v>
      </c>
      <c r="F226" s="64">
        <v>35.213709999999999</v>
      </c>
    </row>
    <row r="227" spans="1:6">
      <c r="A227" s="61">
        <v>20366</v>
      </c>
      <c r="B227" s="63" t="s">
        <v>1148</v>
      </c>
      <c r="C227" s="64" t="s">
        <v>447</v>
      </c>
      <c r="D227" s="64" t="s">
        <v>618</v>
      </c>
      <c r="E227" s="64">
        <v>31.986668600000002</v>
      </c>
      <c r="F227" s="64">
        <v>34.912524400000002</v>
      </c>
    </row>
    <row r="228" spans="1:6">
      <c r="A228" s="61">
        <v>20369</v>
      </c>
      <c r="B228" s="63" t="s">
        <v>1153</v>
      </c>
      <c r="C228" s="64" t="s">
        <v>1154</v>
      </c>
      <c r="D228" s="64" t="s">
        <v>1166</v>
      </c>
      <c r="E228" s="64">
        <v>37.512227000000003</v>
      </c>
      <c r="F228" s="64">
        <v>27.276866999999999</v>
      </c>
    </row>
    <row r="229" spans="1:6">
      <c r="A229" s="61">
        <v>20372</v>
      </c>
      <c r="B229" s="63" t="s">
        <v>1155</v>
      </c>
      <c r="C229" s="64" t="s">
        <v>1156</v>
      </c>
      <c r="D229" s="64" t="s">
        <v>1167</v>
      </c>
      <c r="E229" s="73">
        <v>38.546787599999902</v>
      </c>
      <c r="F229" s="73">
        <v>-77.336649100000002</v>
      </c>
    </row>
    <row r="230" spans="1:6">
      <c r="A230" s="61">
        <v>20376</v>
      </c>
      <c r="B230" s="63" t="s">
        <v>1159</v>
      </c>
      <c r="C230" s="64" t="s">
        <v>1160</v>
      </c>
      <c r="D230" s="64" t="s">
        <v>1172</v>
      </c>
      <c r="E230" s="64">
        <v>31.805599000000001</v>
      </c>
      <c r="F230" s="64">
        <v>34.931797000000003</v>
      </c>
    </row>
    <row r="231" spans="1:6">
      <c r="A231" s="61">
        <v>20377</v>
      </c>
      <c r="B231" s="63" t="s">
        <v>1161</v>
      </c>
      <c r="C231" s="64" t="s">
        <v>32</v>
      </c>
      <c r="D231" s="64" t="s">
        <v>346</v>
      </c>
      <c r="E231" s="64">
        <v>31.768319000000002</v>
      </c>
      <c r="F231" s="64">
        <v>35.213709999999999</v>
      </c>
    </row>
    <row r="232" spans="1:6">
      <c r="A232" s="61">
        <v>20378</v>
      </c>
      <c r="B232" s="63" t="s">
        <v>1163</v>
      </c>
      <c r="C232" s="64" t="s">
        <v>1160</v>
      </c>
      <c r="D232" s="64" t="s">
        <v>1172</v>
      </c>
      <c r="E232" s="64">
        <v>31.805599000000001</v>
      </c>
      <c r="F232" s="64">
        <v>34.931797000000003</v>
      </c>
    </row>
    <row r="233" spans="1:6">
      <c r="A233" s="61">
        <v>20380</v>
      </c>
      <c r="B233" s="63" t="s">
        <v>423</v>
      </c>
      <c r="C233" s="67" t="s">
        <v>16</v>
      </c>
      <c r="D233" s="67" t="s">
        <v>843</v>
      </c>
      <c r="E233" s="67">
        <v>34.802074999999903</v>
      </c>
      <c r="F233" s="67">
        <v>38.996814999999998</v>
      </c>
    </row>
    <row r="234" spans="1:6">
      <c r="A234" s="61">
        <v>20380</v>
      </c>
      <c r="B234" s="63" t="s">
        <v>1168</v>
      </c>
      <c r="C234" s="64" t="s">
        <v>1169</v>
      </c>
      <c r="D234" s="64" t="s">
        <v>1179</v>
      </c>
      <c r="E234" s="64">
        <v>30.873611</v>
      </c>
      <c r="F234" s="64">
        <v>34.793098000000001</v>
      </c>
    </row>
    <row r="235" spans="1:6">
      <c r="A235" s="61">
        <v>20386</v>
      </c>
      <c r="B235" s="63" t="s">
        <v>1170</v>
      </c>
      <c r="C235" s="64" t="s">
        <v>32</v>
      </c>
      <c r="D235" s="64" t="s">
        <v>346</v>
      </c>
      <c r="E235" s="64">
        <v>31.768319000000002</v>
      </c>
      <c r="F235" s="64">
        <v>35.213709999999999</v>
      </c>
    </row>
    <row r="236" spans="1:6">
      <c r="A236" s="61">
        <v>20388</v>
      </c>
      <c r="B236" s="63" t="s">
        <v>427</v>
      </c>
      <c r="C236" s="64" t="s">
        <v>131</v>
      </c>
      <c r="D236" s="64" t="s">
        <v>1183</v>
      </c>
      <c r="E236" s="64">
        <v>30.885983</v>
      </c>
      <c r="F236" s="64">
        <v>34.422569000000003</v>
      </c>
    </row>
    <row r="237" spans="1:6">
      <c r="A237" s="61">
        <v>20391</v>
      </c>
      <c r="B237" s="63" t="s">
        <v>437</v>
      </c>
      <c r="C237" s="64" t="s">
        <v>131</v>
      </c>
      <c r="D237" s="64" t="s">
        <v>1183</v>
      </c>
      <c r="E237" s="64">
        <v>30.885983</v>
      </c>
      <c r="F237" s="64">
        <v>34.422569000000003</v>
      </c>
    </row>
    <row r="238" spans="1:6">
      <c r="A238" s="61">
        <v>20399</v>
      </c>
      <c r="B238" s="63" t="s">
        <v>1175</v>
      </c>
      <c r="C238" s="64" t="s">
        <v>1177</v>
      </c>
      <c r="D238" s="64" t="s">
        <v>1189</v>
      </c>
      <c r="E238" s="64">
        <v>-22.883119600000001</v>
      </c>
      <c r="F238" s="64">
        <v>-43.619495299999997</v>
      </c>
    </row>
    <row r="239" spans="1:6">
      <c r="A239" s="61">
        <v>20399</v>
      </c>
      <c r="B239" s="63" t="s">
        <v>1178</v>
      </c>
      <c r="C239" s="64" t="s">
        <v>447</v>
      </c>
      <c r="D239" s="64" t="s">
        <v>618</v>
      </c>
      <c r="E239" s="64">
        <v>31.986668600000002</v>
      </c>
      <c r="F239" s="64">
        <v>34.912524400000002</v>
      </c>
    </row>
    <row r="240" spans="1:6">
      <c r="A240" s="61">
        <v>20401</v>
      </c>
      <c r="B240" s="63" t="s">
        <v>1181</v>
      </c>
      <c r="C240" s="64" t="s">
        <v>1182</v>
      </c>
      <c r="D240" s="64" t="s">
        <v>1194</v>
      </c>
      <c r="E240" s="73">
        <v>40.429738999999998</v>
      </c>
      <c r="F240" s="73">
        <v>-76.906991499999904</v>
      </c>
    </row>
    <row r="241" spans="1:6">
      <c r="A241" s="61">
        <v>20411</v>
      </c>
      <c r="B241" s="63" t="s">
        <v>1185</v>
      </c>
      <c r="C241" s="64" t="s">
        <v>1186</v>
      </c>
      <c r="D241" s="64" t="s">
        <v>1201</v>
      </c>
      <c r="E241" s="64">
        <v>31.775162000000002</v>
      </c>
      <c r="F241" s="64">
        <v>35.231895999999999</v>
      </c>
    </row>
    <row r="242" spans="1:6">
      <c r="A242" s="61">
        <v>20411</v>
      </c>
      <c r="B242" s="63" t="s">
        <v>1187</v>
      </c>
      <c r="C242" s="64" t="s">
        <v>711</v>
      </c>
      <c r="D242" s="64" t="s">
        <v>712</v>
      </c>
      <c r="E242" s="64">
        <v>29.557669000000001</v>
      </c>
      <c r="F242" s="64">
        <v>34.951925000000003</v>
      </c>
    </row>
    <row r="243" spans="1:6">
      <c r="A243" s="61">
        <v>20411</v>
      </c>
      <c r="B243" s="63" t="s">
        <v>1190</v>
      </c>
      <c r="C243" s="64" t="s">
        <v>1191</v>
      </c>
      <c r="D243" s="64" t="s">
        <v>1206</v>
      </c>
      <c r="E243" s="73">
        <v>43.713254800000001</v>
      </c>
      <c r="F243" s="73">
        <v>-79.610720899999905</v>
      </c>
    </row>
    <row r="244" spans="1:6">
      <c r="A244" s="61">
        <v>20412</v>
      </c>
      <c r="B244" s="63" t="s">
        <v>1195</v>
      </c>
      <c r="C244" s="64" t="s">
        <v>1196</v>
      </c>
      <c r="D244" s="64" t="s">
        <v>1214</v>
      </c>
      <c r="E244" s="64">
        <v>32.699069999999999</v>
      </c>
      <c r="F244" s="64">
        <v>35.577551</v>
      </c>
    </row>
    <row r="245" spans="1:6">
      <c r="A245" s="61">
        <v>20412</v>
      </c>
      <c r="B245" s="63" t="s">
        <v>1197</v>
      </c>
      <c r="C245" s="64" t="s">
        <v>1198</v>
      </c>
      <c r="D245" s="64" t="s">
        <v>1218</v>
      </c>
      <c r="E245" s="64">
        <v>31.532568999999999</v>
      </c>
      <c r="F245" s="64">
        <v>35.099826</v>
      </c>
    </row>
    <row r="246" spans="1:6">
      <c r="A246" s="61">
        <v>20420</v>
      </c>
      <c r="B246" s="63" t="s">
        <v>1199</v>
      </c>
      <c r="C246" s="64" t="s">
        <v>1200</v>
      </c>
      <c r="D246" s="64" t="s">
        <v>1221</v>
      </c>
      <c r="E246" s="73">
        <v>32.196015000000003</v>
      </c>
      <c r="F246" s="73">
        <v>34.981513</v>
      </c>
    </row>
    <row r="247" spans="1:6">
      <c r="A247" s="61">
        <v>20420</v>
      </c>
      <c r="B247" s="63" t="s">
        <v>1202</v>
      </c>
      <c r="C247" s="64" t="s">
        <v>1203</v>
      </c>
      <c r="D247" s="64" t="s">
        <v>1227</v>
      </c>
      <c r="E247" s="64">
        <v>33.277231999999998</v>
      </c>
      <c r="F247" s="64">
        <v>35.578234999999999</v>
      </c>
    </row>
    <row r="248" spans="1:6">
      <c r="A248" s="61">
        <v>20421</v>
      </c>
      <c r="B248" s="63" t="s">
        <v>445</v>
      </c>
      <c r="C248" s="64" t="s">
        <v>135</v>
      </c>
      <c r="D248" s="64" t="s">
        <v>237</v>
      </c>
      <c r="E248" s="64">
        <v>33.239637000000002</v>
      </c>
      <c r="F248" s="64">
        <v>35.653953000000001</v>
      </c>
    </row>
    <row r="249" spans="1:6">
      <c r="A249" s="61">
        <v>20423</v>
      </c>
      <c r="B249" s="63" t="s">
        <v>1205</v>
      </c>
      <c r="C249" s="64" t="s">
        <v>1207</v>
      </c>
      <c r="D249" s="64" t="s">
        <v>1230</v>
      </c>
      <c r="E249" s="73">
        <v>32.184553000000001</v>
      </c>
      <c r="F249" s="73">
        <v>34.897119000000004</v>
      </c>
    </row>
    <row r="250" spans="1:6">
      <c r="A250" s="61">
        <v>20426</v>
      </c>
      <c r="B250" s="63" t="s">
        <v>1209</v>
      </c>
      <c r="C250" s="64" t="s">
        <v>1210</v>
      </c>
      <c r="D250" s="64" t="s">
        <v>1239</v>
      </c>
      <c r="E250" s="64">
        <v>31.768319000000002</v>
      </c>
      <c r="F250" s="64">
        <v>35.213709999999999</v>
      </c>
    </row>
    <row r="251" spans="1:6">
      <c r="A251" s="61">
        <v>20429</v>
      </c>
      <c r="B251" s="63" t="s">
        <v>1211</v>
      </c>
      <c r="C251" s="64" t="s">
        <v>1212</v>
      </c>
      <c r="D251" s="64" t="s">
        <v>1242</v>
      </c>
      <c r="E251" s="64">
        <v>32.173869000000003</v>
      </c>
      <c r="F251" s="64">
        <v>35.308028999999998</v>
      </c>
    </row>
    <row r="252" spans="1:6">
      <c r="A252" s="61">
        <v>20434</v>
      </c>
      <c r="B252" s="63" t="s">
        <v>451</v>
      </c>
      <c r="C252" s="64" t="s">
        <v>316</v>
      </c>
      <c r="D252" s="64" t="s">
        <v>1245</v>
      </c>
      <c r="E252" s="64">
        <v>32.824432100000003</v>
      </c>
      <c r="F252" s="64">
        <v>35.5879975</v>
      </c>
    </row>
    <row r="253" spans="1:6">
      <c r="A253" s="61">
        <v>20436</v>
      </c>
      <c r="B253" s="63" t="s">
        <v>1216</v>
      </c>
      <c r="C253" s="64" t="s">
        <v>1217</v>
      </c>
      <c r="D253" s="64" t="s">
        <v>1251</v>
      </c>
      <c r="E253" s="64">
        <v>32.184632000000001</v>
      </c>
      <c r="F253" s="64">
        <v>35.016089000000001</v>
      </c>
    </row>
    <row r="254" spans="1:6">
      <c r="A254" s="61">
        <v>20437</v>
      </c>
      <c r="B254" s="63" t="s">
        <v>1219</v>
      </c>
      <c r="C254" s="64" t="s">
        <v>1220</v>
      </c>
      <c r="D254" s="64" t="s">
        <v>1253</v>
      </c>
      <c r="E254" s="73">
        <v>36.808108400000002</v>
      </c>
      <c r="F254" s="73">
        <v>42.075183299999999</v>
      </c>
    </row>
    <row r="255" spans="1:6">
      <c r="A255" s="61">
        <v>20453</v>
      </c>
      <c r="B255" s="63" t="s">
        <v>1224</v>
      </c>
      <c r="C255" s="64" t="s">
        <v>447</v>
      </c>
      <c r="D255" s="64" t="s">
        <v>618</v>
      </c>
      <c r="E255" s="64">
        <v>31.986668600000002</v>
      </c>
      <c r="F255" s="64">
        <v>34.912524400000002</v>
      </c>
    </row>
    <row r="256" spans="1:6">
      <c r="A256" s="61">
        <v>20468</v>
      </c>
      <c r="B256" s="63" t="s">
        <v>1226</v>
      </c>
      <c r="C256" s="64" t="s">
        <v>1097</v>
      </c>
      <c r="D256" s="64" t="s">
        <v>1256</v>
      </c>
      <c r="E256" s="64">
        <v>30.465</v>
      </c>
      <c r="F256" s="64">
        <v>35.177222200000003</v>
      </c>
    </row>
    <row r="257" spans="1:6">
      <c r="A257" s="61">
        <v>20481</v>
      </c>
      <c r="B257" s="63" t="s">
        <v>1228</v>
      </c>
      <c r="C257" s="64" t="s">
        <v>1097</v>
      </c>
      <c r="D257" s="64" t="s">
        <v>1256</v>
      </c>
      <c r="E257" s="64">
        <v>30.465</v>
      </c>
      <c r="F257" s="64">
        <v>35.177222200000003</v>
      </c>
    </row>
    <row r="258" spans="1:6">
      <c r="A258" s="61">
        <v>20507</v>
      </c>
      <c r="B258" s="63" t="s">
        <v>1229</v>
      </c>
      <c r="C258" s="64" t="s">
        <v>1231</v>
      </c>
      <c r="D258" s="64" t="s">
        <v>1260</v>
      </c>
      <c r="E258" s="64">
        <v>32.422891</v>
      </c>
      <c r="F258" s="64">
        <v>35.035764</v>
      </c>
    </row>
    <row r="259" spans="1:6">
      <c r="A259" s="61">
        <v>20508</v>
      </c>
      <c r="B259" s="63" t="s">
        <v>1232</v>
      </c>
      <c r="C259" s="64" t="s">
        <v>1233</v>
      </c>
      <c r="D259" s="64" t="s">
        <v>1264</v>
      </c>
      <c r="E259" s="64">
        <v>31.748857999999998</v>
      </c>
      <c r="F259" s="64">
        <v>35.007260000000002</v>
      </c>
    </row>
    <row r="260" spans="1:6">
      <c r="A260" s="61">
        <v>20508</v>
      </c>
      <c r="B260" s="63" t="s">
        <v>1234</v>
      </c>
      <c r="C260" s="64" t="s">
        <v>1235</v>
      </c>
      <c r="D260" s="64" t="s">
        <v>1265</v>
      </c>
      <c r="E260" s="64">
        <v>31.768319000000002</v>
      </c>
      <c r="F260" s="64">
        <v>35.213709999999999</v>
      </c>
    </row>
    <row r="261" spans="1:6">
      <c r="A261" s="61">
        <v>20509</v>
      </c>
      <c r="B261" s="63" t="s">
        <v>1237</v>
      </c>
      <c r="C261" s="64" t="s">
        <v>1238</v>
      </c>
      <c r="D261" s="64" t="s">
        <v>1267</v>
      </c>
      <c r="E261" s="73">
        <v>40.400074500000002</v>
      </c>
      <c r="F261" s="73">
        <v>-80.090419199999999</v>
      </c>
    </row>
    <row r="262" spans="1:6">
      <c r="A262" s="61">
        <v>20519</v>
      </c>
      <c r="B262" s="63" t="s">
        <v>1240</v>
      </c>
      <c r="C262" s="64" t="s">
        <v>1241</v>
      </c>
      <c r="D262" s="64" t="s">
        <v>1274</v>
      </c>
      <c r="E262" s="73">
        <v>32.057876999999998</v>
      </c>
      <c r="F262" s="73">
        <v>34.763883999999997</v>
      </c>
    </row>
    <row r="263" spans="1:6">
      <c r="A263" s="61">
        <v>20525</v>
      </c>
      <c r="B263" s="63" t="s">
        <v>1243</v>
      </c>
      <c r="C263" s="64" t="s">
        <v>1244</v>
      </c>
      <c r="D263" s="64" t="s">
        <v>1282</v>
      </c>
      <c r="E263" s="64">
        <v>32.8109137</v>
      </c>
      <c r="F263" s="64">
        <v>34.9934984</v>
      </c>
    </row>
    <row r="264" spans="1:6">
      <c r="A264" s="61">
        <v>20526</v>
      </c>
      <c r="B264" s="63" t="s">
        <v>1246</v>
      </c>
      <c r="C264" s="64" t="s">
        <v>1247</v>
      </c>
      <c r="D264" s="64" t="s">
        <v>1283</v>
      </c>
      <c r="E264" s="64">
        <v>31.861597</v>
      </c>
      <c r="F264" s="64">
        <v>35.207914000000002</v>
      </c>
    </row>
    <row r="265" spans="1:6">
      <c r="A265" s="61">
        <v>20544</v>
      </c>
      <c r="B265" s="63" t="s">
        <v>1248</v>
      </c>
      <c r="C265" s="64" t="s">
        <v>1249</v>
      </c>
      <c r="D265" s="64" t="s">
        <v>1287</v>
      </c>
      <c r="E265" s="64">
        <v>34.227961200000003</v>
      </c>
      <c r="F265" s="64">
        <v>-77.837965999999994</v>
      </c>
    </row>
    <row r="266" spans="1:6">
      <c r="A266" s="61">
        <v>20552</v>
      </c>
      <c r="B266" s="63" t="s">
        <v>1252</v>
      </c>
      <c r="C266" s="64" t="s">
        <v>447</v>
      </c>
      <c r="D266" s="64" t="s">
        <v>618</v>
      </c>
      <c r="E266" s="64">
        <v>31.986668600000002</v>
      </c>
      <c r="F266" s="64">
        <v>34.912524400000002</v>
      </c>
    </row>
    <row r="267" spans="1:6">
      <c r="A267" s="61">
        <v>20552</v>
      </c>
      <c r="B267" s="98" t="s">
        <v>456</v>
      </c>
      <c r="C267" s="64" t="s">
        <v>281</v>
      </c>
      <c r="D267" s="64" t="s">
        <v>1119</v>
      </c>
      <c r="E267" s="64">
        <v>31.668788500000002</v>
      </c>
      <c r="F267" s="64">
        <v>34.574252299999998</v>
      </c>
    </row>
    <row r="268" spans="1:6">
      <c r="A268" s="61">
        <v>20552</v>
      </c>
      <c r="B268" s="63" t="s">
        <v>458</v>
      </c>
      <c r="C268" s="67" t="s">
        <v>460</v>
      </c>
      <c r="D268" s="67" t="s">
        <v>1303</v>
      </c>
      <c r="E268" s="67">
        <v>33.344357600000002</v>
      </c>
      <c r="F268" s="67">
        <v>43.781277299999999</v>
      </c>
    </row>
    <row r="269" spans="1:6">
      <c r="A269" s="61">
        <v>20553</v>
      </c>
      <c r="B269" s="63" t="s">
        <v>1259</v>
      </c>
      <c r="C269" s="64" t="s">
        <v>447</v>
      </c>
      <c r="D269" s="64" t="s">
        <v>618</v>
      </c>
      <c r="E269" s="64">
        <v>31.986668600000002</v>
      </c>
      <c r="F269" s="64">
        <v>34.912524400000002</v>
      </c>
    </row>
    <row r="270" spans="1:6">
      <c r="A270" s="61">
        <v>20554</v>
      </c>
      <c r="B270" s="63" t="s">
        <v>1263</v>
      </c>
      <c r="C270" s="64" t="s">
        <v>447</v>
      </c>
      <c r="D270" s="64" t="s">
        <v>618</v>
      </c>
      <c r="E270" s="64">
        <v>31.986668600000002</v>
      </c>
      <c r="F270" s="64">
        <v>34.912524400000002</v>
      </c>
    </row>
    <row r="271" spans="1:6">
      <c r="A271" s="61">
        <v>20556</v>
      </c>
      <c r="B271" s="63" t="s">
        <v>1266</v>
      </c>
      <c r="C271" s="85"/>
      <c r="D271" s="86" t="s">
        <v>582</v>
      </c>
      <c r="E271" s="73">
        <v>39.912941199999999</v>
      </c>
      <c r="F271" s="73">
        <v>-104.79560549999999</v>
      </c>
    </row>
    <row r="272" spans="1:6">
      <c r="A272" s="61">
        <v>20556</v>
      </c>
      <c r="B272" s="63" t="s">
        <v>466</v>
      </c>
      <c r="C272" s="67" t="s">
        <v>468</v>
      </c>
      <c r="D272" s="67" t="s">
        <v>1312</v>
      </c>
      <c r="E272" s="67">
        <v>31.981670999999999</v>
      </c>
      <c r="F272" s="67">
        <v>34.871820999999997</v>
      </c>
    </row>
    <row r="273" spans="1:6">
      <c r="A273" s="61">
        <v>20561</v>
      </c>
      <c r="B273" s="63" t="s">
        <v>1269</v>
      </c>
      <c r="C273" s="64" t="s">
        <v>1270</v>
      </c>
      <c r="D273" s="64" t="s">
        <v>1314</v>
      </c>
      <c r="E273" s="73">
        <v>31.898042799999999</v>
      </c>
      <c r="F273" s="73">
        <v>35.204271400000003</v>
      </c>
    </row>
    <row r="274" spans="1:6">
      <c r="A274" s="61">
        <v>20563</v>
      </c>
      <c r="B274" s="63" t="s">
        <v>1272</v>
      </c>
      <c r="C274" s="64" t="s">
        <v>447</v>
      </c>
      <c r="D274" s="64" t="s">
        <v>618</v>
      </c>
      <c r="E274" s="64">
        <v>31.986668600000002</v>
      </c>
      <c r="F274" s="64">
        <v>34.912524400000002</v>
      </c>
    </row>
    <row r="275" spans="1:6">
      <c r="A275" s="61">
        <v>20565</v>
      </c>
      <c r="B275" s="63" t="s">
        <v>1273</v>
      </c>
      <c r="C275" s="64" t="s">
        <v>1275</v>
      </c>
      <c r="D275" s="64" t="s">
        <v>1323</v>
      </c>
      <c r="E275" s="64">
        <v>28.893869200000001</v>
      </c>
      <c r="F275" s="64">
        <v>-81.275190799999905</v>
      </c>
    </row>
    <row r="276" spans="1:6">
      <c r="A276" s="61">
        <v>20567</v>
      </c>
      <c r="B276" s="63" t="s">
        <v>1277</v>
      </c>
      <c r="C276" s="64" t="s">
        <v>1278</v>
      </c>
      <c r="D276" s="64" t="s">
        <v>1327</v>
      </c>
      <c r="E276" s="90"/>
      <c r="F276" s="90"/>
    </row>
    <row r="277" spans="1:6">
      <c r="A277" s="61">
        <v>20574</v>
      </c>
      <c r="B277" s="63" t="s">
        <v>1279</v>
      </c>
      <c r="C277" s="64" t="s">
        <v>447</v>
      </c>
      <c r="D277" s="64" t="s">
        <v>618</v>
      </c>
      <c r="E277" s="64">
        <v>31.986668600000002</v>
      </c>
      <c r="F277" s="64">
        <v>34.912524400000002</v>
      </c>
    </row>
    <row r="278" spans="1:6">
      <c r="A278" s="61">
        <v>20581</v>
      </c>
      <c r="B278" s="63" t="s">
        <v>1284</v>
      </c>
      <c r="C278" s="64" t="s">
        <v>1285</v>
      </c>
      <c r="D278" s="64" t="s">
        <v>1335</v>
      </c>
      <c r="E278" s="64">
        <v>40.102572000000002</v>
      </c>
      <c r="F278" s="64">
        <v>27.658373000000001</v>
      </c>
    </row>
    <row r="279" spans="1:6">
      <c r="A279" s="61">
        <v>20584</v>
      </c>
      <c r="B279" s="63" t="s">
        <v>1288</v>
      </c>
      <c r="C279" s="64" t="s">
        <v>1289</v>
      </c>
      <c r="D279" s="64" t="s">
        <v>1338</v>
      </c>
      <c r="E279" s="64">
        <v>33.098984999999999</v>
      </c>
      <c r="F279" s="64">
        <v>35.288522</v>
      </c>
    </row>
    <row r="280" spans="1:6">
      <c r="A280" s="61">
        <v>20587</v>
      </c>
      <c r="B280" s="63" t="s">
        <v>1290</v>
      </c>
      <c r="C280" s="64" t="s">
        <v>1291</v>
      </c>
      <c r="D280" s="64" t="s">
        <v>1340</v>
      </c>
      <c r="E280" s="64">
        <v>31.768319000000002</v>
      </c>
      <c r="F280" s="64">
        <v>35.213709999999999</v>
      </c>
    </row>
    <row r="281" spans="1:6">
      <c r="A281" s="61">
        <v>20589</v>
      </c>
      <c r="B281" s="63" t="s">
        <v>1292</v>
      </c>
      <c r="C281" s="64" t="s">
        <v>1293</v>
      </c>
      <c r="D281" s="64" t="s">
        <v>1344</v>
      </c>
      <c r="E281" s="90"/>
      <c r="F281" s="90"/>
    </row>
    <row r="282" spans="1:6">
      <c r="A282" s="61">
        <v>20591</v>
      </c>
      <c r="B282" s="63" t="s">
        <v>1295</v>
      </c>
      <c r="C282" s="64" t="s">
        <v>447</v>
      </c>
      <c r="D282" s="64" t="s">
        <v>618</v>
      </c>
      <c r="E282" s="64">
        <v>31.986668600000002</v>
      </c>
      <c r="F282" s="64">
        <v>34.912524400000002</v>
      </c>
    </row>
    <row r="283" spans="1:6">
      <c r="A283" s="61">
        <v>20609</v>
      </c>
      <c r="B283" s="63" t="s">
        <v>1297</v>
      </c>
      <c r="C283" s="64" t="s">
        <v>1298</v>
      </c>
      <c r="D283" s="64" t="s">
        <v>1351</v>
      </c>
      <c r="E283" s="64">
        <v>33.207932999999997</v>
      </c>
      <c r="F283" s="64">
        <v>35.570245999999997</v>
      </c>
    </row>
    <row r="284" spans="1:6">
      <c r="A284" s="61">
        <v>20611</v>
      </c>
      <c r="B284" s="63" t="s">
        <v>1299</v>
      </c>
      <c r="C284" s="64" t="s">
        <v>1300</v>
      </c>
      <c r="D284" s="64" t="s">
        <v>1352</v>
      </c>
      <c r="E284" s="73">
        <v>31.94652</v>
      </c>
      <c r="F284" s="73">
        <v>35.221370999999998</v>
      </c>
    </row>
    <row r="285" spans="1:6">
      <c r="A285" s="61">
        <v>20612</v>
      </c>
      <c r="B285" s="63" t="s">
        <v>1301</v>
      </c>
      <c r="C285" s="64" t="s">
        <v>1302</v>
      </c>
      <c r="D285" s="64" t="s">
        <v>1358</v>
      </c>
      <c r="E285" s="73">
        <v>40.400074500000002</v>
      </c>
      <c r="F285" s="73">
        <v>-80.090419199999999</v>
      </c>
    </row>
    <row r="286" spans="1:6">
      <c r="A286" s="61">
        <v>20612</v>
      </c>
      <c r="B286" s="63" t="s">
        <v>1304</v>
      </c>
      <c r="C286" s="64" t="s">
        <v>1305</v>
      </c>
      <c r="D286" s="64" t="s">
        <v>1363</v>
      </c>
      <c r="E286" s="64">
        <v>32.497103000000003</v>
      </c>
      <c r="F286" s="64">
        <v>35.497335999999997</v>
      </c>
    </row>
    <row r="287" spans="1:6">
      <c r="A287" s="61">
        <v>20621</v>
      </c>
      <c r="B287" s="63" t="s">
        <v>1306</v>
      </c>
      <c r="C287" s="64" t="s">
        <v>1307</v>
      </c>
      <c r="D287" s="64" t="s">
        <v>1366</v>
      </c>
      <c r="E287" s="73">
        <v>32.085299900000003</v>
      </c>
      <c r="F287" s="73">
        <v>34.781767599999903</v>
      </c>
    </row>
    <row r="288" spans="1:6">
      <c r="A288" s="61">
        <v>20623</v>
      </c>
      <c r="B288" s="63" t="s">
        <v>1308</v>
      </c>
      <c r="C288" s="64" t="s">
        <v>447</v>
      </c>
      <c r="D288" s="64" t="s">
        <v>618</v>
      </c>
      <c r="E288" s="64">
        <v>31.986668600000002</v>
      </c>
      <c r="F288" s="64">
        <v>34.912524400000002</v>
      </c>
    </row>
    <row r="289" spans="1:6">
      <c r="A289" s="61">
        <v>20643</v>
      </c>
      <c r="B289" s="63" t="s">
        <v>1310</v>
      </c>
      <c r="C289" s="64" t="s">
        <v>1244</v>
      </c>
      <c r="D289" s="64" t="s">
        <v>1282</v>
      </c>
      <c r="E289" s="64">
        <v>32.8109137</v>
      </c>
      <c r="F289" s="64">
        <v>34.9934984</v>
      </c>
    </row>
    <row r="290" spans="1:6">
      <c r="A290" s="61">
        <v>20645</v>
      </c>
      <c r="B290" s="63" t="s">
        <v>1311</v>
      </c>
      <c r="C290" s="64" t="s">
        <v>447</v>
      </c>
      <c r="D290" s="64" t="s">
        <v>618</v>
      </c>
      <c r="E290" s="64">
        <v>31.986668600000002</v>
      </c>
      <c r="F290" s="64">
        <v>34.912524400000002</v>
      </c>
    </row>
    <row r="291" spans="1:6">
      <c r="A291" s="61">
        <v>20649</v>
      </c>
      <c r="B291" s="63" t="s">
        <v>1313</v>
      </c>
      <c r="C291" s="64" t="s">
        <v>848</v>
      </c>
      <c r="D291" s="64" t="s">
        <v>850</v>
      </c>
      <c r="E291" s="64">
        <v>32.085299900000003</v>
      </c>
      <c r="F291" s="64">
        <v>34.781767599999903</v>
      </c>
    </row>
    <row r="292" spans="1:6">
      <c r="A292" s="61">
        <v>20651</v>
      </c>
      <c r="B292" s="63" t="s">
        <v>1316</v>
      </c>
      <c r="C292" s="64" t="s">
        <v>1317</v>
      </c>
      <c r="D292" s="64" t="s">
        <v>1383</v>
      </c>
      <c r="E292" s="64">
        <v>33.008536100000001</v>
      </c>
      <c r="F292" s="64">
        <v>35.098051400000003</v>
      </c>
    </row>
    <row r="293" spans="1:6">
      <c r="A293" s="61">
        <v>20656</v>
      </c>
      <c r="B293" s="63" t="s">
        <v>1318</v>
      </c>
      <c r="C293" s="64" t="s">
        <v>1319</v>
      </c>
      <c r="D293" s="64" t="s">
        <v>1387</v>
      </c>
      <c r="E293" s="64">
        <v>31.768319000000002</v>
      </c>
      <c r="F293" s="64">
        <v>35.213709999999999</v>
      </c>
    </row>
    <row r="294" spans="1:6">
      <c r="A294" s="61">
        <v>20657</v>
      </c>
      <c r="B294" s="63" t="s">
        <v>1320</v>
      </c>
      <c r="C294" s="64" t="s">
        <v>1322</v>
      </c>
      <c r="D294" s="64" t="s">
        <v>1393</v>
      </c>
      <c r="E294" s="73">
        <v>27.561340600000001</v>
      </c>
      <c r="F294" s="73">
        <v>-99.490341599999994</v>
      </c>
    </row>
    <row r="295" spans="1:6">
      <c r="A295" s="61">
        <v>20658</v>
      </c>
      <c r="B295" s="63" t="s">
        <v>1324</v>
      </c>
      <c r="C295" s="64" t="s">
        <v>1244</v>
      </c>
      <c r="D295" s="64" t="s">
        <v>1282</v>
      </c>
      <c r="E295" s="64">
        <v>32.8109137</v>
      </c>
      <c r="F295" s="64">
        <v>34.9934984</v>
      </c>
    </row>
    <row r="296" spans="1:6">
      <c r="A296" s="61">
        <v>20659</v>
      </c>
      <c r="B296" s="63" t="s">
        <v>1325</v>
      </c>
      <c r="C296" s="64" t="s">
        <v>1326</v>
      </c>
      <c r="D296" s="64" t="s">
        <v>1398</v>
      </c>
      <c r="E296" s="64">
        <v>33.196035000000002</v>
      </c>
      <c r="F296" s="64">
        <v>35.657992999999998</v>
      </c>
    </row>
    <row r="297" spans="1:6">
      <c r="A297" s="61">
        <v>20659</v>
      </c>
      <c r="B297" s="63" t="s">
        <v>1328</v>
      </c>
      <c r="C297" s="64" t="s">
        <v>1329</v>
      </c>
      <c r="D297" s="64" t="s">
        <v>1399</v>
      </c>
      <c r="E297" s="64">
        <v>32.964647999999997</v>
      </c>
      <c r="F297" s="64">
        <v>35.495997000000003</v>
      </c>
    </row>
    <row r="298" spans="1:6">
      <c r="A298" s="61">
        <v>20682</v>
      </c>
      <c r="B298" s="63" t="s">
        <v>476</v>
      </c>
      <c r="C298" s="67" t="s">
        <v>478</v>
      </c>
      <c r="D298" s="67" t="s">
        <v>1403</v>
      </c>
      <c r="E298" s="67">
        <v>31.656158999999999</v>
      </c>
      <c r="F298" s="67">
        <v>34.777273000000001</v>
      </c>
    </row>
    <row r="299" spans="1:6">
      <c r="A299" s="61">
        <v>20683</v>
      </c>
      <c r="B299" s="63" t="s">
        <v>1333</v>
      </c>
      <c r="C299" s="64" t="s">
        <v>447</v>
      </c>
      <c r="D299" s="64" t="s">
        <v>618</v>
      </c>
      <c r="E299" s="64">
        <v>31.986668600000002</v>
      </c>
      <c r="F299" s="64">
        <v>34.912524400000002</v>
      </c>
    </row>
    <row r="300" spans="1:6">
      <c r="A300" s="61">
        <v>20683</v>
      </c>
      <c r="B300" s="63" t="s">
        <v>1336</v>
      </c>
      <c r="C300" s="64" t="s">
        <v>447</v>
      </c>
      <c r="D300" s="64" t="s">
        <v>618</v>
      </c>
      <c r="E300" s="64">
        <v>31.986668600000002</v>
      </c>
      <c r="F300" s="64">
        <v>34.912524400000002</v>
      </c>
    </row>
    <row r="301" spans="1:6">
      <c r="A301" s="61">
        <v>20698</v>
      </c>
      <c r="B301" s="63" t="s">
        <v>481</v>
      </c>
      <c r="C301" s="67" t="s">
        <v>1409</v>
      </c>
      <c r="D301" s="67" t="s">
        <v>1411</v>
      </c>
      <c r="E301" s="67">
        <v>30.885983</v>
      </c>
      <c r="F301" s="67">
        <v>34.422569000000003</v>
      </c>
    </row>
    <row r="302" spans="1:6">
      <c r="A302" s="61">
        <v>20708</v>
      </c>
      <c r="B302" s="63" t="s">
        <v>1341</v>
      </c>
      <c r="C302" s="64" t="s">
        <v>1342</v>
      </c>
      <c r="D302" s="64" t="s">
        <v>1412</v>
      </c>
      <c r="E302" s="64">
        <v>31.768319000000002</v>
      </c>
      <c r="F302" s="64">
        <v>35.213709999999999</v>
      </c>
    </row>
    <row r="303" spans="1:6">
      <c r="A303" s="61">
        <v>20709</v>
      </c>
      <c r="B303" s="63" t="s">
        <v>485</v>
      </c>
      <c r="C303" s="64" t="s">
        <v>347</v>
      </c>
      <c r="D303" s="64" t="s">
        <v>1413</v>
      </c>
      <c r="E303" s="64">
        <v>31.612880000000001</v>
      </c>
      <c r="F303" s="64">
        <v>34.895567999999997</v>
      </c>
    </row>
    <row r="304" spans="1:6">
      <c r="A304" s="61">
        <v>20710</v>
      </c>
      <c r="B304" s="63" t="s">
        <v>1415</v>
      </c>
      <c r="C304" s="64" t="s">
        <v>447</v>
      </c>
      <c r="D304" s="64" t="s">
        <v>618</v>
      </c>
      <c r="E304" s="64">
        <v>31.986668600000002</v>
      </c>
      <c r="F304" s="64">
        <v>34.912524400000002</v>
      </c>
    </row>
    <row r="305" spans="1:6">
      <c r="A305" s="61">
        <v>20721</v>
      </c>
      <c r="B305" s="63" t="s">
        <v>1347</v>
      </c>
      <c r="C305" s="64" t="s">
        <v>1317</v>
      </c>
      <c r="D305" s="64" t="s">
        <v>1383</v>
      </c>
      <c r="E305" s="64">
        <v>33.008536100000001</v>
      </c>
      <c r="F305" s="64">
        <v>35.098051400000003</v>
      </c>
    </row>
    <row r="306" spans="1:6">
      <c r="A306" s="61">
        <v>20721</v>
      </c>
      <c r="B306" s="63" t="s">
        <v>492</v>
      </c>
      <c r="C306" s="64" t="s">
        <v>353</v>
      </c>
      <c r="D306" s="64" t="s">
        <v>1420</v>
      </c>
      <c r="E306" s="64">
        <v>31.7403163</v>
      </c>
      <c r="F306" s="64">
        <v>35.217882500000002</v>
      </c>
    </row>
    <row r="307" spans="1:6">
      <c r="A307" s="61">
        <v>20722</v>
      </c>
      <c r="B307" s="63" t="s">
        <v>496</v>
      </c>
      <c r="C307" s="64" t="s">
        <v>357</v>
      </c>
      <c r="D307" s="64" t="s">
        <v>1424</v>
      </c>
      <c r="E307" s="64">
        <v>31.751704999999902</v>
      </c>
      <c r="F307" s="64">
        <v>35.142428000000002</v>
      </c>
    </row>
    <row r="308" spans="1:6">
      <c r="A308" s="61">
        <v>20722</v>
      </c>
      <c r="B308" s="63" t="s">
        <v>501</v>
      </c>
      <c r="C308" s="64" t="s">
        <v>362</v>
      </c>
      <c r="D308" s="64" t="s">
        <v>1429</v>
      </c>
      <c r="E308" s="64">
        <v>32.494070000000001</v>
      </c>
      <c r="F308" s="64">
        <v>35.550767</v>
      </c>
    </row>
    <row r="309" spans="1:6">
      <c r="A309" s="61">
        <v>20732</v>
      </c>
      <c r="B309" s="63" t="s">
        <v>1430</v>
      </c>
      <c r="C309" s="64" t="s">
        <v>447</v>
      </c>
      <c r="D309" s="64" t="s">
        <v>618</v>
      </c>
      <c r="E309" s="64">
        <v>31.986668600000002</v>
      </c>
      <c r="F309" s="64">
        <v>34.912524400000002</v>
      </c>
    </row>
    <row r="310" spans="1:6">
      <c r="A310" s="61">
        <v>20737</v>
      </c>
      <c r="B310" s="63" t="s">
        <v>1431</v>
      </c>
      <c r="C310" s="64" t="s">
        <v>1356</v>
      </c>
      <c r="D310" s="64" t="s">
        <v>1434</v>
      </c>
      <c r="E310" s="64">
        <v>32.178195000000002</v>
      </c>
      <c r="F310" s="64">
        <v>34.907609999999998</v>
      </c>
    </row>
    <row r="311" spans="1:6">
      <c r="A311" s="61">
        <v>20748</v>
      </c>
      <c r="B311" s="63" t="s">
        <v>515</v>
      </c>
      <c r="C311" s="67" t="s">
        <v>1409</v>
      </c>
      <c r="D311" s="67" t="s">
        <v>1411</v>
      </c>
      <c r="E311" s="67">
        <v>30.885983</v>
      </c>
      <c r="F311" s="67">
        <v>34.422569000000003</v>
      </c>
    </row>
    <row r="312" spans="1:6">
      <c r="A312" s="61">
        <v>20760</v>
      </c>
      <c r="B312" s="63" t="s">
        <v>1360</v>
      </c>
      <c r="C312" s="64" t="s">
        <v>447</v>
      </c>
      <c r="D312" s="64" t="s">
        <v>618</v>
      </c>
      <c r="E312" s="64">
        <v>31.986668600000002</v>
      </c>
      <c r="F312" s="64">
        <v>34.912524400000002</v>
      </c>
    </row>
    <row r="313" spans="1:6">
      <c r="A313" s="61">
        <v>20768</v>
      </c>
      <c r="B313" s="63" t="s">
        <v>1361</v>
      </c>
      <c r="C313" s="64" t="s">
        <v>1362</v>
      </c>
      <c r="D313" s="64" t="s">
        <v>1439</v>
      </c>
      <c r="E313" s="73">
        <v>28.624591500000001</v>
      </c>
      <c r="F313" s="73">
        <v>77.197902200000001</v>
      </c>
    </row>
    <row r="314" spans="1:6">
      <c r="A314" s="61">
        <v>20770</v>
      </c>
      <c r="B314" s="63" t="s">
        <v>1365</v>
      </c>
      <c r="C314" s="64" t="s">
        <v>1317</v>
      </c>
      <c r="D314" s="64" t="s">
        <v>1383</v>
      </c>
      <c r="E314" s="64">
        <v>33.008536100000001</v>
      </c>
      <c r="F314" s="64">
        <v>35.098051400000003</v>
      </c>
    </row>
    <row r="315" spans="1:6">
      <c r="A315" s="61">
        <v>20780</v>
      </c>
      <c r="B315" s="63" t="s">
        <v>1367</v>
      </c>
      <c r="C315" s="64" t="s">
        <v>447</v>
      </c>
      <c r="D315" s="64" t="s">
        <v>618</v>
      </c>
      <c r="E315" s="64">
        <v>31.986668600000002</v>
      </c>
      <c r="F315" s="64">
        <v>34.912524400000002</v>
      </c>
    </row>
    <row r="316" spans="1:6">
      <c r="A316" s="61">
        <v>20789</v>
      </c>
      <c r="B316" s="63" t="s">
        <v>1368</v>
      </c>
      <c r="C316" s="64" t="s">
        <v>1369</v>
      </c>
      <c r="D316" s="64" t="s">
        <v>1454</v>
      </c>
      <c r="E316" s="64">
        <v>31.252973000000001</v>
      </c>
      <c r="F316" s="64">
        <v>34.791462000000003</v>
      </c>
    </row>
    <row r="317" spans="1:6">
      <c r="A317" s="61">
        <v>20804</v>
      </c>
      <c r="B317" s="63" t="s">
        <v>1370</v>
      </c>
      <c r="C317" s="64" t="s">
        <v>1371</v>
      </c>
      <c r="D317" s="64" t="s">
        <v>1456</v>
      </c>
      <c r="E317" s="73">
        <v>44.981698399999999</v>
      </c>
      <c r="F317" s="73">
        <v>-93.285310199999998</v>
      </c>
    </row>
    <row r="318" spans="1:6">
      <c r="A318" s="61">
        <v>20804</v>
      </c>
      <c r="B318" s="63" t="s">
        <v>1372</v>
      </c>
      <c r="C318" s="64" t="s">
        <v>848</v>
      </c>
      <c r="D318" s="64" t="s">
        <v>850</v>
      </c>
      <c r="E318" s="64">
        <v>32.085299900000003</v>
      </c>
      <c r="F318" s="64">
        <v>34.781767599999903</v>
      </c>
    </row>
    <row r="319" spans="1:6">
      <c r="A319" s="61">
        <v>20812</v>
      </c>
      <c r="B319" s="63" t="s">
        <v>1374</v>
      </c>
      <c r="C319" s="64" t="s">
        <v>1375</v>
      </c>
      <c r="D319" s="64" t="s">
        <v>1467</v>
      </c>
      <c r="E319" s="64">
        <v>33.247571999999998</v>
      </c>
      <c r="F319" s="64">
        <v>35.548499</v>
      </c>
    </row>
    <row r="320" spans="1:6">
      <c r="A320" s="61">
        <v>20816</v>
      </c>
      <c r="B320" s="63" t="s">
        <v>1376</v>
      </c>
      <c r="C320" s="64" t="s">
        <v>1377</v>
      </c>
      <c r="D320" s="64" t="s">
        <v>1471</v>
      </c>
      <c r="E320" s="64">
        <v>33.221485000000001</v>
      </c>
      <c r="F320" s="64">
        <v>35.623027999999998</v>
      </c>
    </row>
    <row r="321" spans="1:6">
      <c r="A321" s="61">
        <v>20824</v>
      </c>
      <c r="B321" s="63" t="s">
        <v>1378</v>
      </c>
      <c r="C321" s="64" t="s">
        <v>1379</v>
      </c>
      <c r="D321" s="64" t="s">
        <v>1475</v>
      </c>
      <c r="E321" s="64">
        <v>32.196015000000003</v>
      </c>
      <c r="F321" s="64">
        <v>34.981513</v>
      </c>
    </row>
    <row r="322" spans="1:6">
      <c r="A322" s="61">
        <v>20829</v>
      </c>
      <c r="B322" s="63" t="s">
        <v>1381</v>
      </c>
      <c r="C322" s="64" t="s">
        <v>838</v>
      </c>
      <c r="D322" s="64" t="s">
        <v>839</v>
      </c>
      <c r="E322" s="64">
        <v>41.735088400000002</v>
      </c>
      <c r="F322" s="64">
        <v>-75.1396151</v>
      </c>
    </row>
    <row r="323" spans="1:6">
      <c r="A323" s="61">
        <v>20831</v>
      </c>
      <c r="B323" s="63" t="s">
        <v>1384</v>
      </c>
      <c r="C323" s="64" t="s">
        <v>1386</v>
      </c>
      <c r="D323" s="64" t="s">
        <v>1479</v>
      </c>
      <c r="E323" s="73">
        <v>32.696879799999998</v>
      </c>
      <c r="F323" s="73">
        <v>35.323705699999998</v>
      </c>
    </row>
    <row r="324" spans="1:6">
      <c r="A324" s="61">
        <v>20846</v>
      </c>
      <c r="B324" s="63" t="s">
        <v>1389</v>
      </c>
      <c r="C324" s="64" t="s">
        <v>1390</v>
      </c>
      <c r="D324" s="64" t="s">
        <v>1484</v>
      </c>
      <c r="E324" s="64">
        <v>33.166753999999997</v>
      </c>
      <c r="F324" s="64">
        <v>35.659948999999997</v>
      </c>
    </row>
    <row r="325" spans="1:6">
      <c r="A325" s="61">
        <v>20848</v>
      </c>
      <c r="B325" s="63" t="s">
        <v>1391</v>
      </c>
      <c r="C325" s="64" t="s">
        <v>215</v>
      </c>
      <c r="D325" s="64" t="s">
        <v>845</v>
      </c>
      <c r="E325" s="64">
        <v>32.184781000000001</v>
      </c>
      <c r="F325" s="64">
        <v>34.871326000000003</v>
      </c>
    </row>
    <row r="326" spans="1:6">
      <c r="A326" s="61">
        <v>20857</v>
      </c>
      <c r="B326" s="63" t="s">
        <v>1394</v>
      </c>
      <c r="C326" s="64" t="s">
        <v>1042</v>
      </c>
      <c r="D326" s="64" t="s">
        <v>1064</v>
      </c>
      <c r="E326" s="64">
        <v>32.723787000000002</v>
      </c>
      <c r="F326" s="64">
        <v>35.565241999999998</v>
      </c>
    </row>
    <row r="327" spans="1:6">
      <c r="A327" s="61">
        <v>20887</v>
      </c>
      <c r="B327" s="63" t="s">
        <v>1396</v>
      </c>
      <c r="C327" s="64" t="s">
        <v>1397</v>
      </c>
      <c r="D327" s="64" t="s">
        <v>1490</v>
      </c>
      <c r="E327" s="73">
        <v>38.788180099999998</v>
      </c>
      <c r="F327" s="73">
        <v>-92.9301265</v>
      </c>
    </row>
    <row r="328" spans="1:6">
      <c r="A328" s="61">
        <v>20921</v>
      </c>
      <c r="B328" s="63" t="s">
        <v>1401</v>
      </c>
      <c r="C328" s="64" t="s">
        <v>32</v>
      </c>
      <c r="D328" s="64" t="s">
        <v>346</v>
      </c>
      <c r="E328" s="64">
        <v>31.768319000000002</v>
      </c>
      <c r="F328" s="64">
        <v>35.213709999999999</v>
      </c>
    </row>
    <row r="329" spans="1:6">
      <c r="A329" s="61">
        <v>20922</v>
      </c>
      <c r="B329" s="63" t="s">
        <v>1404</v>
      </c>
      <c r="C329" s="64" t="s">
        <v>1405</v>
      </c>
      <c r="D329" s="64" t="s">
        <v>1495</v>
      </c>
      <c r="E329" s="73">
        <v>32.268726000000001</v>
      </c>
      <c r="F329" s="73">
        <v>34.918870800000001</v>
      </c>
    </row>
    <row r="330" spans="1:6">
      <c r="A330" s="61">
        <v>20935</v>
      </c>
      <c r="B330" s="63" t="s">
        <v>1407</v>
      </c>
      <c r="C330" s="64" t="s">
        <v>1042</v>
      </c>
      <c r="D330" s="64" t="s">
        <v>1064</v>
      </c>
      <c r="E330" s="64">
        <v>32.723787000000002</v>
      </c>
      <c r="F330" s="64">
        <v>35.565241999999998</v>
      </c>
    </row>
    <row r="331" spans="1:6">
      <c r="A331" s="61">
        <v>20961</v>
      </c>
      <c r="B331" s="63" t="s">
        <v>1410</v>
      </c>
      <c r="C331" s="64" t="s">
        <v>447</v>
      </c>
      <c r="D331" s="64" t="s">
        <v>618</v>
      </c>
      <c r="E331" s="64">
        <v>31.986668600000002</v>
      </c>
      <c r="F331" s="64">
        <v>34.912524400000002</v>
      </c>
    </row>
    <row r="332" spans="1:6">
      <c r="A332" s="61">
        <v>20985</v>
      </c>
      <c r="B332" s="63" t="s">
        <v>1414</v>
      </c>
      <c r="C332" s="64" t="s">
        <v>32</v>
      </c>
      <c r="D332" s="64" t="s">
        <v>346</v>
      </c>
      <c r="E332" s="64">
        <v>31.768319000000002</v>
      </c>
      <c r="F332" s="64">
        <v>35.213709999999999</v>
      </c>
    </row>
    <row r="333" spans="1:6">
      <c r="A333" s="61">
        <v>20987</v>
      </c>
      <c r="B333" s="63" t="s">
        <v>1416</v>
      </c>
      <c r="C333" s="64" t="s">
        <v>1417</v>
      </c>
      <c r="D333" s="64" t="s">
        <v>1506</v>
      </c>
      <c r="E333" s="64">
        <v>32.085299900000003</v>
      </c>
      <c r="F333" s="64">
        <v>34.781767599999903</v>
      </c>
    </row>
    <row r="334" spans="1:6">
      <c r="A334" s="61">
        <v>20990</v>
      </c>
      <c r="B334" s="63" t="s">
        <v>1418</v>
      </c>
      <c r="C334" s="85"/>
      <c r="D334" s="86" t="s">
        <v>582</v>
      </c>
      <c r="E334" s="73">
        <v>39.912941199999999</v>
      </c>
      <c r="F334" s="73">
        <v>-104.79560549999999</v>
      </c>
    </row>
    <row r="335" spans="1:6">
      <c r="A335" s="61">
        <v>20991</v>
      </c>
      <c r="B335" s="63" t="s">
        <v>1421</v>
      </c>
      <c r="C335" s="64" t="s">
        <v>32</v>
      </c>
      <c r="D335" s="64" t="s">
        <v>346</v>
      </c>
      <c r="E335" s="64">
        <v>31.768319000000002</v>
      </c>
      <c r="F335" s="64">
        <v>35.213709999999999</v>
      </c>
    </row>
    <row r="336" spans="1:6">
      <c r="A336" s="61">
        <v>20995</v>
      </c>
      <c r="B336" s="63" t="s">
        <v>1422</v>
      </c>
      <c r="C336" s="64" t="s">
        <v>800</v>
      </c>
      <c r="D336" s="64" t="s">
        <v>859</v>
      </c>
      <c r="E336" s="64">
        <v>33.087634000000001</v>
      </c>
      <c r="F336" s="64">
        <v>35.173430000000003</v>
      </c>
    </row>
    <row r="337" spans="1:6">
      <c r="A337" s="61">
        <v>21010</v>
      </c>
      <c r="B337" s="63" t="s">
        <v>1425</v>
      </c>
      <c r="C337" s="64" t="s">
        <v>1426</v>
      </c>
      <c r="D337" s="64" t="s">
        <v>1514</v>
      </c>
      <c r="E337" s="64">
        <v>32.708765</v>
      </c>
      <c r="F337" s="64">
        <v>35.503777999999997</v>
      </c>
    </row>
    <row r="338" spans="1:6">
      <c r="A338" s="61">
        <v>21012</v>
      </c>
      <c r="B338" s="63" t="s">
        <v>1427</v>
      </c>
      <c r="C338" s="64" t="s">
        <v>1428</v>
      </c>
      <c r="D338" s="64" t="s">
        <v>1518</v>
      </c>
      <c r="E338" s="73">
        <v>28.204895799999999</v>
      </c>
      <c r="F338" s="73">
        <v>112.9266856</v>
      </c>
    </row>
    <row r="339" spans="1:6">
      <c r="A339" s="61">
        <v>21028</v>
      </c>
      <c r="B339" s="63" t="s">
        <v>1432</v>
      </c>
      <c r="C339" s="64" t="s">
        <v>1433</v>
      </c>
      <c r="D339" s="64" t="s">
        <v>1523</v>
      </c>
      <c r="E339" s="73">
        <v>40.853167599999999</v>
      </c>
      <c r="F339" s="73">
        <v>-79.247723399999998</v>
      </c>
    </row>
    <row r="340" spans="1:6">
      <c r="A340" s="61">
        <v>21029</v>
      </c>
      <c r="B340" s="63" t="s">
        <v>1437</v>
      </c>
      <c r="C340" s="64" t="s">
        <v>1438</v>
      </c>
      <c r="D340" s="64" t="s">
        <v>1532</v>
      </c>
      <c r="E340" s="64">
        <v>32.073495999999999</v>
      </c>
      <c r="F340" s="64">
        <v>34.804875000000003</v>
      </c>
    </row>
    <row r="341" spans="1:6">
      <c r="A341" s="61">
        <v>21070</v>
      </c>
      <c r="B341" s="63" t="s">
        <v>1440</v>
      </c>
      <c r="C341" s="64" t="s">
        <v>430</v>
      </c>
      <c r="D341" s="64" t="s">
        <v>1536</v>
      </c>
      <c r="E341" s="64">
        <v>31.518459</v>
      </c>
      <c r="F341" s="64">
        <v>34.580544000000003</v>
      </c>
    </row>
    <row r="342" spans="1:6">
      <c r="A342" s="61">
        <v>21073</v>
      </c>
      <c r="B342" s="63" t="s">
        <v>1442</v>
      </c>
      <c r="C342" s="64" t="s">
        <v>1443</v>
      </c>
      <c r="D342" s="64" t="s">
        <v>1538</v>
      </c>
      <c r="E342" s="64">
        <v>30.585163999999999</v>
      </c>
      <c r="F342" s="64">
        <v>36.238413999999999</v>
      </c>
    </row>
    <row r="343" spans="1:6">
      <c r="A343" s="61">
        <v>21085</v>
      </c>
      <c r="B343" s="63" t="s">
        <v>1444</v>
      </c>
      <c r="C343" s="64" t="s">
        <v>1445</v>
      </c>
      <c r="D343" s="64" t="s">
        <v>1539</v>
      </c>
      <c r="E343" s="64">
        <v>31.773572999999999</v>
      </c>
      <c r="F343" s="64">
        <v>35.074446999999999</v>
      </c>
    </row>
    <row r="344" spans="1:6">
      <c r="A344" s="61">
        <v>21115</v>
      </c>
      <c r="B344" s="63" t="s">
        <v>1447</v>
      </c>
      <c r="C344" s="64" t="s">
        <v>1448</v>
      </c>
      <c r="D344" s="64" t="s">
        <v>1540</v>
      </c>
      <c r="E344" s="90"/>
      <c r="F344" s="90"/>
    </row>
    <row r="345" spans="1:6">
      <c r="A345" s="61">
        <v>21120</v>
      </c>
      <c r="B345" s="63" t="s">
        <v>1450</v>
      </c>
      <c r="C345" s="64" t="s">
        <v>1451</v>
      </c>
      <c r="D345" s="64" t="s">
        <v>1541</v>
      </c>
      <c r="E345" s="64">
        <v>31.681642</v>
      </c>
      <c r="F345" s="64">
        <v>34.565176000000001</v>
      </c>
    </row>
    <row r="346" spans="1:6">
      <c r="A346" s="61">
        <v>21130</v>
      </c>
      <c r="B346" s="63" t="s">
        <v>1452</v>
      </c>
      <c r="C346" s="64" t="s">
        <v>1453</v>
      </c>
      <c r="D346" s="64" t="s">
        <v>1543</v>
      </c>
      <c r="E346" s="73">
        <v>38.935165300000001</v>
      </c>
      <c r="F346" s="73">
        <v>-104.83931680000001</v>
      </c>
    </row>
    <row r="347" spans="1:6">
      <c r="A347" s="61">
        <v>21147</v>
      </c>
      <c r="B347" s="63" t="s">
        <v>1549</v>
      </c>
      <c r="C347" s="64" t="s">
        <v>1458</v>
      </c>
      <c r="D347" s="64" t="s">
        <v>1552</v>
      </c>
      <c r="E347" s="73">
        <v>44.981698399999999</v>
      </c>
      <c r="F347" s="73">
        <v>-93.285310199999998</v>
      </c>
    </row>
    <row r="348" spans="1:6">
      <c r="A348" s="61">
        <v>21148</v>
      </c>
      <c r="B348" s="63" t="s">
        <v>1460</v>
      </c>
      <c r="C348" s="64" t="s">
        <v>32</v>
      </c>
      <c r="D348" s="64" t="s">
        <v>346</v>
      </c>
      <c r="E348" s="64">
        <v>31.768319000000002</v>
      </c>
      <c r="F348" s="64">
        <v>35.213709999999999</v>
      </c>
    </row>
    <row r="349" spans="1:6">
      <c r="A349" s="61">
        <v>21150</v>
      </c>
      <c r="B349" s="63" t="s">
        <v>1462</v>
      </c>
      <c r="C349" s="64" t="s">
        <v>1463</v>
      </c>
      <c r="D349" s="64" t="s">
        <v>1560</v>
      </c>
      <c r="E349" s="73">
        <v>39.229343299999996</v>
      </c>
      <c r="F349" s="73">
        <v>-80.463684999999998</v>
      </c>
    </row>
    <row r="350" spans="1:6">
      <c r="A350" s="61">
        <v>21152</v>
      </c>
      <c r="B350" s="63" t="s">
        <v>1465</v>
      </c>
      <c r="C350" s="64" t="s">
        <v>1466</v>
      </c>
      <c r="D350" s="64" t="s">
        <v>1564</v>
      </c>
      <c r="E350" s="73">
        <v>33.338197299999997</v>
      </c>
      <c r="F350" s="73">
        <v>-79.966555799999995</v>
      </c>
    </row>
    <row r="351" spans="1:6">
      <c r="A351" s="61">
        <v>21154</v>
      </c>
      <c r="B351" s="63" t="s">
        <v>1468</v>
      </c>
      <c r="C351" s="64" t="s">
        <v>563</v>
      </c>
      <c r="D351" s="64" t="s">
        <v>625</v>
      </c>
      <c r="E351" s="64">
        <v>31.419462500000002</v>
      </c>
      <c r="F351" s="64">
        <v>34.568954900000001</v>
      </c>
    </row>
    <row r="352" spans="1:6">
      <c r="A352" s="61">
        <v>21165</v>
      </c>
      <c r="B352" s="63" t="s">
        <v>1470</v>
      </c>
      <c r="C352" s="64" t="s">
        <v>889</v>
      </c>
      <c r="D352" s="64" t="s">
        <v>913</v>
      </c>
      <c r="E352" s="64">
        <v>32.630552199999997</v>
      </c>
      <c r="F352" s="64">
        <v>51.299747199999999</v>
      </c>
    </row>
    <row r="353" spans="1:6">
      <c r="A353" s="61">
        <v>21193</v>
      </c>
      <c r="B353" s="63" t="s">
        <v>1472</v>
      </c>
      <c r="C353" s="64" t="s">
        <v>1473</v>
      </c>
      <c r="D353" s="64" t="s">
        <v>1574</v>
      </c>
      <c r="E353" s="73">
        <v>44.5642572</v>
      </c>
      <c r="F353" s="73">
        <v>-123.2793851</v>
      </c>
    </row>
    <row r="354" spans="1:6">
      <c r="A354" s="61">
        <v>21203</v>
      </c>
      <c r="B354" s="63" t="s">
        <v>1477</v>
      </c>
      <c r="C354" s="64" t="s">
        <v>1478</v>
      </c>
      <c r="D354" s="64" t="s">
        <v>1580</v>
      </c>
      <c r="E354" s="64">
        <v>31.767764</v>
      </c>
      <c r="F354" s="64">
        <v>35.160212999999999</v>
      </c>
    </row>
    <row r="355" spans="1:6">
      <c r="A355" s="61">
        <v>21207</v>
      </c>
      <c r="B355" s="63" t="s">
        <v>1480</v>
      </c>
      <c r="C355" s="64" t="s">
        <v>1481</v>
      </c>
      <c r="D355" s="64" t="s">
        <v>1584</v>
      </c>
      <c r="E355" s="64">
        <v>31.7712726</v>
      </c>
      <c r="F355" s="64">
        <v>35.228941499999998</v>
      </c>
    </row>
    <row r="356" spans="1:6">
      <c r="A356" s="61">
        <v>21213</v>
      </c>
      <c r="B356" s="63" t="s">
        <v>1482</v>
      </c>
      <c r="C356" s="64" t="s">
        <v>1483</v>
      </c>
      <c r="D356" s="64" t="s">
        <v>1588</v>
      </c>
      <c r="E356" s="73">
        <v>32.090078200000001</v>
      </c>
      <c r="F356" s="73">
        <v>34.961770299999998</v>
      </c>
    </row>
    <row r="357" spans="1:6">
      <c r="A357" s="61">
        <v>21220</v>
      </c>
      <c r="B357" s="63" t="s">
        <v>1486</v>
      </c>
      <c r="C357" s="64" t="s">
        <v>1487</v>
      </c>
      <c r="D357" s="64" t="s">
        <v>1594</v>
      </c>
      <c r="E357" s="64">
        <v>39.889299200000004</v>
      </c>
      <c r="F357" s="64">
        <v>-75.455060899999907</v>
      </c>
    </row>
    <row r="358" spans="1:6">
      <c r="A358" s="61">
        <v>21224</v>
      </c>
      <c r="B358" s="63" t="s">
        <v>1488</v>
      </c>
      <c r="C358" s="64" t="s">
        <v>1489</v>
      </c>
      <c r="D358" s="64" t="s">
        <v>1597</v>
      </c>
      <c r="E358" s="73">
        <v>29.896322000000001</v>
      </c>
      <c r="F358" s="73">
        <v>35.059227</v>
      </c>
    </row>
    <row r="359" spans="1:6">
      <c r="A359" s="61">
        <v>21227</v>
      </c>
      <c r="B359" s="63" t="s">
        <v>1491</v>
      </c>
      <c r="C359" s="64" t="s">
        <v>1492</v>
      </c>
      <c r="D359" s="64" t="s">
        <v>1601</v>
      </c>
      <c r="E359" s="64">
        <v>44.231006999999998</v>
      </c>
      <c r="F359" s="64">
        <v>0.27258500000000002</v>
      </c>
    </row>
    <row r="360" spans="1:6">
      <c r="A360" s="61">
        <v>21228</v>
      </c>
      <c r="B360" s="63" t="s">
        <v>1493</v>
      </c>
      <c r="C360" s="64" t="s">
        <v>1494</v>
      </c>
      <c r="D360" s="64" t="s">
        <v>1603</v>
      </c>
      <c r="E360" s="73">
        <v>43.6179092</v>
      </c>
      <c r="F360" s="73">
        <v>-72.524891799999907</v>
      </c>
    </row>
    <row r="361" spans="1:6">
      <c r="A361" s="61">
        <v>21234</v>
      </c>
      <c r="B361" s="63" t="s">
        <v>1496</v>
      </c>
      <c r="C361" s="64" t="s">
        <v>1497</v>
      </c>
      <c r="D361" s="64" t="s">
        <v>1608</v>
      </c>
      <c r="E361" s="64">
        <v>30.244449899999999</v>
      </c>
      <c r="F361" s="64">
        <v>-81.534375499999996</v>
      </c>
    </row>
    <row r="362" spans="1:6">
      <c r="A362" s="61">
        <v>21260</v>
      </c>
      <c r="B362" s="63" t="s">
        <v>1499</v>
      </c>
      <c r="C362" s="64" t="s">
        <v>1500</v>
      </c>
      <c r="D362" s="64" t="s">
        <v>1610</v>
      </c>
      <c r="E362" s="64">
        <v>32.4340458</v>
      </c>
      <c r="F362" s="64">
        <v>34.919651799999997</v>
      </c>
    </row>
    <row r="363" spans="1:6">
      <c r="A363" s="61">
        <v>21268</v>
      </c>
      <c r="B363" s="63" t="s">
        <v>1501</v>
      </c>
      <c r="C363" s="64" t="s">
        <v>1502</v>
      </c>
      <c r="D363" s="64" t="s">
        <v>1612</v>
      </c>
      <c r="E363" s="73">
        <v>32.56653</v>
      </c>
      <c r="F363" s="73">
        <v>35.372160000000001</v>
      </c>
    </row>
    <row r="364" spans="1:6">
      <c r="A364" s="61">
        <v>21270</v>
      </c>
      <c r="B364" s="63" t="s">
        <v>1504</v>
      </c>
      <c r="C364" s="64" t="s">
        <v>949</v>
      </c>
      <c r="D364" s="64" t="s">
        <v>951</v>
      </c>
      <c r="E364" s="64">
        <v>31.472679999999901</v>
      </c>
      <c r="F364" s="64">
        <v>34.497675000000001</v>
      </c>
    </row>
    <row r="365" spans="1:6">
      <c r="A365" s="61">
        <v>21275</v>
      </c>
      <c r="B365" s="63" t="s">
        <v>1505</v>
      </c>
      <c r="C365" s="64" t="s">
        <v>838</v>
      </c>
      <c r="D365" s="64" t="s">
        <v>839</v>
      </c>
      <c r="E365" s="64">
        <v>41.735088400000002</v>
      </c>
      <c r="F365" s="64">
        <v>-75.1396151</v>
      </c>
    </row>
    <row r="366" spans="1:6">
      <c r="A366" s="61">
        <v>21279</v>
      </c>
      <c r="B366" s="63" t="s">
        <v>1508</v>
      </c>
      <c r="C366" s="64" t="s">
        <v>447</v>
      </c>
      <c r="D366" s="64" t="s">
        <v>618</v>
      </c>
      <c r="E366" s="64">
        <v>31.986668600000002</v>
      </c>
      <c r="F366" s="64">
        <v>34.912524400000002</v>
      </c>
    </row>
    <row r="367" spans="1:6">
      <c r="A367" s="61">
        <v>21297</v>
      </c>
      <c r="B367" s="63" t="s">
        <v>1509</v>
      </c>
      <c r="C367" s="64" t="s">
        <v>711</v>
      </c>
      <c r="D367" s="64" t="s">
        <v>712</v>
      </c>
      <c r="E367" s="64">
        <v>29.557669000000001</v>
      </c>
      <c r="F367" s="64">
        <v>34.951925000000003</v>
      </c>
    </row>
    <row r="368" spans="1:6">
      <c r="A368" s="61">
        <v>21332</v>
      </c>
      <c r="B368" s="63" t="s">
        <v>1510</v>
      </c>
      <c r="C368" s="64" t="s">
        <v>1511</v>
      </c>
      <c r="D368" s="64" t="s">
        <v>1623</v>
      </c>
      <c r="E368" s="73">
        <v>30.464712200000001</v>
      </c>
      <c r="F368" s="73">
        <v>-97.653938099999905</v>
      </c>
    </row>
    <row r="369" spans="1:6">
      <c r="A369" s="61">
        <v>21336</v>
      </c>
      <c r="B369" s="63" t="s">
        <v>1512</v>
      </c>
      <c r="C369" s="64" t="s">
        <v>1513</v>
      </c>
      <c r="D369" s="64" t="s">
        <v>1629</v>
      </c>
      <c r="E369" s="73">
        <v>13.100981900000001</v>
      </c>
      <c r="F369" s="73">
        <v>80.232730500000002</v>
      </c>
    </row>
    <row r="370" spans="1:6">
      <c r="A370" s="61">
        <v>21369</v>
      </c>
      <c r="B370" s="63" t="s">
        <v>1516</v>
      </c>
      <c r="C370" s="64" t="s">
        <v>1517</v>
      </c>
      <c r="D370" s="64" t="s">
        <v>1632</v>
      </c>
      <c r="E370" s="64">
        <v>32.751801999999998</v>
      </c>
      <c r="F370" s="64">
        <v>35.238022000000001</v>
      </c>
    </row>
    <row r="371" spans="1:6">
      <c r="A371" s="61">
        <v>21397</v>
      </c>
      <c r="B371" s="63" t="s">
        <v>1519</v>
      </c>
      <c r="C371" s="64" t="s">
        <v>1520</v>
      </c>
      <c r="D371" s="64" t="s">
        <v>1635</v>
      </c>
      <c r="E371" s="73">
        <v>32.494236000000001</v>
      </c>
      <c r="F371" s="73">
        <v>35.519936000000001</v>
      </c>
    </row>
    <row r="372" spans="1:6">
      <c r="A372" s="61">
        <v>21432</v>
      </c>
      <c r="B372" s="63" t="s">
        <v>1521</v>
      </c>
      <c r="C372" s="64" t="s">
        <v>1522</v>
      </c>
      <c r="D372" s="64" t="s">
        <v>1640</v>
      </c>
      <c r="E372" s="64">
        <v>31.697475000000001</v>
      </c>
      <c r="F372" s="64">
        <v>34.912024000000002</v>
      </c>
    </row>
    <row r="373" spans="1:6">
      <c r="A373" s="61">
        <v>21441</v>
      </c>
      <c r="B373" s="63" t="s">
        <v>1524</v>
      </c>
      <c r="C373" s="64" t="s">
        <v>1525</v>
      </c>
      <c r="D373" s="64" t="s">
        <v>1643</v>
      </c>
      <c r="E373" s="73">
        <v>33.485998899999998</v>
      </c>
      <c r="F373" s="73">
        <v>-79.7175692</v>
      </c>
    </row>
    <row r="374" spans="1:6">
      <c r="A374" s="61">
        <v>21473</v>
      </c>
      <c r="B374" s="63" t="s">
        <v>1528</v>
      </c>
      <c r="C374" s="64" t="s">
        <v>1529</v>
      </c>
      <c r="D374" s="64" t="s">
        <v>1647</v>
      </c>
      <c r="E374" s="64">
        <v>32.114092999999997</v>
      </c>
      <c r="F374" s="64">
        <v>34.972766999999997</v>
      </c>
    </row>
    <row r="375" spans="1:6">
      <c r="A375" s="61">
        <v>21476</v>
      </c>
      <c r="B375" s="63" t="s">
        <v>1530</v>
      </c>
      <c r="C375" s="64" t="s">
        <v>838</v>
      </c>
      <c r="D375" s="64" t="s">
        <v>839</v>
      </c>
      <c r="E375" s="64">
        <v>41.735088400000002</v>
      </c>
      <c r="F375" s="64">
        <v>-75.1396151</v>
      </c>
    </row>
    <row r="376" spans="1:6">
      <c r="A376" s="61">
        <v>21495</v>
      </c>
      <c r="B376" s="63" t="s">
        <v>1533</v>
      </c>
      <c r="C376" s="64" t="s">
        <v>1535</v>
      </c>
      <c r="D376" s="64" t="s">
        <v>1656</v>
      </c>
      <c r="E376" s="73">
        <v>35.752603100000002</v>
      </c>
      <c r="F376" s="73">
        <v>51.444006899999998</v>
      </c>
    </row>
    <row r="377" spans="1:6">
      <c r="A377" s="61">
        <v>21509</v>
      </c>
      <c r="B377" s="63" t="s">
        <v>1542</v>
      </c>
      <c r="C377" s="64" t="s">
        <v>949</v>
      </c>
      <c r="D377" s="64" t="s">
        <v>951</v>
      </c>
      <c r="E377" s="64">
        <v>31.472679999999901</v>
      </c>
      <c r="F377" s="64">
        <v>34.497675000000001</v>
      </c>
    </row>
    <row r="378" spans="1:6">
      <c r="A378" s="61">
        <v>21510</v>
      </c>
      <c r="B378" s="63" t="s">
        <v>1544</v>
      </c>
      <c r="C378" s="64" t="s">
        <v>547</v>
      </c>
      <c r="D378" s="64" t="s">
        <v>553</v>
      </c>
      <c r="E378" s="64">
        <v>31.681260399999999</v>
      </c>
      <c r="F378" s="64">
        <v>34.585908400000001</v>
      </c>
    </row>
    <row r="379" spans="1:6">
      <c r="A379" s="61">
        <v>21522</v>
      </c>
      <c r="B379" s="63" t="s">
        <v>1546</v>
      </c>
      <c r="C379" s="64" t="s">
        <v>32</v>
      </c>
      <c r="D379" s="64" t="s">
        <v>346</v>
      </c>
      <c r="E379" s="64">
        <v>31.768319000000002</v>
      </c>
      <c r="F379" s="64">
        <v>35.213709999999999</v>
      </c>
    </row>
    <row r="380" spans="1:6">
      <c r="A380" s="61">
        <v>21525</v>
      </c>
      <c r="B380" s="63" t="s">
        <v>1547</v>
      </c>
      <c r="C380" s="64" t="s">
        <v>1548</v>
      </c>
      <c r="D380" s="64" t="s">
        <v>1659</v>
      </c>
      <c r="E380" s="64">
        <v>47.551906700000004</v>
      </c>
      <c r="F380" s="64">
        <v>18.9731931</v>
      </c>
    </row>
    <row r="381" spans="1:6">
      <c r="A381" s="61">
        <v>21562</v>
      </c>
      <c r="B381" s="63" t="s">
        <v>1550</v>
      </c>
      <c r="C381" s="64" t="s">
        <v>1551</v>
      </c>
      <c r="D381" s="64" t="s">
        <v>1660</v>
      </c>
      <c r="E381" s="73">
        <v>33.188575999999998</v>
      </c>
      <c r="F381" s="73">
        <v>35.656871600000002</v>
      </c>
    </row>
    <row r="382" spans="1:6">
      <c r="A382" s="61">
        <v>21563</v>
      </c>
      <c r="B382" s="63" t="s">
        <v>1556</v>
      </c>
      <c r="C382" s="64" t="s">
        <v>1492</v>
      </c>
      <c r="D382" s="64" t="s">
        <v>1601</v>
      </c>
      <c r="E382" s="64">
        <v>44.231006999999998</v>
      </c>
      <c r="F382" s="64">
        <v>0.27258500000000002</v>
      </c>
    </row>
    <row r="383" spans="1:6">
      <c r="A383" s="61">
        <v>21563</v>
      </c>
      <c r="B383" s="63" t="s">
        <v>1557</v>
      </c>
      <c r="C383" s="64" t="s">
        <v>1558</v>
      </c>
      <c r="D383" s="64" t="s">
        <v>1663</v>
      </c>
      <c r="E383" s="73">
        <v>30.601507099999999</v>
      </c>
      <c r="F383" s="73">
        <v>-83.813886699999998</v>
      </c>
    </row>
    <row r="384" spans="1:6">
      <c r="A384" s="61">
        <v>21573</v>
      </c>
      <c r="B384" s="63" t="s">
        <v>1559</v>
      </c>
      <c r="C384" s="64" t="s">
        <v>1285</v>
      </c>
      <c r="D384" s="64" t="s">
        <v>1335</v>
      </c>
      <c r="E384" s="64">
        <v>40.102572000000002</v>
      </c>
      <c r="F384" s="64">
        <v>27.658373000000001</v>
      </c>
    </row>
    <row r="385" spans="1:6">
      <c r="A385" s="61">
        <v>21943</v>
      </c>
      <c r="B385" s="63" t="s">
        <v>1565</v>
      </c>
      <c r="C385" s="64" t="s">
        <v>1566</v>
      </c>
      <c r="D385" s="64" t="s">
        <v>1664</v>
      </c>
      <c r="E385" s="73">
        <v>32.956253500000003</v>
      </c>
      <c r="F385" s="73">
        <v>35.479061799999997</v>
      </c>
    </row>
    <row r="386" spans="1:6">
      <c r="A386" s="61">
        <v>21976</v>
      </c>
      <c r="B386" s="63" t="s">
        <v>1568</v>
      </c>
      <c r="C386" s="64" t="s">
        <v>1569</v>
      </c>
      <c r="D386" s="64" t="s">
        <v>1665</v>
      </c>
      <c r="E386" s="64">
        <v>40.102572000000002</v>
      </c>
      <c r="F386" s="64">
        <v>27.658373000000001</v>
      </c>
    </row>
    <row r="387" spans="1:6">
      <c r="A387" s="61">
        <v>22018</v>
      </c>
      <c r="B387" s="63" t="s">
        <v>1570</v>
      </c>
      <c r="C387" s="64" t="s">
        <v>1571</v>
      </c>
      <c r="D387" s="64" t="s">
        <v>1667</v>
      </c>
      <c r="E387" s="64">
        <v>32.063929000000002</v>
      </c>
      <c r="F387" s="64">
        <v>34.805097000000004</v>
      </c>
    </row>
    <row r="388" spans="1:6">
      <c r="A388" s="61">
        <v>22078</v>
      </c>
      <c r="B388" s="63" t="s">
        <v>1572</v>
      </c>
      <c r="C388" s="64" t="s">
        <v>716</v>
      </c>
      <c r="D388" s="64" t="s">
        <v>803</v>
      </c>
      <c r="E388" s="64">
        <v>-27.986423200000001</v>
      </c>
      <c r="F388" s="64">
        <v>153.38071859999999</v>
      </c>
    </row>
    <row r="389" spans="1:6">
      <c r="A389" s="61">
        <v>22086</v>
      </c>
      <c r="B389" s="63" t="s">
        <v>1573</v>
      </c>
      <c r="C389" s="64" t="s">
        <v>1575</v>
      </c>
      <c r="D389" s="64" t="s">
        <v>1669</v>
      </c>
      <c r="E389" s="73">
        <v>41.735088400000002</v>
      </c>
      <c r="F389" s="73">
        <v>-75.1396151</v>
      </c>
    </row>
    <row r="390" spans="1:6">
      <c r="A390" s="61">
        <v>22107</v>
      </c>
      <c r="B390" s="63" t="s">
        <v>1576</v>
      </c>
      <c r="C390" s="64" t="s">
        <v>1577</v>
      </c>
      <c r="D390" s="64" t="s">
        <v>1670</v>
      </c>
      <c r="E390" s="64">
        <v>32.610492999999998</v>
      </c>
      <c r="F390" s="64">
        <v>35.287922000000002</v>
      </c>
    </row>
    <row r="391" spans="1:6">
      <c r="A391" s="61">
        <v>22108</v>
      </c>
      <c r="B391" s="63" t="s">
        <v>1578</v>
      </c>
      <c r="C391" s="64" t="s">
        <v>1579</v>
      </c>
      <c r="D391" s="64" t="s">
        <v>1671</v>
      </c>
      <c r="E391" s="73">
        <v>40.997728799999997</v>
      </c>
      <c r="F391" s="73">
        <v>-78.984227300000001</v>
      </c>
    </row>
    <row r="392" spans="1:6">
      <c r="A392" s="61">
        <v>22214</v>
      </c>
      <c r="B392" s="63" t="s">
        <v>1581</v>
      </c>
      <c r="C392" s="64" t="s">
        <v>1582</v>
      </c>
      <c r="D392" s="64" t="s">
        <v>1672</v>
      </c>
      <c r="E392" s="64">
        <v>31.7460743</v>
      </c>
      <c r="F392" s="64">
        <v>35.2005014</v>
      </c>
    </row>
    <row r="393" spans="1:6">
      <c r="A393" s="61">
        <v>22243</v>
      </c>
      <c r="B393" s="63" t="s">
        <v>1585</v>
      </c>
      <c r="C393" s="64" t="s">
        <v>1586</v>
      </c>
      <c r="D393" s="64" t="s">
        <v>1674</v>
      </c>
      <c r="E393" s="64">
        <v>41.514092300000002</v>
      </c>
      <c r="F393" s="64">
        <v>-70.859561999999997</v>
      </c>
    </row>
    <row r="394" spans="1:6">
      <c r="A394" s="61">
        <v>22249</v>
      </c>
      <c r="B394" s="63" t="s">
        <v>1587</v>
      </c>
      <c r="C394" s="64" t="s">
        <v>1589</v>
      </c>
      <c r="D394" s="64" t="s">
        <v>1676</v>
      </c>
      <c r="E394" s="64">
        <v>32.467590600000001</v>
      </c>
      <c r="F394" s="64">
        <v>34.964669700000002</v>
      </c>
    </row>
    <row r="395" spans="1:6">
      <c r="A395" s="61">
        <v>22253</v>
      </c>
      <c r="B395" s="63" t="s">
        <v>1590</v>
      </c>
      <c r="C395" s="64" t="s">
        <v>1591</v>
      </c>
      <c r="D395" s="64" t="s">
        <v>1677</v>
      </c>
      <c r="E395" s="64">
        <v>32.327387999999999</v>
      </c>
      <c r="F395" s="64">
        <v>34.860796999999998</v>
      </c>
    </row>
    <row r="396" spans="1:6">
      <c r="A396" s="61">
        <v>22286</v>
      </c>
      <c r="B396" s="63" t="s">
        <v>1592</v>
      </c>
      <c r="C396" s="64" t="s">
        <v>1593</v>
      </c>
      <c r="D396" s="64" t="s">
        <v>1678</v>
      </c>
      <c r="E396" s="73">
        <v>31.869449199999998</v>
      </c>
      <c r="F396" s="73">
        <v>34.9839591</v>
      </c>
    </row>
    <row r="397" spans="1:6">
      <c r="A397" s="61">
        <v>22287</v>
      </c>
      <c r="B397" s="63" t="s">
        <v>1595</v>
      </c>
      <c r="C397" s="64" t="s">
        <v>447</v>
      </c>
      <c r="D397" s="64" t="s">
        <v>618</v>
      </c>
      <c r="E397" s="64">
        <v>31.986668600000002</v>
      </c>
      <c r="F397" s="64">
        <v>34.912524400000002</v>
      </c>
    </row>
    <row r="398" spans="1:6">
      <c r="A398" s="61">
        <v>22336</v>
      </c>
      <c r="B398" s="63" t="s">
        <v>1596</v>
      </c>
      <c r="C398" s="64" t="s">
        <v>838</v>
      </c>
      <c r="D398" s="64" t="s">
        <v>839</v>
      </c>
      <c r="E398" s="64">
        <v>41.735088400000002</v>
      </c>
      <c r="F398" s="64">
        <v>-75.1396151</v>
      </c>
    </row>
    <row r="399" spans="1:6">
      <c r="A399" s="61">
        <v>22348</v>
      </c>
      <c r="B399" s="63" t="s">
        <v>1598</v>
      </c>
      <c r="C399" s="64" t="s">
        <v>1599</v>
      </c>
      <c r="D399" s="64" t="s">
        <v>1680</v>
      </c>
      <c r="E399" s="64">
        <v>32.482477000000003</v>
      </c>
      <c r="F399" s="64">
        <v>35.421370199999998</v>
      </c>
    </row>
    <row r="400" spans="1:6">
      <c r="A400" s="61">
        <v>22374</v>
      </c>
      <c r="B400" s="63" t="s">
        <v>1600</v>
      </c>
      <c r="C400" s="64" t="s">
        <v>447</v>
      </c>
      <c r="D400" s="64" t="s">
        <v>618</v>
      </c>
      <c r="E400" s="64">
        <v>31.986668600000002</v>
      </c>
      <c r="F400" s="64">
        <v>34.912524400000002</v>
      </c>
    </row>
    <row r="401" spans="1:6">
      <c r="A401" s="61">
        <v>22451</v>
      </c>
      <c r="B401" s="63" t="s">
        <v>1604</v>
      </c>
      <c r="C401" s="64" t="s">
        <v>1605</v>
      </c>
      <c r="D401" s="64" t="s">
        <v>1681</v>
      </c>
      <c r="E401" s="64">
        <v>32.621205000000003</v>
      </c>
      <c r="F401" s="64">
        <v>35.550376</v>
      </c>
    </row>
    <row r="402" spans="1:6">
      <c r="A402" s="61">
        <v>22452</v>
      </c>
      <c r="B402" s="63" t="s">
        <v>1606</v>
      </c>
      <c r="C402" s="64" t="s">
        <v>1607</v>
      </c>
      <c r="D402" s="64" t="s">
        <v>1683</v>
      </c>
      <c r="E402" s="73">
        <v>50.163018000000001</v>
      </c>
      <c r="F402" s="73">
        <v>2.3206929999999999</v>
      </c>
    </row>
    <row r="403" spans="1:6">
      <c r="A403" s="61">
        <v>22453</v>
      </c>
      <c r="B403" s="63" t="s">
        <v>1609</v>
      </c>
      <c r="C403" s="64" t="s">
        <v>1042</v>
      </c>
      <c r="D403" s="64" t="s">
        <v>1064</v>
      </c>
      <c r="E403" s="64">
        <v>32.723787000000002</v>
      </c>
      <c r="F403" s="64">
        <v>35.565241999999998</v>
      </c>
    </row>
    <row r="404" spans="1:6">
      <c r="A404" s="61">
        <v>22454</v>
      </c>
      <c r="B404" s="63" t="s">
        <v>1611</v>
      </c>
      <c r="C404" s="64" t="s">
        <v>264</v>
      </c>
      <c r="D404" s="64" t="s">
        <v>1685</v>
      </c>
      <c r="E404" s="73">
        <v>35.772323299999996</v>
      </c>
      <c r="F404" s="73">
        <v>139.7917099</v>
      </c>
    </row>
    <row r="405" spans="1:6">
      <c r="A405" s="61">
        <v>22456</v>
      </c>
      <c r="B405" s="63" t="s">
        <v>1613</v>
      </c>
      <c r="C405" s="64" t="s">
        <v>949</v>
      </c>
      <c r="D405" s="64" t="s">
        <v>951</v>
      </c>
      <c r="E405" s="64">
        <v>31.472679999999901</v>
      </c>
      <c r="F405" s="64">
        <v>34.497675000000001</v>
      </c>
    </row>
    <row r="406" spans="1:6">
      <c r="A406" s="61">
        <v>22515</v>
      </c>
      <c r="B406" s="63" t="s">
        <v>1616</v>
      </c>
      <c r="C406" s="64" t="s">
        <v>1615</v>
      </c>
      <c r="D406" s="64" t="s">
        <v>1688</v>
      </c>
      <c r="E406" s="64">
        <v>32.329326999999999</v>
      </c>
      <c r="F406" s="64">
        <v>34.859603999999997</v>
      </c>
    </row>
    <row r="407" spans="1:6">
      <c r="A407" s="61">
        <v>22651</v>
      </c>
      <c r="B407" s="63" t="s">
        <v>1618</v>
      </c>
      <c r="C407" s="64" t="s">
        <v>1097</v>
      </c>
      <c r="D407" s="64" t="s">
        <v>1256</v>
      </c>
      <c r="E407" s="64">
        <v>30.465</v>
      </c>
      <c r="F407" s="64">
        <v>35.177222200000003</v>
      </c>
    </row>
    <row r="408" spans="1:6">
      <c r="A408" s="61">
        <v>22661</v>
      </c>
      <c r="B408" s="63" t="s">
        <v>1620</v>
      </c>
      <c r="C408" s="64" t="s">
        <v>1621</v>
      </c>
      <c r="D408" s="64" t="s">
        <v>1690</v>
      </c>
      <c r="E408" s="73">
        <v>50.163018000000001</v>
      </c>
      <c r="F408" s="73">
        <v>2.3206929999999999</v>
      </c>
    </row>
    <row r="409" spans="1:6">
      <c r="A409" s="61">
        <v>22713</v>
      </c>
      <c r="B409" s="63" t="s">
        <v>1622</v>
      </c>
      <c r="C409" s="64" t="s">
        <v>588</v>
      </c>
      <c r="D409" s="64" t="s">
        <v>743</v>
      </c>
      <c r="E409" s="64">
        <v>31.733404799999999</v>
      </c>
      <c r="F409" s="64">
        <v>35.193938299999999</v>
      </c>
    </row>
    <row r="410" spans="1:6">
      <c r="A410" s="61">
        <v>22831</v>
      </c>
      <c r="B410" s="63" t="s">
        <v>1624</v>
      </c>
      <c r="C410" s="64" t="s">
        <v>1625</v>
      </c>
      <c r="D410" s="64" t="s">
        <v>1691</v>
      </c>
      <c r="E410" s="64">
        <v>32.084040999999999</v>
      </c>
      <c r="F410" s="64">
        <v>34.887762000000002</v>
      </c>
    </row>
    <row r="411" spans="1:6">
      <c r="A411" s="61">
        <v>22831</v>
      </c>
      <c r="B411" s="63" t="s">
        <v>1626</v>
      </c>
      <c r="C411" s="64" t="s">
        <v>1628</v>
      </c>
      <c r="D411" s="64" t="s">
        <v>1692</v>
      </c>
      <c r="E411" s="64">
        <v>32.068683</v>
      </c>
      <c r="F411" s="64">
        <v>34.769047</v>
      </c>
    </row>
    <row r="412" spans="1:6">
      <c r="A412" s="61">
        <v>22837</v>
      </c>
      <c r="B412" s="63" t="s">
        <v>1630</v>
      </c>
      <c r="C412" s="64" t="s">
        <v>1631</v>
      </c>
      <c r="D412" s="64" t="s">
        <v>1693</v>
      </c>
      <c r="E412" s="73">
        <v>32.544415600000001</v>
      </c>
      <c r="F412" s="73">
        <v>-117.0301235</v>
      </c>
    </row>
    <row r="413" spans="1:6">
      <c r="A413" s="61">
        <v>22872</v>
      </c>
      <c r="B413" s="63" t="s">
        <v>1634</v>
      </c>
      <c r="C413" s="64" t="s">
        <v>32</v>
      </c>
      <c r="D413" s="64" t="s">
        <v>346</v>
      </c>
      <c r="E413" s="64">
        <v>31.768319000000002</v>
      </c>
      <c r="F413" s="64">
        <v>35.213709999999999</v>
      </c>
    </row>
    <row r="414" spans="1:6">
      <c r="A414" s="61">
        <v>22879</v>
      </c>
      <c r="B414" s="63" t="s">
        <v>1636</v>
      </c>
      <c r="C414" s="64" t="s">
        <v>1637</v>
      </c>
      <c r="D414" s="64" t="s">
        <v>1695</v>
      </c>
      <c r="E414" s="64">
        <v>31.780384999999999</v>
      </c>
      <c r="F414" s="64">
        <v>35.010102000000003</v>
      </c>
    </row>
    <row r="415" spans="1:6">
      <c r="A415" s="61">
        <v>22901</v>
      </c>
      <c r="B415" s="63" t="s">
        <v>1638</v>
      </c>
      <c r="C415" s="64" t="s">
        <v>1639</v>
      </c>
      <c r="D415" s="64" t="s">
        <v>1697</v>
      </c>
      <c r="E415" s="64">
        <v>31.882936999999998</v>
      </c>
      <c r="F415" s="64">
        <v>34.828361999999998</v>
      </c>
    </row>
    <row r="416" spans="1:6">
      <c r="A416" s="61">
        <v>22933</v>
      </c>
      <c r="B416" s="63" t="s">
        <v>1644</v>
      </c>
      <c r="C416" s="64" t="s">
        <v>1645</v>
      </c>
      <c r="D416" s="64" t="s">
        <v>1698</v>
      </c>
      <c r="E416" s="73">
        <v>26.242664999999999</v>
      </c>
      <c r="F416" s="73">
        <v>-81.743937000000003</v>
      </c>
    </row>
    <row r="417" spans="1:6">
      <c r="A417" s="61">
        <v>22956</v>
      </c>
      <c r="B417" s="63" t="s">
        <v>1648</v>
      </c>
      <c r="C417" s="64" t="s">
        <v>1599</v>
      </c>
      <c r="D417" s="64" t="s">
        <v>1680</v>
      </c>
      <c r="E417" s="64">
        <v>32.482477000000003</v>
      </c>
      <c r="F417" s="64">
        <v>35.421370199999998</v>
      </c>
    </row>
    <row r="418" spans="1:6">
      <c r="A418" s="61">
        <v>22956</v>
      </c>
      <c r="B418" s="63" t="s">
        <v>1649</v>
      </c>
      <c r="C418" s="64" t="s">
        <v>1650</v>
      </c>
      <c r="D418" s="64" t="s">
        <v>1700</v>
      </c>
      <c r="E418" s="64">
        <v>-28.7710969</v>
      </c>
      <c r="F418" s="64">
        <v>114.6629161</v>
      </c>
    </row>
    <row r="419" spans="1:6">
      <c r="A419" s="61">
        <v>22984</v>
      </c>
      <c r="B419" s="63" t="s">
        <v>1651</v>
      </c>
      <c r="C419" s="64" t="s">
        <v>1652</v>
      </c>
      <c r="D419" s="64" t="s">
        <v>1702</v>
      </c>
      <c r="E419" s="64">
        <v>31.729683000000001</v>
      </c>
      <c r="F419" s="64">
        <v>35.073414</v>
      </c>
    </row>
    <row r="420" spans="1:6">
      <c r="A420" s="61">
        <v>22987</v>
      </c>
      <c r="B420" s="63" t="s">
        <v>1654</v>
      </c>
      <c r="C420" s="64" t="s">
        <v>1655</v>
      </c>
      <c r="D420" s="64" t="s">
        <v>1703</v>
      </c>
      <c r="E420" s="73">
        <v>50.163018000000001</v>
      </c>
      <c r="F420" s="73">
        <v>2.3206929999999999</v>
      </c>
    </row>
    <row r="421" spans="1:6">
      <c r="A421" s="61">
        <v>23034</v>
      </c>
      <c r="B421" s="63" t="s">
        <v>1704</v>
      </c>
      <c r="C421" s="64" t="s">
        <v>1180</v>
      </c>
      <c r="D421" s="64" t="s">
        <v>1705</v>
      </c>
      <c r="E421" s="64">
        <v>32.794046299999998</v>
      </c>
      <c r="F421" s="64">
        <v>34.989570999999998</v>
      </c>
    </row>
    <row r="422" spans="1:6">
      <c r="A422" s="101" t="s">
        <v>214</v>
      </c>
      <c r="B422" s="63" t="s">
        <v>209</v>
      </c>
      <c r="C422" s="67" t="s">
        <v>815</v>
      </c>
      <c r="D422" s="67" t="s">
        <v>816</v>
      </c>
      <c r="E422" s="67">
        <v>31.522561</v>
      </c>
      <c r="F422" s="67">
        <v>34.453592999999998</v>
      </c>
    </row>
    <row r="423" spans="1:6">
      <c r="A423" s="101" t="s">
        <v>376</v>
      </c>
      <c r="B423" s="63" t="s">
        <v>371</v>
      </c>
      <c r="C423" s="67" t="s">
        <v>815</v>
      </c>
      <c r="D423" s="67" t="s">
        <v>816</v>
      </c>
      <c r="E423" s="67">
        <v>31.522561</v>
      </c>
      <c r="F423" s="67">
        <v>34.453592999999998</v>
      </c>
    </row>
    <row r="424" spans="1:6">
      <c r="A424" s="101" t="s">
        <v>248</v>
      </c>
      <c r="B424" s="63" t="s">
        <v>242</v>
      </c>
      <c r="C424" s="64" t="s">
        <v>222</v>
      </c>
      <c r="D424" s="64" t="s">
        <v>1708</v>
      </c>
      <c r="E424" s="64">
        <v>31.374545000000001</v>
      </c>
      <c r="F424" s="64">
        <v>34.398992</v>
      </c>
    </row>
    <row r="425" spans="1:6">
      <c r="A425" s="101" t="s">
        <v>137</v>
      </c>
      <c r="B425" s="63" t="s">
        <v>127</v>
      </c>
      <c r="C425" s="64" t="s">
        <v>131</v>
      </c>
      <c r="D425" s="64" t="s">
        <v>1183</v>
      </c>
      <c r="E425" s="64">
        <v>30.885983</v>
      </c>
      <c r="F425" s="64">
        <v>34.422569000000003</v>
      </c>
    </row>
    <row r="426" spans="1:6">
      <c r="A426" s="102" t="s">
        <v>442</v>
      </c>
      <c r="B426" s="103" t="s">
        <v>439</v>
      </c>
      <c r="C426" s="64" t="s">
        <v>316</v>
      </c>
      <c r="D426" s="64" t="s">
        <v>1245</v>
      </c>
      <c r="E426" s="64">
        <v>32.824432100000003</v>
      </c>
      <c r="F426" s="64">
        <v>35.5879975</v>
      </c>
    </row>
    <row r="427" spans="1:6">
      <c r="C427" s="104"/>
      <c r="D427" s="104"/>
      <c r="E427" s="104"/>
      <c r="F427" s="104"/>
    </row>
    <row r="428" spans="1:6">
      <c r="C428" s="104"/>
      <c r="D428" s="104"/>
      <c r="E428" s="104"/>
      <c r="F428" s="104"/>
    </row>
    <row r="429" spans="1:6">
      <c r="C429" s="104"/>
      <c r="D429" s="104"/>
      <c r="E429" s="104"/>
      <c r="F429" s="104"/>
    </row>
    <row r="430" spans="1:6">
      <c r="C430" s="104"/>
      <c r="D430" s="104"/>
      <c r="E430" s="104"/>
      <c r="F430" s="104"/>
    </row>
    <row r="431" spans="1:6">
      <c r="C431" s="104"/>
      <c r="D431" s="104"/>
      <c r="E431" s="104"/>
      <c r="F431" s="104"/>
    </row>
    <row r="432" spans="1:6">
      <c r="C432" s="104"/>
      <c r="D432" s="104"/>
      <c r="E432" s="104"/>
      <c r="F432" s="104"/>
    </row>
    <row r="433" spans="3:6">
      <c r="C433" s="104"/>
      <c r="D433" s="104"/>
      <c r="E433" s="104"/>
      <c r="F433" s="104"/>
    </row>
    <row r="434" spans="3:6">
      <c r="C434" s="104"/>
      <c r="D434" s="104"/>
      <c r="E434" s="104"/>
      <c r="F434" s="104"/>
    </row>
    <row r="435" spans="3:6">
      <c r="C435" s="104"/>
      <c r="D435" s="104"/>
      <c r="E435" s="104"/>
      <c r="F435" s="104"/>
    </row>
    <row r="436" spans="3:6">
      <c r="C436" s="104"/>
      <c r="D436" s="104"/>
      <c r="E436" s="104"/>
      <c r="F436" s="104"/>
    </row>
    <row r="437" spans="3:6">
      <c r="C437" s="104"/>
      <c r="D437" s="104"/>
      <c r="E437" s="104"/>
      <c r="F437" s="104"/>
    </row>
    <row r="438" spans="3:6">
      <c r="C438" s="104"/>
      <c r="D438" s="104"/>
      <c r="E438" s="104"/>
      <c r="F438" s="104"/>
    </row>
    <row r="439" spans="3:6">
      <c r="C439" s="104"/>
      <c r="D439" s="104"/>
      <c r="E439" s="104"/>
      <c r="F439" s="104"/>
    </row>
    <row r="440" spans="3:6">
      <c r="C440" s="104"/>
      <c r="D440" s="104"/>
      <c r="E440" s="104"/>
      <c r="F440" s="104"/>
    </row>
    <row r="441" spans="3:6">
      <c r="C441" s="104"/>
      <c r="D441" s="104"/>
      <c r="E441" s="104"/>
      <c r="F441" s="104"/>
    </row>
    <row r="442" spans="3:6">
      <c r="C442" s="104"/>
      <c r="D442" s="104"/>
      <c r="E442" s="104"/>
      <c r="F442" s="104"/>
    </row>
    <row r="443" spans="3:6">
      <c r="C443" s="104"/>
      <c r="D443" s="104"/>
      <c r="E443" s="104"/>
      <c r="F443" s="104"/>
    </row>
    <row r="444" spans="3:6">
      <c r="C444" s="104"/>
      <c r="D444" s="104"/>
      <c r="E444" s="104"/>
      <c r="F444" s="104"/>
    </row>
    <row r="445" spans="3:6">
      <c r="C445" s="104"/>
      <c r="D445" s="104"/>
      <c r="E445" s="104"/>
      <c r="F445" s="104"/>
    </row>
    <row r="446" spans="3:6">
      <c r="C446" s="104"/>
      <c r="D446" s="104"/>
      <c r="E446" s="104"/>
      <c r="F446" s="104"/>
    </row>
    <row r="447" spans="3:6">
      <c r="C447" s="104"/>
      <c r="D447" s="104"/>
      <c r="E447" s="104"/>
      <c r="F447" s="104"/>
    </row>
    <row r="448" spans="3:6">
      <c r="C448" s="104"/>
      <c r="D448" s="104"/>
      <c r="E448" s="104"/>
      <c r="F448" s="104"/>
    </row>
    <row r="449" spans="3:6">
      <c r="C449" s="104"/>
      <c r="D449" s="104"/>
      <c r="E449" s="104"/>
      <c r="F449" s="104"/>
    </row>
    <row r="450" spans="3:6">
      <c r="C450" s="104"/>
      <c r="D450" s="104"/>
      <c r="E450" s="104"/>
      <c r="F450" s="104"/>
    </row>
    <row r="451" spans="3:6">
      <c r="C451" s="104"/>
      <c r="D451" s="104"/>
      <c r="E451" s="104"/>
      <c r="F451" s="104"/>
    </row>
    <row r="452" spans="3:6">
      <c r="C452" s="104"/>
      <c r="D452" s="104"/>
      <c r="E452" s="104"/>
      <c r="F452" s="104"/>
    </row>
    <row r="453" spans="3:6">
      <c r="C453" s="104"/>
      <c r="D453" s="104"/>
      <c r="E453" s="104"/>
      <c r="F453" s="104"/>
    </row>
    <row r="454" spans="3:6">
      <c r="C454" s="104"/>
      <c r="D454" s="104"/>
      <c r="E454" s="104"/>
      <c r="F454" s="104"/>
    </row>
    <row r="455" spans="3:6">
      <c r="C455" s="104"/>
      <c r="D455" s="104"/>
      <c r="E455" s="104"/>
      <c r="F455" s="104"/>
    </row>
    <row r="456" spans="3:6">
      <c r="C456" s="104"/>
      <c r="D456" s="104"/>
      <c r="E456" s="104"/>
      <c r="F456" s="104"/>
    </row>
    <row r="457" spans="3:6">
      <c r="C457" s="104"/>
      <c r="D457" s="104"/>
      <c r="E457" s="104"/>
      <c r="F457" s="104"/>
    </row>
    <row r="458" spans="3:6">
      <c r="C458" s="104"/>
      <c r="D458" s="104"/>
      <c r="E458" s="104"/>
      <c r="F458" s="104"/>
    </row>
    <row r="459" spans="3:6">
      <c r="C459" s="104"/>
      <c r="D459" s="104"/>
      <c r="E459" s="104"/>
      <c r="F459" s="104"/>
    </row>
    <row r="460" spans="3:6">
      <c r="C460" s="104"/>
      <c r="D460" s="104"/>
      <c r="E460" s="104"/>
      <c r="F460" s="104"/>
    </row>
    <row r="461" spans="3:6">
      <c r="C461" s="104"/>
      <c r="D461" s="104"/>
      <c r="E461" s="104"/>
      <c r="F461" s="104"/>
    </row>
    <row r="462" spans="3:6">
      <c r="C462" s="104"/>
      <c r="D462" s="104"/>
      <c r="E462" s="104"/>
      <c r="F462" s="104"/>
    </row>
    <row r="463" spans="3:6">
      <c r="C463" s="104"/>
      <c r="D463" s="104"/>
      <c r="E463" s="104"/>
      <c r="F463" s="104"/>
    </row>
    <row r="464" spans="3:6">
      <c r="C464" s="104"/>
      <c r="D464" s="104"/>
      <c r="E464" s="104"/>
      <c r="F464" s="104"/>
    </row>
    <row r="465" spans="3:6">
      <c r="C465" s="104"/>
      <c r="D465" s="104"/>
      <c r="E465" s="104"/>
      <c r="F465" s="104"/>
    </row>
    <row r="466" spans="3:6">
      <c r="C466" s="104"/>
      <c r="D466" s="104"/>
      <c r="E466" s="104"/>
      <c r="F466" s="104"/>
    </row>
    <row r="467" spans="3:6">
      <c r="C467" s="104"/>
      <c r="D467" s="104"/>
      <c r="E467" s="104"/>
      <c r="F467" s="104"/>
    </row>
    <row r="468" spans="3:6">
      <c r="C468" s="104"/>
      <c r="D468" s="104"/>
      <c r="E468" s="104"/>
      <c r="F468" s="104"/>
    </row>
    <row r="469" spans="3:6">
      <c r="C469" s="104"/>
      <c r="D469" s="104"/>
      <c r="E469" s="104"/>
      <c r="F469" s="104"/>
    </row>
    <row r="470" spans="3:6">
      <c r="C470" s="104"/>
      <c r="D470" s="104"/>
      <c r="E470" s="104"/>
      <c r="F470" s="104"/>
    </row>
    <row r="471" spans="3:6">
      <c r="C471" s="104"/>
      <c r="D471" s="104"/>
      <c r="E471" s="104"/>
      <c r="F471" s="104"/>
    </row>
    <row r="472" spans="3:6">
      <c r="C472" s="104"/>
      <c r="D472" s="104"/>
      <c r="E472" s="104"/>
      <c r="F472" s="104"/>
    </row>
    <row r="473" spans="3:6">
      <c r="C473" s="104"/>
      <c r="D473" s="104"/>
      <c r="E473" s="104"/>
      <c r="F473" s="104"/>
    </row>
    <row r="474" spans="3:6">
      <c r="C474" s="104"/>
      <c r="D474" s="104"/>
      <c r="E474" s="104"/>
      <c r="F474" s="104"/>
    </row>
    <row r="475" spans="3:6">
      <c r="C475" s="104"/>
      <c r="D475" s="104"/>
      <c r="E475" s="104"/>
      <c r="F475" s="104"/>
    </row>
    <row r="476" spans="3:6">
      <c r="C476" s="104"/>
      <c r="D476" s="104"/>
      <c r="E476" s="104"/>
      <c r="F476" s="104"/>
    </row>
    <row r="477" spans="3:6">
      <c r="C477" s="104"/>
      <c r="D477" s="104"/>
      <c r="E477" s="104"/>
      <c r="F477" s="104"/>
    </row>
    <row r="478" spans="3:6">
      <c r="C478" s="104"/>
      <c r="D478" s="104"/>
      <c r="E478" s="104"/>
      <c r="F478" s="104"/>
    </row>
    <row r="479" spans="3:6">
      <c r="C479" s="104"/>
      <c r="D479" s="104"/>
      <c r="E479" s="104"/>
      <c r="F479" s="104"/>
    </row>
    <row r="480" spans="3:6">
      <c r="C480" s="104"/>
      <c r="D480" s="104"/>
      <c r="E480" s="104"/>
      <c r="F480" s="104"/>
    </row>
    <row r="481" spans="3:6">
      <c r="C481" s="104"/>
      <c r="D481" s="104"/>
      <c r="E481" s="104"/>
      <c r="F481" s="104"/>
    </row>
    <row r="482" spans="3:6">
      <c r="C482" s="104"/>
      <c r="D482" s="104"/>
      <c r="E482" s="104"/>
      <c r="F482" s="104"/>
    </row>
    <row r="483" spans="3:6">
      <c r="C483" s="104"/>
      <c r="D483" s="104"/>
      <c r="E483" s="104"/>
      <c r="F483" s="104"/>
    </row>
    <row r="484" spans="3:6">
      <c r="C484" s="104"/>
      <c r="D484" s="104"/>
      <c r="E484" s="104"/>
      <c r="F484" s="104"/>
    </row>
    <row r="485" spans="3:6">
      <c r="C485" s="104"/>
      <c r="D485" s="104"/>
      <c r="E485" s="104"/>
      <c r="F485" s="104"/>
    </row>
    <row r="486" spans="3:6">
      <c r="C486" s="104"/>
      <c r="D486" s="104"/>
      <c r="E486" s="104"/>
      <c r="F486" s="104"/>
    </row>
    <row r="487" spans="3:6">
      <c r="C487" s="104"/>
      <c r="D487" s="104"/>
      <c r="E487" s="104"/>
      <c r="F487" s="104"/>
    </row>
    <row r="488" spans="3:6">
      <c r="C488" s="104"/>
      <c r="D488" s="104"/>
      <c r="E488" s="104"/>
      <c r="F488" s="104"/>
    </row>
    <row r="489" spans="3:6">
      <c r="C489" s="104"/>
      <c r="D489" s="104"/>
      <c r="E489" s="104"/>
      <c r="F489" s="104"/>
    </row>
    <row r="490" spans="3:6">
      <c r="C490" s="104"/>
      <c r="D490" s="104"/>
      <c r="E490" s="104"/>
      <c r="F490" s="104"/>
    </row>
    <row r="491" spans="3:6">
      <c r="C491" s="104"/>
      <c r="D491" s="104"/>
      <c r="E491" s="104"/>
      <c r="F491" s="104"/>
    </row>
    <row r="492" spans="3:6">
      <c r="C492" s="104"/>
      <c r="D492" s="104"/>
      <c r="E492" s="104"/>
      <c r="F492" s="104"/>
    </row>
    <row r="493" spans="3:6">
      <c r="C493" s="104"/>
      <c r="D493" s="104"/>
      <c r="E493" s="104"/>
      <c r="F493" s="104"/>
    </row>
    <row r="494" spans="3:6">
      <c r="C494" s="104"/>
      <c r="D494" s="104"/>
      <c r="E494" s="104"/>
      <c r="F494" s="104"/>
    </row>
    <row r="495" spans="3:6">
      <c r="C495" s="104"/>
      <c r="D495" s="104"/>
      <c r="E495" s="104"/>
      <c r="F495" s="104"/>
    </row>
    <row r="496" spans="3:6">
      <c r="C496" s="104"/>
      <c r="D496" s="104"/>
      <c r="E496" s="104"/>
      <c r="F496" s="104"/>
    </row>
    <row r="497" spans="3:6">
      <c r="C497" s="104"/>
      <c r="D497" s="104"/>
      <c r="E497" s="104"/>
      <c r="F497" s="104"/>
    </row>
    <row r="498" spans="3:6">
      <c r="C498" s="104"/>
      <c r="D498" s="104"/>
      <c r="E498" s="104"/>
      <c r="F498" s="104"/>
    </row>
    <row r="499" spans="3:6">
      <c r="C499" s="104"/>
      <c r="D499" s="104"/>
      <c r="E499" s="104"/>
      <c r="F499" s="104"/>
    </row>
    <row r="500" spans="3:6">
      <c r="C500" s="104"/>
      <c r="D500" s="104"/>
      <c r="E500" s="104"/>
      <c r="F500" s="104"/>
    </row>
    <row r="501" spans="3:6">
      <c r="C501" s="104"/>
      <c r="D501" s="104"/>
      <c r="E501" s="104"/>
      <c r="F501" s="104"/>
    </row>
    <row r="502" spans="3:6">
      <c r="C502" s="104"/>
      <c r="D502" s="104"/>
      <c r="E502" s="104"/>
      <c r="F502" s="104"/>
    </row>
    <row r="503" spans="3:6">
      <c r="C503" s="104"/>
      <c r="D503" s="104"/>
      <c r="E503" s="104"/>
      <c r="F503" s="104"/>
    </row>
    <row r="504" spans="3:6">
      <c r="C504" s="104"/>
      <c r="D504" s="104"/>
      <c r="E504" s="104"/>
      <c r="F504" s="104"/>
    </row>
    <row r="505" spans="3:6">
      <c r="C505" s="104"/>
      <c r="D505" s="104"/>
      <c r="E505" s="104"/>
      <c r="F505" s="104"/>
    </row>
    <row r="506" spans="3:6">
      <c r="C506" s="104"/>
      <c r="D506" s="104"/>
      <c r="E506" s="104"/>
      <c r="F506" s="104"/>
    </row>
    <row r="507" spans="3:6">
      <c r="C507" s="104"/>
      <c r="D507" s="104"/>
      <c r="E507" s="104"/>
      <c r="F507" s="104"/>
    </row>
    <row r="508" spans="3:6">
      <c r="C508" s="104"/>
      <c r="D508" s="104"/>
      <c r="E508" s="104"/>
      <c r="F508" s="104"/>
    </row>
    <row r="509" spans="3:6">
      <c r="C509" s="104"/>
      <c r="D509" s="104"/>
      <c r="E509" s="104"/>
      <c r="F509" s="104"/>
    </row>
    <row r="510" spans="3:6">
      <c r="C510" s="104"/>
      <c r="D510" s="104"/>
      <c r="E510" s="104"/>
      <c r="F510" s="104"/>
    </row>
    <row r="511" spans="3:6">
      <c r="C511" s="104"/>
      <c r="D511" s="104"/>
      <c r="E511" s="104"/>
      <c r="F511" s="104"/>
    </row>
    <row r="512" spans="3:6">
      <c r="C512" s="104"/>
      <c r="D512" s="104"/>
      <c r="E512" s="104"/>
      <c r="F512" s="104"/>
    </row>
    <row r="513" spans="3:6">
      <c r="C513" s="104"/>
      <c r="D513" s="104"/>
      <c r="E513" s="104"/>
      <c r="F513" s="104"/>
    </row>
    <row r="514" spans="3:6">
      <c r="C514" s="104"/>
      <c r="D514" s="104"/>
      <c r="E514" s="104"/>
      <c r="F514" s="104"/>
    </row>
    <row r="515" spans="3:6">
      <c r="C515" s="104"/>
      <c r="D515" s="104"/>
      <c r="E515" s="104"/>
      <c r="F515" s="104"/>
    </row>
    <row r="516" spans="3:6">
      <c r="C516" s="104"/>
      <c r="D516" s="104"/>
      <c r="E516" s="104"/>
      <c r="F516" s="104"/>
    </row>
    <row r="517" spans="3:6">
      <c r="C517" s="104"/>
      <c r="D517" s="104"/>
      <c r="E517" s="104"/>
      <c r="F517" s="104"/>
    </row>
    <row r="518" spans="3:6">
      <c r="C518" s="104"/>
      <c r="D518" s="104"/>
      <c r="E518" s="104"/>
      <c r="F518" s="104"/>
    </row>
    <row r="519" spans="3:6">
      <c r="C519" s="104"/>
      <c r="D519" s="104"/>
      <c r="E519" s="104"/>
      <c r="F519" s="104"/>
    </row>
    <row r="520" spans="3:6">
      <c r="C520" s="104"/>
      <c r="D520" s="104"/>
      <c r="E520" s="104"/>
      <c r="F520" s="104"/>
    </row>
    <row r="521" spans="3:6">
      <c r="C521" s="104"/>
      <c r="D521" s="104"/>
      <c r="E521" s="104"/>
      <c r="F521" s="104"/>
    </row>
    <row r="522" spans="3:6">
      <c r="C522" s="104"/>
      <c r="D522" s="104"/>
      <c r="E522" s="104"/>
      <c r="F522" s="104"/>
    </row>
    <row r="523" spans="3:6">
      <c r="C523" s="104"/>
      <c r="D523" s="104"/>
      <c r="E523" s="104"/>
      <c r="F523" s="104"/>
    </row>
    <row r="524" spans="3:6">
      <c r="C524" s="104"/>
      <c r="D524" s="104"/>
      <c r="E524" s="104"/>
      <c r="F524" s="104"/>
    </row>
    <row r="525" spans="3:6">
      <c r="C525" s="104"/>
      <c r="D525" s="104"/>
      <c r="E525" s="104"/>
      <c r="F525" s="104"/>
    </row>
    <row r="526" spans="3:6">
      <c r="C526" s="104"/>
      <c r="D526" s="104"/>
      <c r="E526" s="104"/>
      <c r="F526" s="104"/>
    </row>
    <row r="527" spans="3:6">
      <c r="C527" s="104"/>
      <c r="D527" s="104"/>
      <c r="E527" s="104"/>
      <c r="F527" s="104"/>
    </row>
    <row r="528" spans="3:6">
      <c r="C528" s="104"/>
      <c r="D528" s="104"/>
      <c r="E528" s="104"/>
      <c r="F528" s="104"/>
    </row>
    <row r="529" spans="3:6">
      <c r="C529" s="104"/>
      <c r="D529" s="104"/>
      <c r="E529" s="104"/>
      <c r="F529" s="104"/>
    </row>
    <row r="530" spans="3:6">
      <c r="C530" s="104"/>
      <c r="D530" s="104"/>
      <c r="E530" s="104"/>
      <c r="F530" s="104"/>
    </row>
    <row r="531" spans="3:6">
      <c r="C531" s="104"/>
      <c r="D531" s="104"/>
      <c r="E531" s="104"/>
      <c r="F531" s="104"/>
    </row>
    <row r="532" spans="3:6">
      <c r="C532" s="104"/>
      <c r="D532" s="104"/>
      <c r="E532" s="104"/>
      <c r="F532" s="104"/>
    </row>
    <row r="533" spans="3:6">
      <c r="C533" s="104"/>
      <c r="D533" s="104"/>
      <c r="E533" s="104"/>
      <c r="F533" s="104"/>
    </row>
    <row r="534" spans="3:6">
      <c r="C534" s="104"/>
      <c r="D534" s="104"/>
      <c r="E534" s="104"/>
      <c r="F534" s="104"/>
    </row>
    <row r="535" spans="3:6">
      <c r="C535" s="104"/>
      <c r="D535" s="104"/>
      <c r="E535" s="104"/>
      <c r="F535" s="104"/>
    </row>
    <row r="536" spans="3:6">
      <c r="C536" s="104"/>
      <c r="D536" s="104"/>
      <c r="E536" s="104"/>
      <c r="F536" s="104"/>
    </row>
    <row r="537" spans="3:6">
      <c r="C537" s="104"/>
      <c r="D537" s="104"/>
      <c r="E537" s="104"/>
      <c r="F537" s="104"/>
    </row>
    <row r="538" spans="3:6">
      <c r="C538" s="104"/>
      <c r="D538" s="104"/>
      <c r="E538" s="104"/>
      <c r="F538" s="104"/>
    </row>
    <row r="539" spans="3:6">
      <c r="C539" s="104"/>
      <c r="D539" s="104"/>
      <c r="E539" s="104"/>
      <c r="F539" s="104"/>
    </row>
    <row r="540" spans="3:6">
      <c r="C540" s="104"/>
      <c r="D540" s="104"/>
      <c r="E540" s="104"/>
      <c r="F540" s="104"/>
    </row>
    <row r="541" spans="3:6">
      <c r="C541" s="104"/>
      <c r="D541" s="104"/>
      <c r="E541" s="104"/>
      <c r="F541" s="104"/>
    </row>
    <row r="542" spans="3:6">
      <c r="C542" s="104"/>
      <c r="D542" s="104"/>
      <c r="E542" s="104"/>
      <c r="F542" s="104"/>
    </row>
    <row r="543" spans="3:6">
      <c r="C543" s="104"/>
      <c r="D543" s="104"/>
      <c r="E543" s="104"/>
      <c r="F543" s="104"/>
    </row>
    <row r="544" spans="3:6">
      <c r="C544" s="104"/>
      <c r="D544" s="104"/>
      <c r="E544" s="104"/>
      <c r="F544" s="104"/>
    </row>
    <row r="545" spans="3:6">
      <c r="C545" s="104"/>
      <c r="D545" s="104"/>
      <c r="E545" s="104"/>
      <c r="F545" s="104"/>
    </row>
    <row r="546" spans="3:6">
      <c r="C546" s="104"/>
      <c r="D546" s="104"/>
      <c r="E546" s="104"/>
      <c r="F546" s="104"/>
    </row>
    <row r="547" spans="3:6">
      <c r="C547" s="104"/>
      <c r="D547" s="104"/>
      <c r="E547" s="104"/>
      <c r="F547" s="104"/>
    </row>
    <row r="548" spans="3:6">
      <c r="C548" s="104"/>
      <c r="D548" s="104"/>
      <c r="E548" s="104"/>
      <c r="F548" s="104"/>
    </row>
    <row r="549" spans="3:6">
      <c r="C549" s="104"/>
      <c r="D549" s="104"/>
      <c r="E549" s="104"/>
      <c r="F549" s="104"/>
    </row>
    <row r="550" spans="3:6">
      <c r="C550" s="104"/>
      <c r="D550" s="104"/>
      <c r="E550" s="104"/>
      <c r="F550" s="104"/>
    </row>
    <row r="551" spans="3:6">
      <c r="C551" s="104"/>
      <c r="D551" s="104"/>
      <c r="E551" s="104"/>
      <c r="F551" s="104"/>
    </row>
    <row r="552" spans="3:6">
      <c r="C552" s="104"/>
      <c r="D552" s="104"/>
      <c r="E552" s="104"/>
      <c r="F552" s="104"/>
    </row>
    <row r="553" spans="3:6">
      <c r="C553" s="104"/>
      <c r="D553" s="104"/>
      <c r="E553" s="104"/>
      <c r="F553" s="104"/>
    </row>
    <row r="554" spans="3:6">
      <c r="C554" s="104"/>
      <c r="D554" s="104"/>
      <c r="E554" s="104"/>
      <c r="F554" s="104"/>
    </row>
    <row r="555" spans="3:6">
      <c r="C555" s="104"/>
      <c r="D555" s="104"/>
      <c r="E555" s="104"/>
      <c r="F555" s="104"/>
    </row>
    <row r="556" spans="3:6">
      <c r="C556" s="104"/>
      <c r="D556" s="104"/>
      <c r="E556" s="104"/>
      <c r="F556" s="104"/>
    </row>
    <row r="557" spans="3:6">
      <c r="C557" s="104"/>
      <c r="D557" s="104"/>
      <c r="E557" s="104"/>
      <c r="F557" s="104"/>
    </row>
    <row r="558" spans="3:6">
      <c r="C558" s="104"/>
      <c r="D558" s="104"/>
      <c r="E558" s="104"/>
      <c r="F558" s="104"/>
    </row>
    <row r="559" spans="3:6">
      <c r="C559" s="104"/>
      <c r="D559" s="104"/>
      <c r="E559" s="104"/>
      <c r="F559" s="104"/>
    </row>
    <row r="560" spans="3:6">
      <c r="C560" s="104"/>
      <c r="D560" s="104"/>
      <c r="E560" s="104"/>
      <c r="F560" s="104"/>
    </row>
    <row r="561" spans="3:6">
      <c r="C561" s="104"/>
      <c r="D561" s="104"/>
      <c r="E561" s="104"/>
      <c r="F561" s="104"/>
    </row>
    <row r="562" spans="3:6">
      <c r="C562" s="104"/>
      <c r="D562" s="104"/>
      <c r="E562" s="104"/>
      <c r="F562" s="104"/>
    </row>
    <row r="563" spans="3:6">
      <c r="C563" s="104"/>
      <c r="D563" s="104"/>
      <c r="E563" s="104"/>
      <c r="F563" s="104"/>
    </row>
    <row r="564" spans="3:6">
      <c r="C564" s="104"/>
      <c r="D564" s="104"/>
      <c r="E564" s="104"/>
      <c r="F564" s="104"/>
    </row>
    <row r="565" spans="3:6">
      <c r="C565" s="104"/>
      <c r="D565" s="104"/>
      <c r="E565" s="104"/>
      <c r="F565" s="104"/>
    </row>
    <row r="566" spans="3:6">
      <c r="C566" s="104"/>
      <c r="D566" s="104"/>
      <c r="E566" s="104"/>
      <c r="F566" s="104"/>
    </row>
    <row r="567" spans="3:6">
      <c r="C567" s="104"/>
      <c r="D567" s="104"/>
      <c r="E567" s="104"/>
      <c r="F567" s="104"/>
    </row>
    <row r="568" spans="3:6">
      <c r="C568" s="104"/>
      <c r="D568" s="104"/>
      <c r="E568" s="104"/>
      <c r="F568" s="104"/>
    </row>
    <row r="569" spans="3:6">
      <c r="C569" s="104"/>
      <c r="D569" s="104"/>
      <c r="E569" s="104"/>
      <c r="F569" s="104"/>
    </row>
    <row r="570" spans="3:6">
      <c r="C570" s="104"/>
      <c r="D570" s="104"/>
      <c r="E570" s="104"/>
      <c r="F570" s="104"/>
    </row>
    <row r="571" spans="3:6">
      <c r="C571" s="104"/>
      <c r="D571" s="104"/>
      <c r="E571" s="104"/>
      <c r="F571" s="104"/>
    </row>
    <row r="572" spans="3:6">
      <c r="C572" s="104"/>
      <c r="D572" s="104"/>
      <c r="E572" s="104"/>
      <c r="F572" s="104"/>
    </row>
    <row r="573" spans="3:6">
      <c r="C573" s="104"/>
      <c r="D573" s="104"/>
      <c r="E573" s="104"/>
      <c r="F573" s="104"/>
    </row>
    <row r="574" spans="3:6">
      <c r="C574" s="104"/>
      <c r="D574" s="104"/>
      <c r="E574" s="104"/>
      <c r="F574" s="104"/>
    </row>
    <row r="575" spans="3:6">
      <c r="C575" s="104"/>
      <c r="D575" s="104"/>
      <c r="E575" s="104"/>
      <c r="F575" s="104"/>
    </row>
    <row r="576" spans="3:6">
      <c r="C576" s="104"/>
      <c r="D576" s="104"/>
      <c r="E576" s="104"/>
      <c r="F576" s="104"/>
    </row>
    <row r="577" spans="3:6">
      <c r="C577" s="104"/>
      <c r="D577" s="104"/>
      <c r="E577" s="104"/>
      <c r="F577" s="104"/>
    </row>
    <row r="578" spans="3:6">
      <c r="C578" s="104"/>
      <c r="D578" s="104"/>
      <c r="E578" s="104"/>
      <c r="F578" s="104"/>
    </row>
    <row r="579" spans="3:6">
      <c r="C579" s="104"/>
      <c r="D579" s="104"/>
      <c r="E579" s="104"/>
      <c r="F579" s="104"/>
    </row>
    <row r="580" spans="3:6">
      <c r="C580" s="104"/>
      <c r="D580" s="104"/>
      <c r="E580" s="104"/>
      <c r="F580" s="104"/>
    </row>
    <row r="581" spans="3:6">
      <c r="C581" s="104"/>
      <c r="D581" s="104"/>
      <c r="E581" s="104"/>
      <c r="F581" s="104"/>
    </row>
    <row r="582" spans="3:6">
      <c r="C582" s="104"/>
      <c r="D582" s="104"/>
      <c r="E582" s="104"/>
      <c r="F582" s="104"/>
    </row>
    <row r="583" spans="3:6">
      <c r="C583" s="104"/>
      <c r="D583" s="104"/>
      <c r="E583" s="104"/>
      <c r="F583" s="104"/>
    </row>
    <row r="584" spans="3:6">
      <c r="C584" s="104"/>
      <c r="D584" s="104"/>
      <c r="E584" s="104"/>
      <c r="F584" s="104"/>
    </row>
    <row r="585" spans="3:6">
      <c r="C585" s="104"/>
      <c r="D585" s="104"/>
      <c r="E585" s="104"/>
      <c r="F585" s="104"/>
    </row>
    <row r="586" spans="3:6">
      <c r="C586" s="104"/>
      <c r="D586" s="104"/>
      <c r="E586" s="104"/>
      <c r="F586" s="104"/>
    </row>
    <row r="587" spans="3:6">
      <c r="C587" s="104"/>
      <c r="D587" s="104"/>
      <c r="E587" s="104"/>
      <c r="F587" s="104"/>
    </row>
    <row r="588" spans="3:6">
      <c r="C588" s="104"/>
      <c r="D588" s="104"/>
      <c r="E588" s="104"/>
      <c r="F588" s="104"/>
    </row>
    <row r="589" spans="3:6">
      <c r="C589" s="104"/>
      <c r="D589" s="104"/>
      <c r="E589" s="104"/>
      <c r="F589" s="104"/>
    </row>
    <row r="590" spans="3:6">
      <c r="C590" s="104"/>
      <c r="D590" s="104"/>
      <c r="E590" s="104"/>
      <c r="F590" s="104"/>
    </row>
    <row r="591" spans="3:6">
      <c r="C591" s="104"/>
      <c r="D591" s="104"/>
      <c r="E591" s="104"/>
      <c r="F591" s="104"/>
    </row>
    <row r="592" spans="3:6">
      <c r="C592" s="104"/>
      <c r="D592" s="104"/>
      <c r="E592" s="104"/>
      <c r="F592" s="104"/>
    </row>
    <row r="593" spans="3:6">
      <c r="C593" s="104"/>
      <c r="D593" s="104"/>
      <c r="E593" s="104"/>
      <c r="F593" s="104"/>
    </row>
    <row r="594" spans="3:6">
      <c r="C594" s="104"/>
      <c r="D594" s="104"/>
      <c r="E594" s="104"/>
      <c r="F594" s="104"/>
    </row>
    <row r="595" spans="3:6">
      <c r="C595" s="104"/>
      <c r="D595" s="104"/>
      <c r="E595" s="104"/>
      <c r="F595" s="104"/>
    </row>
    <row r="596" spans="3:6">
      <c r="C596" s="104"/>
      <c r="D596" s="104"/>
      <c r="E596" s="104"/>
      <c r="F596" s="104"/>
    </row>
    <row r="597" spans="3:6">
      <c r="C597" s="104"/>
      <c r="D597" s="104"/>
      <c r="E597" s="104"/>
      <c r="F597" s="104"/>
    </row>
    <row r="598" spans="3:6">
      <c r="C598" s="104"/>
      <c r="D598" s="104"/>
      <c r="E598" s="104"/>
      <c r="F598" s="104"/>
    </row>
    <row r="599" spans="3:6">
      <c r="C599" s="104"/>
      <c r="D599" s="104"/>
      <c r="E599" s="104"/>
      <c r="F599" s="104"/>
    </row>
    <row r="600" spans="3:6">
      <c r="C600" s="104"/>
      <c r="D600" s="104"/>
      <c r="E600" s="104"/>
      <c r="F600" s="104"/>
    </row>
    <row r="601" spans="3:6">
      <c r="C601" s="104"/>
      <c r="D601" s="104"/>
      <c r="E601" s="104"/>
      <c r="F601" s="104"/>
    </row>
    <row r="602" spans="3:6">
      <c r="C602" s="104"/>
      <c r="D602" s="104"/>
      <c r="E602" s="104"/>
      <c r="F602" s="104"/>
    </row>
    <row r="603" spans="3:6">
      <c r="C603" s="104"/>
      <c r="D603" s="104"/>
      <c r="E603" s="104"/>
      <c r="F603" s="104"/>
    </row>
    <row r="604" spans="3:6">
      <c r="C604" s="104"/>
      <c r="D604" s="104"/>
      <c r="E604" s="104"/>
      <c r="F604" s="104"/>
    </row>
    <row r="605" spans="3:6">
      <c r="C605" s="104"/>
      <c r="D605" s="104"/>
      <c r="E605" s="104"/>
      <c r="F605" s="104"/>
    </row>
    <row r="606" spans="3:6">
      <c r="C606" s="104"/>
      <c r="D606" s="104"/>
      <c r="E606" s="104"/>
      <c r="F606" s="104"/>
    </row>
    <row r="607" spans="3:6">
      <c r="C607" s="104"/>
      <c r="D607" s="104"/>
      <c r="E607" s="104"/>
      <c r="F607" s="104"/>
    </row>
    <row r="608" spans="3:6">
      <c r="C608" s="104"/>
      <c r="D608" s="104"/>
      <c r="E608" s="104"/>
      <c r="F608" s="104"/>
    </row>
    <row r="609" spans="3:6">
      <c r="C609" s="104"/>
      <c r="D609" s="104"/>
      <c r="E609" s="104"/>
      <c r="F609" s="104"/>
    </row>
    <row r="610" spans="3:6">
      <c r="C610" s="104"/>
      <c r="D610" s="104"/>
      <c r="E610" s="104"/>
      <c r="F610" s="104"/>
    </row>
    <row r="611" spans="3:6">
      <c r="C611" s="104"/>
      <c r="D611" s="104"/>
      <c r="E611" s="104"/>
      <c r="F611" s="104"/>
    </row>
    <row r="612" spans="3:6">
      <c r="C612" s="104"/>
      <c r="D612" s="104"/>
      <c r="E612" s="104"/>
      <c r="F612" s="104"/>
    </row>
    <row r="613" spans="3:6">
      <c r="C613" s="104"/>
      <c r="D613" s="104"/>
      <c r="E613" s="104"/>
      <c r="F613" s="104"/>
    </row>
    <row r="614" spans="3:6">
      <c r="C614" s="104"/>
      <c r="D614" s="104"/>
      <c r="E614" s="104"/>
      <c r="F614" s="104"/>
    </row>
    <row r="615" spans="3:6">
      <c r="C615" s="104"/>
      <c r="D615" s="104"/>
      <c r="E615" s="104"/>
      <c r="F615" s="104"/>
    </row>
    <row r="616" spans="3:6">
      <c r="C616" s="104"/>
      <c r="D616" s="104"/>
      <c r="E616" s="104"/>
      <c r="F616" s="104"/>
    </row>
    <row r="617" spans="3:6">
      <c r="C617" s="104"/>
      <c r="D617" s="104"/>
      <c r="E617" s="104"/>
      <c r="F617" s="104"/>
    </row>
    <row r="618" spans="3:6">
      <c r="C618" s="104"/>
      <c r="D618" s="104"/>
      <c r="E618" s="104"/>
      <c r="F618" s="104"/>
    </row>
    <row r="619" spans="3:6">
      <c r="C619" s="104"/>
      <c r="D619" s="104"/>
      <c r="E619" s="104"/>
      <c r="F619" s="104"/>
    </row>
    <row r="620" spans="3:6">
      <c r="C620" s="104"/>
      <c r="D620" s="104"/>
      <c r="E620" s="104"/>
      <c r="F620" s="104"/>
    </row>
    <row r="621" spans="3:6">
      <c r="C621" s="104"/>
      <c r="D621" s="104"/>
      <c r="E621" s="104"/>
      <c r="F621" s="104"/>
    </row>
    <row r="622" spans="3:6">
      <c r="C622" s="104"/>
      <c r="D622" s="104"/>
      <c r="E622" s="104"/>
      <c r="F622" s="104"/>
    </row>
    <row r="623" spans="3:6">
      <c r="C623" s="104"/>
      <c r="D623" s="104"/>
      <c r="E623" s="104"/>
      <c r="F623" s="104"/>
    </row>
    <row r="624" spans="3:6">
      <c r="C624" s="104"/>
      <c r="D624" s="104"/>
      <c r="E624" s="104"/>
      <c r="F624" s="104"/>
    </row>
    <row r="625" spans="3:6">
      <c r="C625" s="104"/>
      <c r="D625" s="104"/>
      <c r="E625" s="104"/>
      <c r="F625" s="104"/>
    </row>
    <row r="626" spans="3:6">
      <c r="C626" s="104"/>
      <c r="D626" s="104"/>
      <c r="E626" s="104"/>
      <c r="F626" s="104"/>
    </row>
    <row r="627" spans="3:6">
      <c r="C627" s="104"/>
      <c r="D627" s="104"/>
      <c r="E627" s="104"/>
      <c r="F627" s="104"/>
    </row>
    <row r="628" spans="3:6">
      <c r="C628" s="104"/>
      <c r="D628" s="104"/>
      <c r="E628" s="104"/>
      <c r="F628" s="104"/>
    </row>
    <row r="629" spans="3:6">
      <c r="C629" s="104"/>
      <c r="D629" s="104"/>
      <c r="E629" s="104"/>
      <c r="F629" s="104"/>
    </row>
    <row r="630" spans="3:6">
      <c r="C630" s="104"/>
      <c r="D630" s="104"/>
      <c r="E630" s="104"/>
      <c r="F630" s="104"/>
    </row>
    <row r="631" spans="3:6">
      <c r="C631" s="104"/>
      <c r="D631" s="104"/>
      <c r="E631" s="104"/>
      <c r="F631" s="104"/>
    </row>
    <row r="632" spans="3:6">
      <c r="C632" s="104"/>
      <c r="D632" s="104"/>
      <c r="E632" s="104"/>
      <c r="F632" s="104"/>
    </row>
    <row r="633" spans="3:6">
      <c r="C633" s="104"/>
      <c r="D633" s="104"/>
      <c r="E633" s="104"/>
      <c r="F633" s="104"/>
    </row>
    <row r="634" spans="3:6">
      <c r="C634" s="104"/>
      <c r="D634" s="104"/>
      <c r="E634" s="104"/>
      <c r="F634" s="104"/>
    </row>
    <row r="635" spans="3:6">
      <c r="C635" s="104"/>
      <c r="D635" s="104"/>
      <c r="E635" s="104"/>
      <c r="F635" s="104"/>
    </row>
    <row r="636" spans="3:6">
      <c r="C636" s="104"/>
      <c r="D636" s="104"/>
      <c r="E636" s="104"/>
      <c r="F636" s="104"/>
    </row>
    <row r="637" spans="3:6">
      <c r="C637" s="104"/>
      <c r="D637" s="104"/>
      <c r="E637" s="104"/>
      <c r="F637" s="104"/>
    </row>
    <row r="638" spans="3:6">
      <c r="C638" s="104"/>
      <c r="D638" s="104"/>
      <c r="E638" s="104"/>
      <c r="F638" s="104"/>
    </row>
    <row r="639" spans="3:6">
      <c r="C639" s="104"/>
      <c r="D639" s="104"/>
      <c r="E639" s="104"/>
      <c r="F639" s="104"/>
    </row>
    <row r="640" spans="3:6">
      <c r="C640" s="104"/>
      <c r="D640" s="104"/>
      <c r="E640" s="104"/>
      <c r="F640" s="104"/>
    </row>
    <row r="641" spans="3:6">
      <c r="C641" s="104"/>
      <c r="D641" s="104"/>
      <c r="E641" s="104"/>
      <c r="F641" s="104"/>
    </row>
    <row r="642" spans="3:6">
      <c r="C642" s="104"/>
      <c r="D642" s="104"/>
      <c r="E642" s="104"/>
      <c r="F642" s="104"/>
    </row>
    <row r="643" spans="3:6">
      <c r="C643" s="104"/>
      <c r="D643" s="104"/>
      <c r="E643" s="104"/>
      <c r="F643" s="104"/>
    </row>
    <row r="644" spans="3:6">
      <c r="C644" s="104"/>
      <c r="D644" s="104"/>
      <c r="E644" s="104"/>
      <c r="F644" s="104"/>
    </row>
    <row r="645" spans="3:6">
      <c r="C645" s="104"/>
      <c r="D645" s="104"/>
      <c r="E645" s="104"/>
      <c r="F645" s="104"/>
    </row>
    <row r="646" spans="3:6">
      <c r="C646" s="104"/>
      <c r="D646" s="104"/>
      <c r="E646" s="104"/>
      <c r="F646" s="104"/>
    </row>
    <row r="647" spans="3:6">
      <c r="C647" s="104"/>
      <c r="D647" s="104"/>
      <c r="E647" s="104"/>
      <c r="F647" s="104"/>
    </row>
    <row r="648" spans="3:6">
      <c r="C648" s="104"/>
      <c r="D648" s="104"/>
      <c r="E648" s="104"/>
      <c r="F648" s="104"/>
    </row>
    <row r="649" spans="3:6">
      <c r="C649" s="104"/>
      <c r="D649" s="104"/>
      <c r="E649" s="104"/>
      <c r="F649" s="104"/>
    </row>
    <row r="650" spans="3:6">
      <c r="C650" s="104"/>
      <c r="D650" s="104"/>
      <c r="E650" s="104"/>
      <c r="F650" s="104"/>
    </row>
    <row r="651" spans="3:6">
      <c r="C651" s="104"/>
      <c r="D651" s="104"/>
      <c r="E651" s="104"/>
      <c r="F651" s="104"/>
    </row>
    <row r="652" spans="3:6">
      <c r="C652" s="104"/>
      <c r="D652" s="104"/>
      <c r="E652" s="104"/>
      <c r="F652" s="104"/>
    </row>
    <row r="653" spans="3:6">
      <c r="C653" s="104"/>
      <c r="D653" s="104"/>
      <c r="E653" s="104"/>
      <c r="F653" s="104"/>
    </row>
    <row r="654" spans="3:6">
      <c r="C654" s="104"/>
      <c r="D654" s="104"/>
      <c r="E654" s="104"/>
      <c r="F654" s="104"/>
    </row>
    <row r="655" spans="3:6">
      <c r="C655" s="104"/>
      <c r="D655" s="104"/>
      <c r="E655" s="104"/>
      <c r="F655" s="104"/>
    </row>
    <row r="656" spans="3:6">
      <c r="C656" s="104"/>
      <c r="D656" s="104"/>
      <c r="E656" s="104"/>
      <c r="F656" s="104"/>
    </row>
    <row r="657" spans="3:6">
      <c r="C657" s="104"/>
      <c r="D657" s="104"/>
      <c r="E657" s="104"/>
      <c r="F657" s="104"/>
    </row>
    <row r="658" spans="3:6">
      <c r="C658" s="104"/>
      <c r="D658" s="104"/>
      <c r="E658" s="104"/>
      <c r="F658" s="104"/>
    </row>
    <row r="659" spans="3:6">
      <c r="C659" s="104"/>
      <c r="D659" s="104"/>
      <c r="E659" s="104"/>
      <c r="F659" s="104"/>
    </row>
    <row r="660" spans="3:6">
      <c r="C660" s="104"/>
      <c r="D660" s="104"/>
      <c r="E660" s="104"/>
      <c r="F660" s="104"/>
    </row>
    <row r="661" spans="3:6">
      <c r="C661" s="104"/>
      <c r="D661" s="104"/>
      <c r="E661" s="104"/>
      <c r="F661" s="104"/>
    </row>
    <row r="662" spans="3:6">
      <c r="C662" s="104"/>
      <c r="D662" s="104"/>
      <c r="E662" s="104"/>
      <c r="F662" s="104"/>
    </row>
    <row r="663" spans="3:6">
      <c r="C663" s="104"/>
      <c r="D663" s="104"/>
      <c r="E663" s="104"/>
      <c r="F663" s="104"/>
    </row>
    <row r="664" spans="3:6">
      <c r="C664" s="104"/>
      <c r="D664" s="104"/>
      <c r="E664" s="104"/>
      <c r="F664" s="104"/>
    </row>
    <row r="665" spans="3:6">
      <c r="C665" s="104"/>
      <c r="D665" s="104"/>
      <c r="E665" s="104"/>
      <c r="F665" s="104"/>
    </row>
    <row r="666" spans="3:6">
      <c r="C666" s="104"/>
      <c r="D666" s="104"/>
      <c r="E666" s="104"/>
      <c r="F666" s="104"/>
    </row>
    <row r="667" spans="3:6">
      <c r="C667" s="104"/>
      <c r="D667" s="104"/>
      <c r="E667" s="104"/>
      <c r="F667" s="104"/>
    </row>
    <row r="668" spans="3:6">
      <c r="C668" s="104"/>
      <c r="D668" s="104"/>
      <c r="E668" s="104"/>
      <c r="F668" s="104"/>
    </row>
    <row r="669" spans="3:6">
      <c r="C669" s="104"/>
      <c r="D669" s="104"/>
      <c r="E669" s="104"/>
      <c r="F669" s="104"/>
    </row>
    <row r="670" spans="3:6">
      <c r="C670" s="104"/>
      <c r="D670" s="104"/>
      <c r="E670" s="104"/>
      <c r="F670" s="104"/>
    </row>
    <row r="671" spans="3:6">
      <c r="C671" s="104"/>
      <c r="D671" s="104"/>
      <c r="E671" s="104"/>
      <c r="F671" s="104"/>
    </row>
    <row r="672" spans="3:6">
      <c r="C672" s="104"/>
      <c r="D672" s="104"/>
      <c r="E672" s="104"/>
      <c r="F672" s="104"/>
    </row>
    <row r="673" spans="3:6">
      <c r="C673" s="104"/>
      <c r="D673" s="104"/>
      <c r="E673" s="104"/>
      <c r="F673" s="104"/>
    </row>
    <row r="674" spans="3:6">
      <c r="C674" s="104"/>
      <c r="D674" s="104"/>
      <c r="E674" s="104"/>
      <c r="F674" s="104"/>
    </row>
    <row r="675" spans="3:6">
      <c r="C675" s="104"/>
      <c r="D675" s="104"/>
      <c r="E675" s="104"/>
      <c r="F675" s="104"/>
    </row>
    <row r="676" spans="3:6">
      <c r="C676" s="104"/>
      <c r="D676" s="104"/>
      <c r="E676" s="104"/>
      <c r="F676" s="104"/>
    </row>
    <row r="677" spans="3:6">
      <c r="C677" s="104"/>
      <c r="D677" s="104"/>
      <c r="E677" s="104"/>
      <c r="F677" s="104"/>
    </row>
    <row r="678" spans="3:6">
      <c r="C678" s="104"/>
      <c r="D678" s="104"/>
      <c r="E678" s="104"/>
      <c r="F678" s="104"/>
    </row>
    <row r="679" spans="3:6">
      <c r="C679" s="104"/>
      <c r="D679" s="104"/>
      <c r="E679" s="104"/>
      <c r="F679" s="104"/>
    </row>
    <row r="680" spans="3:6">
      <c r="C680" s="104"/>
      <c r="D680" s="104"/>
      <c r="E680" s="104"/>
      <c r="F680" s="104"/>
    </row>
    <row r="681" spans="3:6">
      <c r="C681" s="104"/>
      <c r="D681" s="104"/>
      <c r="E681" s="104"/>
      <c r="F681" s="104"/>
    </row>
    <row r="682" spans="3:6">
      <c r="C682" s="104"/>
      <c r="D682" s="104"/>
      <c r="E682" s="104"/>
      <c r="F682" s="104"/>
    </row>
    <row r="683" spans="3:6">
      <c r="C683" s="104"/>
      <c r="D683" s="104"/>
      <c r="E683" s="104"/>
      <c r="F683" s="104"/>
    </row>
    <row r="684" spans="3:6">
      <c r="C684" s="104"/>
      <c r="D684" s="104"/>
      <c r="E684" s="104"/>
      <c r="F684" s="104"/>
    </row>
    <row r="685" spans="3:6">
      <c r="C685" s="104"/>
      <c r="D685" s="104"/>
      <c r="E685" s="104"/>
      <c r="F685" s="104"/>
    </row>
    <row r="686" spans="3:6">
      <c r="C686" s="104"/>
      <c r="D686" s="104"/>
      <c r="E686" s="104"/>
      <c r="F686" s="104"/>
    </row>
    <row r="687" spans="3:6">
      <c r="C687" s="104"/>
      <c r="D687" s="104"/>
      <c r="E687" s="104"/>
      <c r="F687" s="104"/>
    </row>
    <row r="688" spans="3:6">
      <c r="C688" s="104"/>
      <c r="D688" s="104"/>
      <c r="E688" s="104"/>
      <c r="F688" s="104"/>
    </row>
    <row r="689" spans="3:6">
      <c r="C689" s="104"/>
      <c r="D689" s="104"/>
      <c r="E689" s="104"/>
      <c r="F689" s="104"/>
    </row>
    <row r="690" spans="3:6">
      <c r="C690" s="104"/>
      <c r="D690" s="104"/>
      <c r="E690" s="104"/>
      <c r="F690" s="104"/>
    </row>
    <row r="691" spans="3:6">
      <c r="C691" s="104"/>
      <c r="D691" s="104"/>
      <c r="E691" s="104"/>
      <c r="F691" s="104"/>
    </row>
    <row r="692" spans="3:6">
      <c r="C692" s="104"/>
      <c r="D692" s="104"/>
      <c r="E692" s="104"/>
      <c r="F692" s="104"/>
    </row>
    <row r="693" spans="3:6">
      <c r="C693" s="104"/>
      <c r="D693" s="104"/>
      <c r="E693" s="104"/>
      <c r="F693" s="104"/>
    </row>
    <row r="694" spans="3:6">
      <c r="C694" s="104"/>
      <c r="D694" s="104"/>
      <c r="E694" s="104"/>
      <c r="F694" s="104"/>
    </row>
    <row r="695" spans="3:6">
      <c r="C695" s="104"/>
      <c r="D695" s="104"/>
      <c r="E695" s="104"/>
      <c r="F695" s="104"/>
    </row>
    <row r="696" spans="3:6">
      <c r="C696" s="104"/>
      <c r="D696" s="104"/>
      <c r="E696" s="104"/>
      <c r="F696" s="104"/>
    </row>
    <row r="697" spans="3:6">
      <c r="C697" s="104"/>
      <c r="D697" s="104"/>
      <c r="E697" s="104"/>
      <c r="F697" s="104"/>
    </row>
    <row r="698" spans="3:6">
      <c r="C698" s="104"/>
      <c r="D698" s="104"/>
      <c r="E698" s="104"/>
      <c r="F698" s="104"/>
    </row>
    <row r="699" spans="3:6">
      <c r="C699" s="104"/>
      <c r="D699" s="104"/>
      <c r="E699" s="104"/>
      <c r="F699" s="104"/>
    </row>
    <row r="700" spans="3:6">
      <c r="C700" s="104"/>
      <c r="D700" s="104"/>
      <c r="E700" s="104"/>
      <c r="F700" s="104"/>
    </row>
    <row r="701" spans="3:6">
      <c r="C701" s="104"/>
      <c r="D701" s="104"/>
      <c r="E701" s="104"/>
      <c r="F701" s="104"/>
    </row>
    <row r="702" spans="3:6">
      <c r="C702" s="104"/>
      <c r="D702" s="104"/>
      <c r="E702" s="104"/>
      <c r="F702" s="104"/>
    </row>
    <row r="703" spans="3:6">
      <c r="C703" s="104"/>
      <c r="D703" s="104"/>
      <c r="E703" s="104"/>
      <c r="F703" s="104"/>
    </row>
    <row r="704" spans="3:6">
      <c r="C704" s="104"/>
      <c r="D704" s="104"/>
      <c r="E704" s="104"/>
      <c r="F704" s="104"/>
    </row>
    <row r="705" spans="3:6">
      <c r="C705" s="104"/>
      <c r="D705" s="104"/>
      <c r="E705" s="104"/>
      <c r="F705" s="104"/>
    </row>
    <row r="706" spans="3:6">
      <c r="C706" s="104"/>
      <c r="D706" s="104"/>
      <c r="E706" s="104"/>
      <c r="F706" s="104"/>
    </row>
    <row r="707" spans="3:6">
      <c r="C707" s="104"/>
      <c r="D707" s="104"/>
      <c r="E707" s="104"/>
      <c r="F707" s="104"/>
    </row>
    <row r="708" spans="3:6">
      <c r="C708" s="104"/>
      <c r="D708" s="104"/>
      <c r="E708" s="104"/>
      <c r="F708" s="104"/>
    </row>
    <row r="709" spans="3:6">
      <c r="C709" s="104"/>
      <c r="D709" s="104"/>
      <c r="E709" s="104"/>
      <c r="F709" s="104"/>
    </row>
    <row r="710" spans="3:6">
      <c r="C710" s="104"/>
      <c r="D710" s="104"/>
      <c r="E710" s="104"/>
      <c r="F710" s="104"/>
    </row>
    <row r="711" spans="3:6">
      <c r="C711" s="104"/>
      <c r="D711" s="104"/>
      <c r="E711" s="104"/>
      <c r="F711" s="104"/>
    </row>
    <row r="712" spans="3:6">
      <c r="C712" s="104"/>
      <c r="D712" s="104"/>
      <c r="E712" s="104"/>
      <c r="F712" s="104"/>
    </row>
    <row r="713" spans="3:6">
      <c r="C713" s="104"/>
      <c r="D713" s="104"/>
      <c r="E713" s="104"/>
      <c r="F713" s="104"/>
    </row>
    <row r="714" spans="3:6">
      <c r="C714" s="104"/>
      <c r="D714" s="104"/>
      <c r="E714" s="104"/>
      <c r="F714" s="104"/>
    </row>
    <row r="715" spans="3:6">
      <c r="C715" s="104"/>
      <c r="D715" s="104"/>
      <c r="E715" s="104"/>
      <c r="F715" s="104"/>
    </row>
    <row r="716" spans="3:6">
      <c r="C716" s="104"/>
      <c r="D716" s="104"/>
      <c r="E716" s="104"/>
      <c r="F716" s="104"/>
    </row>
    <row r="717" spans="3:6">
      <c r="C717" s="104"/>
      <c r="D717" s="104"/>
      <c r="E717" s="104"/>
      <c r="F717" s="104"/>
    </row>
    <row r="718" spans="3:6">
      <c r="C718" s="104"/>
      <c r="D718" s="104"/>
      <c r="E718" s="104"/>
      <c r="F718" s="104"/>
    </row>
    <row r="719" spans="3:6">
      <c r="C719" s="104"/>
      <c r="D719" s="104"/>
      <c r="E719" s="104"/>
      <c r="F719" s="104"/>
    </row>
    <row r="720" spans="3:6">
      <c r="C720" s="104"/>
      <c r="D720" s="104"/>
      <c r="E720" s="104"/>
      <c r="F720" s="104"/>
    </row>
    <row r="721" spans="3:6">
      <c r="C721" s="104"/>
      <c r="D721" s="104"/>
      <c r="E721" s="104"/>
      <c r="F721" s="104"/>
    </row>
    <row r="722" spans="3:6">
      <c r="C722" s="104"/>
      <c r="D722" s="104"/>
      <c r="E722" s="104"/>
      <c r="F722" s="104"/>
    </row>
    <row r="723" spans="3:6">
      <c r="C723" s="104"/>
      <c r="D723" s="104"/>
      <c r="E723" s="104"/>
      <c r="F723" s="104"/>
    </row>
    <row r="724" spans="3:6">
      <c r="C724" s="104"/>
      <c r="D724" s="104"/>
      <c r="E724" s="104"/>
      <c r="F724" s="104"/>
    </row>
    <row r="725" spans="3:6">
      <c r="C725" s="104"/>
      <c r="D725" s="104"/>
      <c r="E725" s="104"/>
      <c r="F725" s="104"/>
    </row>
    <row r="726" spans="3:6">
      <c r="C726" s="104"/>
      <c r="D726" s="104"/>
      <c r="E726" s="104"/>
      <c r="F726" s="104"/>
    </row>
    <row r="727" spans="3:6">
      <c r="C727" s="104"/>
      <c r="D727" s="104"/>
      <c r="E727" s="104"/>
      <c r="F727" s="104"/>
    </row>
    <row r="728" spans="3:6">
      <c r="C728" s="104"/>
      <c r="D728" s="104"/>
      <c r="E728" s="104"/>
      <c r="F728" s="104"/>
    </row>
    <row r="729" spans="3:6">
      <c r="C729" s="104"/>
      <c r="D729" s="104"/>
      <c r="E729" s="104"/>
      <c r="F729" s="104"/>
    </row>
    <row r="730" spans="3:6">
      <c r="C730" s="104"/>
      <c r="D730" s="104"/>
      <c r="E730" s="104"/>
      <c r="F730" s="104"/>
    </row>
    <row r="731" spans="3:6">
      <c r="C731" s="104"/>
      <c r="D731" s="104"/>
      <c r="E731" s="104"/>
      <c r="F731" s="104"/>
    </row>
    <row r="732" spans="3:6">
      <c r="C732" s="104"/>
      <c r="D732" s="104"/>
      <c r="E732" s="104"/>
      <c r="F732" s="104"/>
    </row>
    <row r="733" spans="3:6">
      <c r="C733" s="104"/>
      <c r="D733" s="104"/>
      <c r="E733" s="104"/>
      <c r="F733" s="104"/>
    </row>
    <row r="734" spans="3:6">
      <c r="C734" s="104"/>
      <c r="D734" s="104"/>
      <c r="E734" s="104"/>
      <c r="F734" s="104"/>
    </row>
    <row r="735" spans="3:6">
      <c r="C735" s="104"/>
      <c r="D735" s="104"/>
      <c r="E735" s="104"/>
      <c r="F735" s="104"/>
    </row>
    <row r="736" spans="3:6">
      <c r="C736" s="104"/>
      <c r="D736" s="104"/>
      <c r="E736" s="104"/>
      <c r="F736" s="104"/>
    </row>
    <row r="737" spans="3:6">
      <c r="C737" s="104"/>
      <c r="D737" s="104"/>
      <c r="E737" s="104"/>
      <c r="F737" s="104"/>
    </row>
    <row r="738" spans="3:6">
      <c r="C738" s="104"/>
      <c r="D738" s="104"/>
      <c r="E738" s="104"/>
      <c r="F738" s="104"/>
    </row>
    <row r="739" spans="3:6">
      <c r="C739" s="104"/>
      <c r="D739" s="104"/>
      <c r="E739" s="104"/>
      <c r="F739" s="104"/>
    </row>
    <row r="740" spans="3:6">
      <c r="C740" s="104"/>
      <c r="D740" s="104"/>
      <c r="E740" s="104"/>
      <c r="F740" s="104"/>
    </row>
    <row r="741" spans="3:6">
      <c r="C741" s="104"/>
      <c r="D741" s="104"/>
      <c r="E741" s="104"/>
      <c r="F741" s="104"/>
    </row>
    <row r="742" spans="3:6">
      <c r="C742" s="104"/>
      <c r="D742" s="104"/>
      <c r="E742" s="104"/>
      <c r="F742" s="104"/>
    </row>
    <row r="743" spans="3:6">
      <c r="C743" s="104"/>
      <c r="D743" s="104"/>
      <c r="E743" s="104"/>
      <c r="F743" s="104"/>
    </row>
    <row r="744" spans="3:6">
      <c r="C744" s="104"/>
      <c r="D744" s="104"/>
      <c r="E744" s="104"/>
      <c r="F744" s="104"/>
    </row>
    <row r="745" spans="3:6">
      <c r="C745" s="104"/>
      <c r="D745" s="104"/>
      <c r="E745" s="104"/>
      <c r="F745" s="104"/>
    </row>
    <row r="746" spans="3:6">
      <c r="C746" s="104"/>
      <c r="D746" s="104"/>
      <c r="E746" s="104"/>
      <c r="F746" s="104"/>
    </row>
    <row r="747" spans="3:6">
      <c r="C747" s="104"/>
      <c r="D747" s="104"/>
      <c r="E747" s="104"/>
      <c r="F747" s="104"/>
    </row>
    <row r="748" spans="3:6">
      <c r="C748" s="104"/>
      <c r="D748" s="104"/>
      <c r="E748" s="104"/>
      <c r="F748" s="104"/>
    </row>
    <row r="749" spans="3:6">
      <c r="C749" s="104"/>
      <c r="D749" s="104"/>
      <c r="E749" s="104"/>
      <c r="F749" s="104"/>
    </row>
    <row r="750" spans="3:6">
      <c r="C750" s="104"/>
      <c r="D750" s="104"/>
      <c r="E750" s="104"/>
      <c r="F750" s="104"/>
    </row>
    <row r="751" spans="3:6">
      <c r="C751" s="104"/>
      <c r="D751" s="104"/>
      <c r="E751" s="104"/>
      <c r="F751" s="104"/>
    </row>
    <row r="752" spans="3:6">
      <c r="C752" s="104"/>
      <c r="D752" s="104"/>
      <c r="E752" s="104"/>
      <c r="F752" s="104"/>
    </row>
    <row r="753" spans="3:6">
      <c r="C753" s="104"/>
      <c r="D753" s="104"/>
      <c r="E753" s="104"/>
      <c r="F753" s="104"/>
    </row>
    <row r="754" spans="3:6">
      <c r="C754" s="104"/>
      <c r="D754" s="104"/>
      <c r="E754" s="104"/>
      <c r="F754" s="104"/>
    </row>
    <row r="755" spans="3:6">
      <c r="C755" s="104"/>
      <c r="D755" s="104"/>
      <c r="E755" s="104"/>
      <c r="F755" s="104"/>
    </row>
    <row r="756" spans="3:6">
      <c r="C756" s="104"/>
      <c r="D756" s="104"/>
      <c r="E756" s="104"/>
      <c r="F756" s="104"/>
    </row>
    <row r="757" spans="3:6">
      <c r="C757" s="104"/>
      <c r="D757" s="104"/>
      <c r="E757" s="104"/>
      <c r="F757" s="104"/>
    </row>
    <row r="758" spans="3:6">
      <c r="C758" s="104"/>
      <c r="D758" s="104"/>
      <c r="E758" s="104"/>
      <c r="F758" s="104"/>
    </row>
    <row r="759" spans="3:6">
      <c r="C759" s="104"/>
      <c r="D759" s="104"/>
      <c r="E759" s="104"/>
      <c r="F759" s="104"/>
    </row>
    <row r="760" spans="3:6">
      <c r="C760" s="104"/>
      <c r="D760" s="104"/>
      <c r="E760" s="104"/>
      <c r="F760" s="104"/>
    </row>
    <row r="761" spans="3:6">
      <c r="C761" s="104"/>
      <c r="D761" s="104"/>
      <c r="E761" s="104"/>
      <c r="F761" s="104"/>
    </row>
    <row r="762" spans="3:6">
      <c r="C762" s="104"/>
      <c r="D762" s="104"/>
      <c r="E762" s="104"/>
      <c r="F762" s="104"/>
    </row>
    <row r="763" spans="3:6">
      <c r="C763" s="104"/>
      <c r="D763" s="104"/>
      <c r="E763" s="104"/>
      <c r="F763" s="104"/>
    </row>
    <row r="764" spans="3:6">
      <c r="C764" s="104"/>
      <c r="D764" s="104"/>
      <c r="E764" s="104"/>
      <c r="F764" s="104"/>
    </row>
    <row r="765" spans="3:6">
      <c r="C765" s="104"/>
      <c r="D765" s="104"/>
      <c r="E765" s="104"/>
      <c r="F765" s="104"/>
    </row>
    <row r="766" spans="3:6">
      <c r="C766" s="104"/>
      <c r="D766" s="104"/>
      <c r="E766" s="104"/>
      <c r="F766" s="104"/>
    </row>
    <row r="767" spans="3:6">
      <c r="C767" s="104"/>
      <c r="D767" s="104"/>
      <c r="E767" s="104"/>
      <c r="F767" s="104"/>
    </row>
    <row r="768" spans="3:6">
      <c r="C768" s="104"/>
      <c r="D768" s="104"/>
      <c r="E768" s="104"/>
      <c r="F768" s="104"/>
    </row>
    <row r="769" spans="3:6">
      <c r="C769" s="104"/>
      <c r="D769" s="104"/>
      <c r="E769" s="104"/>
      <c r="F769" s="104"/>
    </row>
    <row r="770" spans="3:6">
      <c r="C770" s="104"/>
      <c r="D770" s="104"/>
      <c r="E770" s="104"/>
      <c r="F770" s="104"/>
    </row>
    <row r="771" spans="3:6">
      <c r="C771" s="104"/>
      <c r="D771" s="104"/>
      <c r="E771" s="104"/>
      <c r="F771" s="104"/>
    </row>
    <row r="772" spans="3:6">
      <c r="C772" s="104"/>
      <c r="D772" s="104"/>
      <c r="E772" s="104"/>
      <c r="F772" s="104"/>
    </row>
    <row r="773" spans="3:6">
      <c r="C773" s="104"/>
      <c r="D773" s="104"/>
      <c r="E773" s="104"/>
      <c r="F773" s="104"/>
    </row>
    <row r="774" spans="3:6">
      <c r="C774" s="104"/>
      <c r="D774" s="104"/>
      <c r="E774" s="104"/>
      <c r="F774" s="104"/>
    </row>
    <row r="775" spans="3:6">
      <c r="C775" s="104"/>
      <c r="D775" s="104"/>
      <c r="E775" s="104"/>
      <c r="F775" s="104"/>
    </row>
    <row r="776" spans="3:6">
      <c r="C776" s="104"/>
      <c r="D776" s="104"/>
      <c r="E776" s="104"/>
      <c r="F776" s="104"/>
    </row>
    <row r="777" spans="3:6">
      <c r="C777" s="104"/>
      <c r="D777" s="104"/>
      <c r="E777" s="104"/>
      <c r="F777" s="104"/>
    </row>
    <row r="778" spans="3:6">
      <c r="C778" s="104"/>
      <c r="D778" s="104"/>
      <c r="E778" s="104"/>
      <c r="F778" s="104"/>
    </row>
    <row r="779" spans="3:6">
      <c r="C779" s="104"/>
      <c r="D779" s="104"/>
      <c r="E779" s="104"/>
      <c r="F779" s="104"/>
    </row>
    <row r="780" spans="3:6">
      <c r="C780" s="104"/>
      <c r="D780" s="104"/>
      <c r="E780" s="104"/>
      <c r="F780" s="104"/>
    </row>
    <row r="781" spans="3:6">
      <c r="C781" s="104"/>
      <c r="D781" s="104"/>
      <c r="E781" s="104"/>
      <c r="F781" s="104"/>
    </row>
    <row r="782" spans="3:6">
      <c r="C782" s="104"/>
      <c r="D782" s="104"/>
      <c r="E782" s="104"/>
      <c r="F782" s="104"/>
    </row>
    <row r="783" spans="3:6">
      <c r="C783" s="104"/>
      <c r="D783" s="104"/>
      <c r="E783" s="104"/>
      <c r="F783" s="104"/>
    </row>
    <row r="784" spans="3:6">
      <c r="C784" s="104"/>
      <c r="D784" s="104"/>
      <c r="E784" s="104"/>
      <c r="F784" s="104"/>
    </row>
    <row r="785" spans="3:6">
      <c r="C785" s="104"/>
      <c r="D785" s="104"/>
      <c r="E785" s="104"/>
      <c r="F785" s="104"/>
    </row>
    <row r="786" spans="3:6">
      <c r="C786" s="104"/>
      <c r="D786" s="104"/>
      <c r="E786" s="104"/>
      <c r="F786" s="104"/>
    </row>
    <row r="787" spans="3:6">
      <c r="C787" s="104"/>
      <c r="D787" s="104"/>
      <c r="E787" s="104"/>
      <c r="F787" s="104"/>
    </row>
    <row r="788" spans="3:6">
      <c r="C788" s="104"/>
      <c r="D788" s="104"/>
      <c r="E788" s="104"/>
      <c r="F788" s="104"/>
    </row>
    <row r="789" spans="3:6">
      <c r="C789" s="104"/>
      <c r="D789" s="104"/>
      <c r="E789" s="104"/>
      <c r="F789" s="104"/>
    </row>
    <row r="790" spans="3:6">
      <c r="C790" s="104"/>
      <c r="D790" s="104"/>
      <c r="E790" s="104"/>
      <c r="F790" s="104"/>
    </row>
    <row r="791" spans="3:6">
      <c r="C791" s="104"/>
      <c r="D791" s="104"/>
      <c r="E791" s="104"/>
      <c r="F791" s="104"/>
    </row>
    <row r="792" spans="3:6">
      <c r="C792" s="104"/>
      <c r="D792" s="104"/>
      <c r="E792" s="104"/>
      <c r="F792" s="104"/>
    </row>
    <row r="793" spans="3:6">
      <c r="C793" s="104"/>
      <c r="D793" s="104"/>
      <c r="E793" s="104"/>
      <c r="F793" s="104"/>
    </row>
    <row r="794" spans="3:6">
      <c r="C794" s="104"/>
      <c r="D794" s="104"/>
      <c r="E794" s="104"/>
      <c r="F794" s="104"/>
    </row>
    <row r="795" spans="3:6">
      <c r="C795" s="104"/>
      <c r="D795" s="104"/>
      <c r="E795" s="104"/>
      <c r="F795" s="104"/>
    </row>
    <row r="796" spans="3:6">
      <c r="C796" s="104"/>
      <c r="D796" s="104"/>
      <c r="E796" s="104"/>
      <c r="F796" s="104"/>
    </row>
    <row r="797" spans="3:6">
      <c r="C797" s="104"/>
      <c r="D797" s="104"/>
      <c r="E797" s="104"/>
      <c r="F797" s="104"/>
    </row>
    <row r="798" spans="3:6">
      <c r="C798" s="104"/>
      <c r="D798" s="104"/>
      <c r="E798" s="104"/>
      <c r="F798" s="104"/>
    </row>
    <row r="799" spans="3:6">
      <c r="C799" s="104"/>
      <c r="D799" s="104"/>
      <c r="E799" s="104"/>
      <c r="F799" s="104"/>
    </row>
    <row r="800" spans="3:6">
      <c r="C800" s="104"/>
      <c r="D800" s="104"/>
      <c r="E800" s="104"/>
      <c r="F800" s="104"/>
    </row>
    <row r="801" spans="3:6">
      <c r="C801" s="104"/>
      <c r="D801" s="104"/>
      <c r="E801" s="104"/>
      <c r="F801" s="104"/>
    </row>
    <row r="802" spans="3:6">
      <c r="C802" s="104"/>
      <c r="D802" s="104"/>
      <c r="E802" s="104"/>
      <c r="F802" s="104"/>
    </row>
    <row r="803" spans="3:6">
      <c r="C803" s="104"/>
      <c r="D803" s="104"/>
      <c r="E803" s="104"/>
      <c r="F803" s="104"/>
    </row>
    <row r="804" spans="3:6">
      <c r="C804" s="104"/>
      <c r="D804" s="104"/>
      <c r="E804" s="104"/>
      <c r="F804" s="104"/>
    </row>
    <row r="805" spans="3:6">
      <c r="C805" s="104"/>
      <c r="D805" s="104"/>
      <c r="E805" s="104"/>
      <c r="F805" s="104"/>
    </row>
    <row r="806" spans="3:6">
      <c r="C806" s="104"/>
      <c r="D806" s="104"/>
      <c r="E806" s="104"/>
      <c r="F806" s="104"/>
    </row>
    <row r="807" spans="3:6">
      <c r="C807" s="104"/>
      <c r="D807" s="104"/>
      <c r="E807" s="104"/>
      <c r="F807" s="104"/>
    </row>
    <row r="808" spans="3:6">
      <c r="C808" s="104"/>
      <c r="D808" s="104"/>
      <c r="E808" s="104"/>
      <c r="F808" s="104"/>
    </row>
    <row r="809" spans="3:6">
      <c r="C809" s="104"/>
      <c r="D809" s="104"/>
      <c r="E809" s="104"/>
      <c r="F809" s="104"/>
    </row>
    <row r="810" spans="3:6">
      <c r="C810" s="104"/>
      <c r="D810" s="104"/>
      <c r="E810" s="104"/>
      <c r="F810" s="104"/>
    </row>
    <row r="811" spans="3:6">
      <c r="C811" s="104"/>
      <c r="D811" s="104"/>
      <c r="E811" s="104"/>
      <c r="F811" s="104"/>
    </row>
    <row r="812" spans="3:6">
      <c r="C812" s="104"/>
      <c r="D812" s="104"/>
      <c r="E812" s="104"/>
      <c r="F812" s="104"/>
    </row>
    <row r="813" spans="3:6">
      <c r="C813" s="104"/>
      <c r="D813" s="104"/>
      <c r="E813" s="104"/>
      <c r="F813" s="104"/>
    </row>
    <row r="814" spans="3:6">
      <c r="C814" s="104"/>
      <c r="D814" s="104"/>
      <c r="E814" s="104"/>
      <c r="F814" s="104"/>
    </row>
    <row r="815" spans="3:6">
      <c r="C815" s="104"/>
      <c r="D815" s="104"/>
      <c r="E815" s="104"/>
      <c r="F815" s="104"/>
    </row>
    <row r="816" spans="3:6">
      <c r="C816" s="104"/>
      <c r="D816" s="104"/>
      <c r="E816" s="104"/>
      <c r="F816" s="104"/>
    </row>
    <row r="817" spans="3:6">
      <c r="C817" s="104"/>
      <c r="D817" s="104"/>
      <c r="E817" s="104"/>
      <c r="F817" s="104"/>
    </row>
    <row r="818" spans="3:6">
      <c r="C818" s="104"/>
      <c r="D818" s="104"/>
      <c r="E818" s="104"/>
      <c r="F818" s="104"/>
    </row>
    <row r="819" spans="3:6">
      <c r="C819" s="104"/>
      <c r="D819" s="104"/>
      <c r="E819" s="104"/>
      <c r="F819" s="104"/>
    </row>
    <row r="820" spans="3:6">
      <c r="C820" s="104"/>
      <c r="D820" s="104"/>
      <c r="E820" s="104"/>
      <c r="F820" s="104"/>
    </row>
    <row r="821" spans="3:6">
      <c r="C821" s="104"/>
      <c r="D821" s="104"/>
      <c r="E821" s="104"/>
      <c r="F821" s="104"/>
    </row>
    <row r="822" spans="3:6">
      <c r="C822" s="104"/>
      <c r="D822" s="104"/>
      <c r="E822" s="104"/>
      <c r="F822" s="104"/>
    </row>
    <row r="823" spans="3:6">
      <c r="C823" s="104"/>
      <c r="D823" s="104"/>
      <c r="E823" s="104"/>
      <c r="F823" s="104"/>
    </row>
    <row r="824" spans="3:6">
      <c r="C824" s="104"/>
      <c r="D824" s="104"/>
      <c r="E824" s="104"/>
      <c r="F824" s="104"/>
    </row>
    <row r="825" spans="3:6">
      <c r="C825" s="104"/>
      <c r="D825" s="104"/>
      <c r="E825" s="104"/>
      <c r="F825" s="104"/>
    </row>
    <row r="826" spans="3:6">
      <c r="C826" s="104"/>
      <c r="D826" s="104"/>
      <c r="E826" s="104"/>
      <c r="F826" s="104"/>
    </row>
    <row r="827" spans="3:6">
      <c r="C827" s="104"/>
      <c r="D827" s="104"/>
      <c r="E827" s="104"/>
      <c r="F827" s="104"/>
    </row>
    <row r="828" spans="3:6">
      <c r="C828" s="104"/>
      <c r="D828" s="104"/>
      <c r="E828" s="104"/>
      <c r="F828" s="104"/>
    </row>
    <row r="829" spans="3:6">
      <c r="C829" s="104"/>
      <c r="D829" s="104"/>
      <c r="E829" s="104"/>
      <c r="F829" s="104"/>
    </row>
    <row r="830" spans="3:6">
      <c r="C830" s="104"/>
      <c r="D830" s="104"/>
      <c r="E830" s="104"/>
      <c r="F830" s="104"/>
    </row>
    <row r="831" spans="3:6">
      <c r="C831" s="104"/>
      <c r="D831" s="104"/>
      <c r="E831" s="104"/>
      <c r="F831" s="104"/>
    </row>
    <row r="832" spans="3:6">
      <c r="C832" s="104"/>
      <c r="D832" s="104"/>
      <c r="E832" s="104"/>
      <c r="F832" s="104"/>
    </row>
    <row r="833" spans="3:6">
      <c r="C833" s="104"/>
      <c r="D833" s="104"/>
      <c r="E833" s="104"/>
      <c r="F833" s="104"/>
    </row>
    <row r="834" spans="3:6">
      <c r="C834" s="104"/>
      <c r="D834" s="104"/>
      <c r="E834" s="104"/>
      <c r="F834" s="104"/>
    </row>
    <row r="835" spans="3:6">
      <c r="C835" s="104"/>
      <c r="D835" s="104"/>
      <c r="E835" s="104"/>
      <c r="F835" s="104"/>
    </row>
    <row r="836" spans="3:6">
      <c r="C836" s="104"/>
      <c r="D836" s="104"/>
      <c r="E836" s="104"/>
      <c r="F836" s="104"/>
    </row>
    <row r="837" spans="3:6">
      <c r="C837" s="104"/>
      <c r="D837" s="104"/>
      <c r="E837" s="104"/>
      <c r="F837" s="104"/>
    </row>
    <row r="838" spans="3:6">
      <c r="C838" s="104"/>
      <c r="D838" s="104"/>
      <c r="E838" s="104"/>
      <c r="F838" s="104"/>
    </row>
    <row r="839" spans="3:6">
      <c r="C839" s="104"/>
      <c r="D839" s="104"/>
      <c r="E839" s="104"/>
      <c r="F839" s="104"/>
    </row>
    <row r="840" spans="3:6">
      <c r="C840" s="104"/>
      <c r="D840" s="104"/>
      <c r="E840" s="104"/>
      <c r="F840" s="104"/>
    </row>
    <row r="841" spans="3:6">
      <c r="C841" s="104"/>
      <c r="D841" s="104"/>
      <c r="E841" s="104"/>
      <c r="F841" s="104"/>
    </row>
    <row r="842" spans="3:6">
      <c r="C842" s="104"/>
      <c r="D842" s="104"/>
      <c r="E842" s="104"/>
      <c r="F842" s="104"/>
    </row>
    <row r="843" spans="3:6">
      <c r="C843" s="104"/>
      <c r="D843" s="104"/>
      <c r="E843" s="104"/>
      <c r="F843" s="104"/>
    </row>
    <row r="844" spans="3:6">
      <c r="C844" s="104"/>
      <c r="D844" s="104"/>
      <c r="E844" s="104"/>
      <c r="F844" s="104"/>
    </row>
    <row r="845" spans="3:6">
      <c r="C845" s="104"/>
      <c r="D845" s="104"/>
      <c r="E845" s="104"/>
      <c r="F845" s="104"/>
    </row>
    <row r="846" spans="3:6">
      <c r="C846" s="104"/>
      <c r="D846" s="104"/>
      <c r="E846" s="104"/>
      <c r="F846" s="104"/>
    </row>
    <row r="847" spans="3:6">
      <c r="C847" s="104"/>
      <c r="D847" s="104"/>
      <c r="E847" s="104"/>
      <c r="F847" s="104"/>
    </row>
    <row r="848" spans="3:6">
      <c r="C848" s="104"/>
      <c r="D848" s="104"/>
      <c r="E848" s="104"/>
      <c r="F848" s="104"/>
    </row>
    <row r="849" spans="3:6">
      <c r="C849" s="104"/>
      <c r="D849" s="104"/>
      <c r="E849" s="104"/>
      <c r="F849" s="104"/>
    </row>
    <row r="850" spans="3:6">
      <c r="C850" s="104"/>
      <c r="D850" s="104"/>
      <c r="E850" s="104"/>
      <c r="F850" s="104"/>
    </row>
    <row r="851" spans="3:6">
      <c r="C851" s="104"/>
      <c r="D851" s="104"/>
      <c r="E851" s="104"/>
      <c r="F851" s="104"/>
    </row>
    <row r="852" spans="3:6">
      <c r="C852" s="104"/>
      <c r="D852" s="104"/>
      <c r="E852" s="104"/>
      <c r="F852" s="104"/>
    </row>
    <row r="853" spans="3:6">
      <c r="C853" s="104"/>
      <c r="D853" s="104"/>
      <c r="E853" s="104"/>
      <c r="F853" s="104"/>
    </row>
    <row r="854" spans="3:6">
      <c r="C854" s="104"/>
      <c r="D854" s="104"/>
      <c r="E854" s="104"/>
      <c r="F854" s="104"/>
    </row>
    <row r="855" spans="3:6">
      <c r="C855" s="104"/>
      <c r="D855" s="104"/>
      <c r="E855" s="104"/>
      <c r="F855" s="104"/>
    </row>
    <row r="856" spans="3:6">
      <c r="C856" s="104"/>
      <c r="D856" s="104"/>
      <c r="E856" s="104"/>
      <c r="F856" s="104"/>
    </row>
    <row r="857" spans="3:6">
      <c r="C857" s="104"/>
      <c r="D857" s="104"/>
      <c r="E857" s="104"/>
      <c r="F857" s="104"/>
    </row>
    <row r="858" spans="3:6">
      <c r="C858" s="104"/>
      <c r="D858" s="104"/>
      <c r="E858" s="104"/>
      <c r="F858" s="104"/>
    </row>
    <row r="859" spans="3:6">
      <c r="C859" s="104"/>
      <c r="D859" s="104"/>
      <c r="E859" s="104"/>
      <c r="F859" s="104"/>
    </row>
    <row r="860" spans="3:6">
      <c r="C860" s="104"/>
      <c r="D860" s="104"/>
      <c r="E860" s="104"/>
      <c r="F860" s="104"/>
    </row>
    <row r="861" spans="3:6">
      <c r="C861" s="104"/>
      <c r="D861" s="104"/>
      <c r="E861" s="104"/>
      <c r="F861" s="104"/>
    </row>
    <row r="862" spans="3:6">
      <c r="C862" s="104"/>
      <c r="D862" s="104"/>
      <c r="E862" s="104"/>
      <c r="F862" s="104"/>
    </row>
    <row r="863" spans="3:6">
      <c r="C863" s="104"/>
      <c r="D863" s="104"/>
      <c r="E863" s="104"/>
      <c r="F863" s="104"/>
    </row>
    <row r="864" spans="3:6">
      <c r="C864" s="104"/>
      <c r="D864" s="104"/>
      <c r="E864" s="104"/>
      <c r="F864" s="104"/>
    </row>
    <row r="865" spans="3:6">
      <c r="C865" s="104"/>
      <c r="D865" s="104"/>
      <c r="E865" s="104"/>
      <c r="F865" s="104"/>
    </row>
    <row r="866" spans="3:6">
      <c r="C866" s="104"/>
      <c r="D866" s="104"/>
      <c r="E866" s="104"/>
      <c r="F866" s="104"/>
    </row>
    <row r="867" spans="3:6">
      <c r="C867" s="104"/>
      <c r="D867" s="104"/>
      <c r="E867" s="104"/>
      <c r="F867" s="104"/>
    </row>
    <row r="868" spans="3:6">
      <c r="C868" s="104"/>
      <c r="D868" s="104"/>
      <c r="E868" s="104"/>
      <c r="F868" s="104"/>
    </row>
    <row r="869" spans="3:6">
      <c r="C869" s="104"/>
      <c r="D869" s="104"/>
      <c r="E869" s="104"/>
      <c r="F869" s="104"/>
    </row>
    <row r="870" spans="3:6">
      <c r="C870" s="104"/>
      <c r="D870" s="104"/>
      <c r="E870" s="104"/>
      <c r="F870" s="104"/>
    </row>
    <row r="871" spans="3:6">
      <c r="C871" s="104"/>
      <c r="D871" s="104"/>
      <c r="E871" s="104"/>
      <c r="F871" s="104"/>
    </row>
    <row r="872" spans="3:6">
      <c r="C872" s="104"/>
      <c r="D872" s="104"/>
      <c r="E872" s="104"/>
      <c r="F872" s="104"/>
    </row>
    <row r="873" spans="3:6">
      <c r="C873" s="104"/>
      <c r="D873" s="104"/>
      <c r="E873" s="104"/>
      <c r="F873" s="104"/>
    </row>
    <row r="874" spans="3:6">
      <c r="C874" s="104"/>
      <c r="D874" s="104"/>
      <c r="E874" s="104"/>
      <c r="F874" s="104"/>
    </row>
    <row r="875" spans="3:6">
      <c r="C875" s="104"/>
      <c r="D875" s="104"/>
      <c r="E875" s="104"/>
      <c r="F875" s="104"/>
    </row>
    <row r="876" spans="3:6">
      <c r="C876" s="104"/>
      <c r="D876" s="104"/>
      <c r="E876" s="104"/>
      <c r="F876" s="104"/>
    </row>
    <row r="877" spans="3:6">
      <c r="C877" s="104"/>
      <c r="D877" s="104"/>
      <c r="E877" s="104"/>
      <c r="F877" s="104"/>
    </row>
    <row r="878" spans="3:6">
      <c r="C878" s="104"/>
      <c r="D878" s="104"/>
      <c r="E878" s="104"/>
      <c r="F878" s="104"/>
    </row>
    <row r="879" spans="3:6">
      <c r="C879" s="104"/>
      <c r="D879" s="104"/>
      <c r="E879" s="104"/>
      <c r="F879" s="104"/>
    </row>
    <row r="880" spans="3:6">
      <c r="C880" s="104"/>
      <c r="D880" s="104"/>
      <c r="E880" s="104"/>
      <c r="F880" s="104"/>
    </row>
    <row r="881" spans="3:6">
      <c r="C881" s="104"/>
      <c r="D881" s="104"/>
      <c r="E881" s="104"/>
      <c r="F881" s="104"/>
    </row>
    <row r="882" spans="3:6">
      <c r="C882" s="104"/>
      <c r="D882" s="104"/>
      <c r="E882" s="104"/>
      <c r="F882" s="104"/>
    </row>
    <row r="883" spans="3:6">
      <c r="C883" s="104"/>
      <c r="D883" s="104"/>
      <c r="E883" s="104"/>
      <c r="F883" s="104"/>
    </row>
    <row r="884" spans="3:6">
      <c r="C884" s="104"/>
      <c r="D884" s="104"/>
      <c r="E884" s="104"/>
      <c r="F884" s="104"/>
    </row>
    <row r="885" spans="3:6">
      <c r="C885" s="104"/>
      <c r="D885" s="104"/>
      <c r="E885" s="104"/>
      <c r="F885" s="104"/>
    </row>
    <row r="886" spans="3:6">
      <c r="C886" s="104"/>
      <c r="D886" s="104"/>
      <c r="E886" s="104"/>
      <c r="F886" s="104"/>
    </row>
    <row r="887" spans="3:6">
      <c r="C887" s="104"/>
      <c r="D887" s="104"/>
      <c r="E887" s="104"/>
      <c r="F887" s="104"/>
    </row>
    <row r="888" spans="3:6">
      <c r="C888" s="104"/>
      <c r="D888" s="104"/>
      <c r="E888" s="104"/>
      <c r="F888" s="104"/>
    </row>
    <row r="889" spans="3:6">
      <c r="C889" s="104"/>
      <c r="D889" s="104"/>
      <c r="E889" s="104"/>
      <c r="F889" s="104"/>
    </row>
    <row r="890" spans="3:6">
      <c r="C890" s="104"/>
      <c r="D890" s="104"/>
      <c r="E890" s="104"/>
      <c r="F890" s="104"/>
    </row>
    <row r="891" spans="3:6">
      <c r="C891" s="104"/>
      <c r="D891" s="104"/>
      <c r="E891" s="104"/>
      <c r="F891" s="104"/>
    </row>
    <row r="892" spans="3:6">
      <c r="C892" s="104"/>
      <c r="D892" s="104"/>
      <c r="E892" s="104"/>
      <c r="F892" s="104"/>
    </row>
    <row r="893" spans="3:6">
      <c r="C893" s="104"/>
      <c r="D893" s="104"/>
      <c r="E893" s="104"/>
      <c r="F893" s="104"/>
    </row>
    <row r="894" spans="3:6">
      <c r="C894" s="104"/>
      <c r="D894" s="104"/>
      <c r="E894" s="104"/>
      <c r="F894" s="104"/>
    </row>
    <row r="895" spans="3:6">
      <c r="C895" s="104"/>
      <c r="D895" s="104"/>
      <c r="E895" s="104"/>
      <c r="F895" s="104"/>
    </row>
    <row r="896" spans="3:6">
      <c r="C896" s="104"/>
      <c r="D896" s="104"/>
      <c r="E896" s="104"/>
      <c r="F896" s="104"/>
    </row>
    <row r="897" spans="3:6">
      <c r="C897" s="104"/>
      <c r="D897" s="104"/>
      <c r="E897" s="104"/>
      <c r="F897" s="104"/>
    </row>
    <row r="898" spans="3:6">
      <c r="C898" s="104"/>
      <c r="D898" s="104"/>
      <c r="E898" s="104"/>
      <c r="F898" s="104"/>
    </row>
    <row r="899" spans="3:6">
      <c r="C899" s="104"/>
      <c r="D899" s="104"/>
      <c r="E899" s="104"/>
      <c r="F899" s="104"/>
    </row>
    <row r="900" spans="3:6">
      <c r="C900" s="104"/>
      <c r="D900" s="104"/>
      <c r="E900" s="104"/>
      <c r="F900" s="104"/>
    </row>
    <row r="901" spans="3:6">
      <c r="C901" s="104"/>
      <c r="D901" s="104"/>
      <c r="E901" s="104"/>
      <c r="F901" s="104"/>
    </row>
    <row r="902" spans="3:6">
      <c r="C902" s="104"/>
      <c r="D902" s="104"/>
      <c r="E902" s="104"/>
      <c r="F902" s="104"/>
    </row>
    <row r="903" spans="3:6">
      <c r="C903" s="104"/>
      <c r="D903" s="104"/>
      <c r="E903" s="104"/>
      <c r="F903" s="104"/>
    </row>
    <row r="904" spans="3:6">
      <c r="C904" s="104"/>
      <c r="D904" s="104"/>
      <c r="E904" s="104"/>
      <c r="F904" s="104"/>
    </row>
    <row r="905" spans="3:6">
      <c r="C905" s="104"/>
      <c r="D905" s="104"/>
      <c r="E905" s="104"/>
      <c r="F905" s="104"/>
    </row>
    <row r="906" spans="3:6">
      <c r="C906" s="104"/>
      <c r="D906" s="104"/>
      <c r="E906" s="104"/>
      <c r="F906" s="104"/>
    </row>
    <row r="907" spans="3:6">
      <c r="C907" s="104"/>
      <c r="D907" s="104"/>
      <c r="E907" s="104"/>
      <c r="F907" s="104"/>
    </row>
    <row r="908" spans="3:6">
      <c r="C908" s="104"/>
      <c r="D908" s="104"/>
      <c r="E908" s="104"/>
      <c r="F908" s="104"/>
    </row>
    <row r="909" spans="3:6">
      <c r="C909" s="104"/>
      <c r="D909" s="104"/>
      <c r="E909" s="104"/>
      <c r="F909" s="104"/>
    </row>
    <row r="910" spans="3:6">
      <c r="C910" s="104"/>
      <c r="D910" s="104"/>
      <c r="E910" s="104"/>
      <c r="F910" s="104"/>
    </row>
    <row r="911" spans="3:6">
      <c r="C911" s="104"/>
      <c r="D911" s="104"/>
      <c r="E911" s="104"/>
      <c r="F911" s="104"/>
    </row>
    <row r="912" spans="3:6">
      <c r="C912" s="104"/>
      <c r="D912" s="104"/>
      <c r="E912" s="104"/>
      <c r="F912" s="104"/>
    </row>
    <row r="913" spans="3:6">
      <c r="C913" s="104"/>
      <c r="D913" s="104"/>
      <c r="E913" s="104"/>
      <c r="F913" s="104"/>
    </row>
    <row r="914" spans="3:6">
      <c r="C914" s="104"/>
      <c r="D914" s="104"/>
      <c r="E914" s="104"/>
      <c r="F914" s="104"/>
    </row>
    <row r="915" spans="3:6">
      <c r="C915" s="104"/>
      <c r="D915" s="104"/>
      <c r="E915" s="104"/>
      <c r="F915" s="104"/>
    </row>
    <row r="916" spans="3:6">
      <c r="C916" s="104"/>
      <c r="D916" s="104"/>
      <c r="E916" s="104"/>
      <c r="F916" s="104"/>
    </row>
    <row r="917" spans="3:6">
      <c r="C917" s="104"/>
      <c r="D917" s="104"/>
      <c r="E917" s="104"/>
      <c r="F917" s="104"/>
    </row>
    <row r="918" spans="3:6">
      <c r="C918" s="104"/>
      <c r="D918" s="104"/>
      <c r="E918" s="104"/>
      <c r="F918" s="104"/>
    </row>
    <row r="919" spans="3:6">
      <c r="C919" s="104"/>
      <c r="D919" s="104"/>
      <c r="E919" s="104"/>
      <c r="F919" s="104"/>
    </row>
    <row r="920" spans="3:6">
      <c r="C920" s="104"/>
      <c r="D920" s="104"/>
      <c r="E920" s="104"/>
      <c r="F920" s="104"/>
    </row>
    <row r="921" spans="3:6">
      <c r="C921" s="104"/>
      <c r="D921" s="104"/>
      <c r="E921" s="104"/>
      <c r="F921" s="104"/>
    </row>
    <row r="922" spans="3:6">
      <c r="C922" s="104"/>
      <c r="D922" s="104"/>
      <c r="E922" s="104"/>
      <c r="F922" s="104"/>
    </row>
    <row r="923" spans="3:6">
      <c r="C923" s="104"/>
      <c r="D923" s="104"/>
      <c r="E923" s="104"/>
      <c r="F923" s="104"/>
    </row>
    <row r="924" spans="3:6">
      <c r="C924" s="104"/>
      <c r="D924" s="104"/>
      <c r="E924" s="104"/>
      <c r="F924" s="104"/>
    </row>
    <row r="925" spans="3:6">
      <c r="C925" s="104"/>
      <c r="D925" s="104"/>
      <c r="E925" s="104"/>
      <c r="F925" s="104"/>
    </row>
    <row r="926" spans="3:6">
      <c r="C926" s="104"/>
      <c r="D926" s="104"/>
      <c r="E926" s="104"/>
      <c r="F926" s="104"/>
    </row>
    <row r="927" spans="3:6">
      <c r="C927" s="104"/>
      <c r="D927" s="104"/>
      <c r="E927" s="104"/>
      <c r="F927" s="104"/>
    </row>
    <row r="928" spans="3:6">
      <c r="C928" s="104"/>
      <c r="D928" s="104"/>
      <c r="E928" s="104"/>
      <c r="F928" s="104"/>
    </row>
    <row r="929" spans="3:6">
      <c r="C929" s="104"/>
      <c r="D929" s="104"/>
      <c r="E929" s="104"/>
      <c r="F929" s="104"/>
    </row>
    <row r="930" spans="3:6">
      <c r="C930" s="104"/>
      <c r="D930" s="104"/>
      <c r="E930" s="104"/>
      <c r="F930" s="104"/>
    </row>
    <row r="931" spans="3:6">
      <c r="C931" s="104"/>
      <c r="D931" s="104"/>
      <c r="E931" s="104"/>
      <c r="F931" s="104"/>
    </row>
    <row r="932" spans="3:6">
      <c r="C932" s="104"/>
      <c r="D932" s="104"/>
      <c r="E932" s="104"/>
      <c r="F932" s="104"/>
    </row>
    <row r="933" spans="3:6">
      <c r="C933" s="104"/>
      <c r="D933" s="104"/>
      <c r="E933" s="104"/>
      <c r="F933" s="104"/>
    </row>
    <row r="934" spans="3:6">
      <c r="C934" s="104"/>
      <c r="D934" s="104"/>
      <c r="E934" s="104"/>
      <c r="F934" s="104"/>
    </row>
    <row r="935" spans="3:6">
      <c r="C935" s="104"/>
      <c r="D935" s="104"/>
      <c r="E935" s="104"/>
      <c r="F935" s="104"/>
    </row>
    <row r="936" spans="3:6">
      <c r="C936" s="104"/>
      <c r="D936" s="104"/>
      <c r="E936" s="104"/>
      <c r="F936" s="104"/>
    </row>
    <row r="937" spans="3:6">
      <c r="C937" s="104"/>
      <c r="D937" s="104"/>
      <c r="E937" s="104"/>
      <c r="F937" s="104"/>
    </row>
    <row r="938" spans="3:6">
      <c r="C938" s="104"/>
      <c r="D938" s="104"/>
      <c r="E938" s="104"/>
      <c r="F938" s="104"/>
    </row>
    <row r="939" spans="3:6">
      <c r="C939" s="104"/>
      <c r="D939" s="104"/>
      <c r="E939" s="104"/>
      <c r="F939" s="104"/>
    </row>
    <row r="940" spans="3:6">
      <c r="C940" s="104"/>
      <c r="D940" s="104"/>
      <c r="E940" s="104"/>
      <c r="F940" s="104"/>
    </row>
    <row r="941" spans="3:6">
      <c r="C941" s="104"/>
      <c r="D941" s="104"/>
      <c r="E941" s="104"/>
      <c r="F941" s="104"/>
    </row>
    <row r="942" spans="3:6">
      <c r="C942" s="104"/>
      <c r="D942" s="104"/>
      <c r="E942" s="104"/>
      <c r="F942" s="104"/>
    </row>
    <row r="943" spans="3:6">
      <c r="C943" s="104"/>
      <c r="D943" s="104"/>
      <c r="E943" s="104"/>
      <c r="F943" s="104"/>
    </row>
    <row r="944" spans="3:6">
      <c r="C944" s="104"/>
      <c r="D944" s="104"/>
      <c r="E944" s="104"/>
      <c r="F944" s="104"/>
    </row>
    <row r="945" spans="3:6">
      <c r="C945" s="104"/>
      <c r="D945" s="104"/>
      <c r="E945" s="104"/>
      <c r="F945" s="104"/>
    </row>
    <row r="946" spans="3:6">
      <c r="C946" s="104"/>
      <c r="D946" s="104"/>
      <c r="E946" s="104"/>
      <c r="F946" s="104"/>
    </row>
    <row r="947" spans="3:6">
      <c r="C947" s="104"/>
      <c r="D947" s="104"/>
      <c r="E947" s="104"/>
      <c r="F947" s="104"/>
    </row>
    <row r="948" spans="3:6">
      <c r="C948" s="104"/>
      <c r="D948" s="104"/>
      <c r="E948" s="104"/>
      <c r="F948" s="104"/>
    </row>
    <row r="949" spans="3:6">
      <c r="C949" s="104"/>
      <c r="D949" s="104"/>
      <c r="E949" s="104"/>
      <c r="F949" s="104"/>
    </row>
    <row r="950" spans="3:6">
      <c r="C950" s="104"/>
      <c r="D950" s="104"/>
      <c r="E950" s="104"/>
      <c r="F950" s="104"/>
    </row>
    <row r="951" spans="3:6">
      <c r="C951" s="104"/>
      <c r="D951" s="104"/>
      <c r="E951" s="104"/>
      <c r="F951" s="104"/>
    </row>
    <row r="952" spans="3:6">
      <c r="C952" s="104"/>
      <c r="D952" s="104"/>
      <c r="E952" s="104"/>
      <c r="F952" s="104"/>
    </row>
    <row r="953" spans="3:6">
      <c r="C953" s="104"/>
      <c r="D953" s="104"/>
      <c r="E953" s="104"/>
      <c r="F953" s="104"/>
    </row>
    <row r="954" spans="3:6">
      <c r="C954" s="104"/>
      <c r="D954" s="104"/>
      <c r="E954" s="104"/>
      <c r="F954" s="104"/>
    </row>
    <row r="955" spans="3:6">
      <c r="C955" s="104"/>
      <c r="D955" s="104"/>
      <c r="E955" s="104"/>
      <c r="F955" s="104"/>
    </row>
    <row r="956" spans="3:6">
      <c r="C956" s="104"/>
      <c r="D956" s="104"/>
      <c r="E956" s="104"/>
      <c r="F956" s="104"/>
    </row>
    <row r="957" spans="3:6">
      <c r="C957" s="104"/>
      <c r="D957" s="104"/>
      <c r="E957" s="104"/>
      <c r="F957" s="104"/>
    </row>
    <row r="958" spans="3:6">
      <c r="C958" s="104"/>
      <c r="D958" s="104"/>
      <c r="E958" s="104"/>
      <c r="F958" s="104"/>
    </row>
    <row r="959" spans="3:6">
      <c r="C959" s="104"/>
      <c r="D959" s="104"/>
      <c r="E959" s="104"/>
      <c r="F959" s="104"/>
    </row>
    <row r="960" spans="3:6">
      <c r="C960" s="104"/>
      <c r="D960" s="104"/>
      <c r="E960" s="104"/>
      <c r="F960" s="104"/>
    </row>
    <row r="961" spans="3:6">
      <c r="C961" s="104"/>
      <c r="D961" s="104"/>
      <c r="E961" s="104"/>
      <c r="F961" s="104"/>
    </row>
    <row r="962" spans="3:6">
      <c r="C962" s="104"/>
      <c r="D962" s="104"/>
      <c r="E962" s="104"/>
      <c r="F962" s="104"/>
    </row>
    <row r="963" spans="3:6">
      <c r="C963" s="104"/>
      <c r="D963" s="104"/>
      <c r="E963" s="104"/>
      <c r="F963" s="104"/>
    </row>
    <row r="964" spans="3:6">
      <c r="C964" s="104"/>
      <c r="D964" s="104"/>
      <c r="E964" s="104"/>
      <c r="F964" s="104"/>
    </row>
    <row r="965" spans="3:6">
      <c r="C965" s="104"/>
      <c r="D965" s="104"/>
      <c r="E965" s="104"/>
      <c r="F965" s="104"/>
    </row>
    <row r="966" spans="3:6">
      <c r="C966" s="104"/>
      <c r="D966" s="104"/>
      <c r="E966" s="104"/>
      <c r="F966" s="104"/>
    </row>
    <row r="967" spans="3:6">
      <c r="C967" s="104"/>
      <c r="D967" s="104"/>
      <c r="E967" s="104"/>
      <c r="F967" s="104"/>
    </row>
    <row r="968" spans="3:6">
      <c r="C968" s="104"/>
      <c r="D968" s="104"/>
      <c r="E968" s="104"/>
      <c r="F968" s="104"/>
    </row>
    <row r="969" spans="3:6">
      <c r="C969" s="104"/>
      <c r="D969" s="104"/>
      <c r="E969" s="104"/>
      <c r="F969" s="104"/>
    </row>
    <row r="970" spans="3:6">
      <c r="C970" s="104"/>
      <c r="D970" s="104"/>
      <c r="E970" s="104"/>
      <c r="F970" s="104"/>
    </row>
    <row r="971" spans="3:6">
      <c r="C971" s="104"/>
      <c r="D971" s="104"/>
      <c r="E971" s="104"/>
      <c r="F971" s="104"/>
    </row>
    <row r="972" spans="3:6">
      <c r="C972" s="104"/>
      <c r="D972" s="104"/>
      <c r="E972" s="104"/>
      <c r="F972" s="104"/>
    </row>
    <row r="973" spans="3:6">
      <c r="C973" s="104"/>
      <c r="D973" s="104"/>
      <c r="E973" s="104"/>
      <c r="F973" s="104"/>
    </row>
    <row r="974" spans="3:6">
      <c r="C974" s="104"/>
      <c r="D974" s="104"/>
      <c r="E974" s="104"/>
      <c r="F974" s="104"/>
    </row>
    <row r="975" spans="3:6">
      <c r="C975" s="104"/>
      <c r="D975" s="104"/>
      <c r="E975" s="104"/>
      <c r="F975" s="104"/>
    </row>
    <row r="976" spans="3:6">
      <c r="C976" s="104"/>
      <c r="D976" s="104"/>
      <c r="E976" s="104"/>
      <c r="F976" s="104"/>
    </row>
    <row r="977" spans="3:6">
      <c r="C977" s="104"/>
      <c r="D977" s="104"/>
      <c r="E977" s="104"/>
      <c r="F977" s="104"/>
    </row>
    <row r="978" spans="3:6">
      <c r="C978" s="104"/>
      <c r="D978" s="104"/>
      <c r="E978" s="104"/>
      <c r="F978" s="104"/>
    </row>
    <row r="979" spans="3:6">
      <c r="C979" s="104"/>
      <c r="D979" s="104"/>
      <c r="E979" s="104"/>
      <c r="F979" s="104"/>
    </row>
    <row r="980" spans="3:6">
      <c r="C980" s="104"/>
      <c r="D980" s="104"/>
      <c r="E980" s="104"/>
      <c r="F980" s="104"/>
    </row>
    <row r="981" spans="3:6">
      <c r="C981" s="104"/>
      <c r="D981" s="104"/>
      <c r="E981" s="104"/>
      <c r="F981" s="104"/>
    </row>
    <row r="982" spans="3:6">
      <c r="C982" s="104"/>
      <c r="D982" s="104"/>
      <c r="E982" s="104"/>
      <c r="F982" s="104"/>
    </row>
    <row r="983" spans="3:6">
      <c r="C983" s="104"/>
      <c r="D983" s="104"/>
      <c r="E983" s="104"/>
      <c r="F983" s="104"/>
    </row>
    <row r="984" spans="3:6">
      <c r="C984" s="104"/>
      <c r="D984" s="104"/>
      <c r="E984" s="104"/>
      <c r="F984" s="104"/>
    </row>
    <row r="985" spans="3:6">
      <c r="C985" s="104"/>
      <c r="D985" s="104"/>
      <c r="E985" s="104"/>
      <c r="F985" s="104"/>
    </row>
    <row r="986" spans="3:6">
      <c r="C986" s="104"/>
      <c r="D986" s="104"/>
      <c r="E986" s="104"/>
      <c r="F986" s="104"/>
    </row>
    <row r="987" spans="3:6">
      <c r="C987" s="104"/>
      <c r="D987" s="104"/>
      <c r="E987" s="104"/>
      <c r="F987" s="104"/>
    </row>
    <row r="988" spans="3:6">
      <c r="C988" s="104"/>
      <c r="D988" s="104"/>
      <c r="E988" s="104"/>
      <c r="F988" s="104"/>
    </row>
    <row r="989" spans="3:6">
      <c r="C989" s="104"/>
      <c r="D989" s="104"/>
      <c r="E989" s="104"/>
      <c r="F989" s="104"/>
    </row>
    <row r="990" spans="3:6">
      <c r="C990" s="104"/>
      <c r="D990" s="104"/>
      <c r="E990" s="104"/>
      <c r="F990" s="104"/>
    </row>
    <row r="991" spans="3:6">
      <c r="C991" s="104"/>
      <c r="D991" s="104"/>
      <c r="E991" s="104"/>
      <c r="F991" s="104"/>
    </row>
    <row r="992" spans="3:6">
      <c r="C992" s="104"/>
      <c r="D992" s="104"/>
      <c r="E992" s="104"/>
      <c r="F992" s="104"/>
    </row>
    <row r="993" spans="3:6">
      <c r="C993" s="104"/>
      <c r="D993" s="104"/>
      <c r="E993" s="104"/>
      <c r="F993" s="104"/>
    </row>
    <row r="994" spans="3:6">
      <c r="C994" s="104"/>
      <c r="D994" s="104"/>
      <c r="E994" s="104"/>
      <c r="F994" s="104"/>
    </row>
    <row r="995" spans="3:6">
      <c r="C995" s="104"/>
      <c r="D995" s="104"/>
      <c r="E995" s="104"/>
      <c r="F995" s="104"/>
    </row>
    <row r="996" spans="3:6">
      <c r="C996" s="104"/>
      <c r="D996" s="104"/>
      <c r="E996" s="104"/>
      <c r="F996" s="104"/>
    </row>
    <row r="997" spans="3:6">
      <c r="C997" s="104"/>
      <c r="D997" s="104"/>
      <c r="E997" s="104"/>
      <c r="F997" s="104"/>
    </row>
    <row r="998" spans="3:6">
      <c r="C998" s="104"/>
      <c r="D998" s="104"/>
      <c r="E998" s="104"/>
      <c r="F998" s="104"/>
    </row>
    <row r="999" spans="3:6">
      <c r="C999" s="104"/>
      <c r="D999" s="104"/>
      <c r="E999" s="104"/>
      <c r="F999" s="104"/>
    </row>
    <row r="1000" spans="3:6">
      <c r="C1000" s="104"/>
      <c r="D1000" s="104"/>
      <c r="E1000" s="104"/>
      <c r="F1000" s="104"/>
    </row>
    <row r="1001" spans="3:6">
      <c r="C1001" s="104"/>
      <c r="D1001" s="104"/>
      <c r="E1001" s="104"/>
      <c r="F1001" s="104"/>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X1001"/>
  <sheetViews>
    <sheetView workbookViewId="0">
      <selection activeCell="A62" sqref="A62"/>
    </sheetView>
  </sheetViews>
  <sheetFormatPr baseColWidth="10" defaultColWidth="14.5" defaultRowHeight="15.75" customHeight="1"/>
  <cols>
    <col min="2" max="2" width="18.5" customWidth="1"/>
    <col min="3" max="3" width="19.83203125" customWidth="1"/>
    <col min="4" max="4" width="22.83203125" customWidth="1"/>
    <col min="5" max="5" width="52.83203125" customWidth="1"/>
    <col min="6" max="6" width="900.5" customWidth="1"/>
  </cols>
  <sheetData>
    <row r="1" spans="1:24" ht="15.75" customHeight="1">
      <c r="A1" s="106" t="s">
        <v>27</v>
      </c>
      <c r="B1" s="107" t="s">
        <v>1773</v>
      </c>
      <c r="C1" s="108" t="s">
        <v>1774</v>
      </c>
      <c r="D1" s="109" t="s">
        <v>1775</v>
      </c>
      <c r="E1" s="110" t="s">
        <v>22</v>
      </c>
      <c r="F1" s="111" t="s">
        <v>1777</v>
      </c>
      <c r="G1" s="112"/>
      <c r="H1" s="112"/>
      <c r="I1" s="112"/>
      <c r="J1" s="112"/>
      <c r="K1" s="112"/>
      <c r="L1" s="112"/>
      <c r="M1" s="112"/>
      <c r="N1" s="113"/>
      <c r="O1" s="113"/>
      <c r="P1" s="113"/>
      <c r="Q1" s="113"/>
      <c r="R1" s="113"/>
      <c r="S1" s="113"/>
      <c r="T1" s="113"/>
      <c r="U1" s="113"/>
      <c r="V1" s="113"/>
      <c r="W1" s="113"/>
      <c r="X1" s="113"/>
    </row>
    <row r="2" spans="1:24" ht="15.75" customHeight="1">
      <c r="A2" s="114"/>
      <c r="B2" s="115">
        <v>17667</v>
      </c>
      <c r="C2" s="116"/>
      <c r="D2" s="117" t="s">
        <v>135</v>
      </c>
      <c r="E2" s="118"/>
      <c r="F2" s="119" t="s">
        <v>229</v>
      </c>
      <c r="G2" s="120"/>
      <c r="H2" s="120"/>
      <c r="I2" s="120"/>
      <c r="J2" s="120"/>
      <c r="K2" s="120"/>
      <c r="L2" s="120"/>
      <c r="M2" s="120"/>
      <c r="N2" s="121"/>
      <c r="O2" s="121"/>
      <c r="P2" s="121"/>
      <c r="Q2" s="121"/>
      <c r="R2" s="121"/>
      <c r="S2" s="121"/>
      <c r="T2" s="121"/>
      <c r="U2" s="121"/>
      <c r="V2" s="121"/>
      <c r="W2" s="121"/>
      <c r="X2" s="121"/>
    </row>
    <row r="3" spans="1:24" ht="15.75" customHeight="1">
      <c r="A3" s="114"/>
      <c r="B3" s="122">
        <v>17668</v>
      </c>
      <c r="C3" s="116"/>
      <c r="D3" s="117" t="s">
        <v>32</v>
      </c>
      <c r="E3" s="118"/>
      <c r="F3" s="119" t="s">
        <v>341</v>
      </c>
      <c r="G3" s="120"/>
      <c r="H3" s="120"/>
      <c r="I3" s="120"/>
      <c r="J3" s="120"/>
      <c r="K3" s="120"/>
      <c r="L3" s="120"/>
      <c r="M3" s="120"/>
      <c r="N3" s="121"/>
      <c r="O3" s="121"/>
      <c r="P3" s="121"/>
      <c r="Q3" s="121"/>
      <c r="R3" s="121"/>
      <c r="S3" s="121"/>
      <c r="T3" s="121"/>
      <c r="U3" s="121"/>
      <c r="V3" s="121"/>
      <c r="W3" s="121"/>
      <c r="X3" s="121"/>
    </row>
    <row r="4" spans="1:24" ht="15.75" customHeight="1">
      <c r="A4" s="114"/>
      <c r="B4" s="122">
        <v>17677</v>
      </c>
      <c r="C4" s="116"/>
      <c r="D4" s="117" t="s">
        <v>32</v>
      </c>
      <c r="E4" s="118"/>
      <c r="F4" s="119" t="s">
        <v>404</v>
      </c>
      <c r="G4" s="120"/>
      <c r="H4" s="120"/>
      <c r="I4" s="120"/>
      <c r="J4" s="120"/>
      <c r="K4" s="120"/>
      <c r="L4" s="120"/>
      <c r="M4" s="120"/>
      <c r="N4" s="121"/>
      <c r="O4" s="121"/>
      <c r="P4" s="121"/>
      <c r="Q4" s="121"/>
      <c r="R4" s="121"/>
      <c r="S4" s="121"/>
      <c r="T4" s="121"/>
      <c r="U4" s="121"/>
      <c r="V4" s="121"/>
      <c r="W4" s="121"/>
      <c r="X4" s="121"/>
    </row>
    <row r="5" spans="1:24" ht="15.75" customHeight="1">
      <c r="A5" s="114"/>
      <c r="B5" s="122">
        <v>17677</v>
      </c>
      <c r="C5" s="116"/>
      <c r="D5" s="123" t="s">
        <v>1781</v>
      </c>
      <c r="E5" s="118"/>
      <c r="F5" s="119" t="s">
        <v>1783</v>
      </c>
      <c r="G5" s="120"/>
      <c r="H5" s="120"/>
      <c r="I5" s="120"/>
      <c r="J5" s="120"/>
      <c r="K5" s="120"/>
      <c r="L5" s="120"/>
      <c r="M5" s="120"/>
      <c r="N5" s="121"/>
      <c r="O5" s="121"/>
      <c r="P5" s="121"/>
      <c r="Q5" s="121"/>
      <c r="R5" s="121"/>
      <c r="S5" s="121"/>
      <c r="T5" s="121"/>
      <c r="U5" s="121"/>
      <c r="V5" s="121"/>
      <c r="W5" s="121"/>
      <c r="X5" s="121"/>
    </row>
    <row r="6" spans="1:24" ht="15.75" customHeight="1">
      <c r="A6" s="114"/>
      <c r="B6" s="122">
        <v>17692</v>
      </c>
      <c r="C6" s="116"/>
      <c r="D6" s="117" t="s">
        <v>512</v>
      </c>
      <c r="E6" s="118"/>
      <c r="F6" s="119" t="s">
        <v>509</v>
      </c>
      <c r="G6" s="120"/>
      <c r="H6" s="120"/>
      <c r="I6" s="120"/>
      <c r="J6" s="120"/>
      <c r="K6" s="120"/>
      <c r="L6" s="120"/>
      <c r="M6" s="120"/>
      <c r="N6" s="121"/>
      <c r="O6" s="121"/>
      <c r="P6" s="121"/>
      <c r="Q6" s="121"/>
      <c r="R6" s="121"/>
      <c r="S6" s="121"/>
      <c r="T6" s="121"/>
      <c r="U6" s="121"/>
      <c r="V6" s="121"/>
      <c r="W6" s="121"/>
      <c r="X6" s="121"/>
    </row>
    <row r="7" spans="1:24" ht="15.75" customHeight="1">
      <c r="A7" s="114"/>
      <c r="B7" s="122">
        <v>17712</v>
      </c>
      <c r="C7" s="116"/>
      <c r="D7" s="117" t="s">
        <v>519</v>
      </c>
      <c r="E7" s="118"/>
      <c r="F7" s="119" t="s">
        <v>518</v>
      </c>
      <c r="G7" s="120"/>
      <c r="H7" s="120"/>
      <c r="I7" s="120"/>
      <c r="J7" s="120"/>
      <c r="K7" s="120"/>
      <c r="L7" s="120"/>
      <c r="M7" s="120"/>
      <c r="N7" s="121"/>
      <c r="O7" s="121"/>
      <c r="P7" s="121"/>
      <c r="Q7" s="121"/>
      <c r="R7" s="121"/>
      <c r="S7" s="121"/>
      <c r="T7" s="121"/>
      <c r="U7" s="121"/>
      <c r="V7" s="121"/>
      <c r="W7" s="121"/>
      <c r="X7" s="121"/>
    </row>
    <row r="8" spans="1:24" ht="15.75" customHeight="1">
      <c r="A8" s="114"/>
      <c r="B8" s="122">
        <v>17716</v>
      </c>
      <c r="C8" s="116"/>
      <c r="D8" s="117" t="s">
        <v>1784</v>
      </c>
      <c r="E8" s="118"/>
      <c r="F8" s="119" t="s">
        <v>525</v>
      </c>
      <c r="G8" s="120"/>
      <c r="H8" s="120"/>
      <c r="I8" s="120"/>
      <c r="J8" s="120"/>
      <c r="K8" s="120"/>
      <c r="L8" s="120"/>
      <c r="M8" s="120"/>
      <c r="N8" s="121"/>
      <c r="O8" s="121"/>
      <c r="P8" s="121"/>
      <c r="Q8" s="121"/>
      <c r="R8" s="121"/>
      <c r="S8" s="121"/>
      <c r="T8" s="121"/>
      <c r="U8" s="121"/>
      <c r="V8" s="121"/>
      <c r="W8" s="121"/>
      <c r="X8" s="121"/>
    </row>
    <row r="9" spans="1:24" ht="15.75" customHeight="1">
      <c r="A9" s="114"/>
      <c r="B9" s="122">
        <v>17726</v>
      </c>
      <c r="C9" s="116"/>
      <c r="D9" s="117" t="s">
        <v>539</v>
      </c>
      <c r="E9" s="118"/>
      <c r="F9" s="119" t="s">
        <v>538</v>
      </c>
      <c r="G9" s="120"/>
      <c r="H9" s="120"/>
      <c r="I9" s="120"/>
      <c r="J9" s="120"/>
      <c r="K9" s="120"/>
      <c r="L9" s="120"/>
      <c r="M9" s="120"/>
      <c r="N9" s="121"/>
      <c r="O9" s="121"/>
      <c r="P9" s="121"/>
      <c r="Q9" s="121"/>
      <c r="R9" s="121"/>
      <c r="S9" s="121"/>
      <c r="T9" s="121"/>
      <c r="U9" s="121"/>
      <c r="V9" s="121"/>
      <c r="W9" s="121"/>
      <c r="X9" s="121"/>
    </row>
    <row r="10" spans="1:24" ht="15.75" customHeight="1">
      <c r="A10" s="114"/>
      <c r="B10" s="122">
        <v>17755</v>
      </c>
      <c r="C10" s="116"/>
      <c r="D10" s="117" t="s">
        <v>531</v>
      </c>
      <c r="E10" s="118"/>
      <c r="F10" s="119" t="s">
        <v>529</v>
      </c>
      <c r="G10" s="120"/>
      <c r="H10" s="120"/>
      <c r="I10" s="120"/>
      <c r="J10" s="120"/>
      <c r="K10" s="120"/>
      <c r="L10" s="120"/>
      <c r="M10" s="120"/>
      <c r="N10" s="121"/>
      <c r="O10" s="121"/>
      <c r="P10" s="121"/>
      <c r="Q10" s="121"/>
      <c r="R10" s="121"/>
      <c r="S10" s="121"/>
      <c r="T10" s="121"/>
      <c r="U10" s="121"/>
      <c r="V10" s="121"/>
      <c r="W10" s="121"/>
      <c r="X10" s="121"/>
    </row>
    <row r="11" spans="1:24" ht="15.75" customHeight="1">
      <c r="A11" s="114"/>
      <c r="B11" s="122">
        <v>17765</v>
      </c>
      <c r="C11" s="116"/>
      <c r="D11" s="117" t="s">
        <v>536</v>
      </c>
      <c r="E11" s="118"/>
      <c r="F11" s="119" t="s">
        <v>535</v>
      </c>
      <c r="G11" s="120"/>
      <c r="H11" s="120"/>
      <c r="I11" s="120"/>
      <c r="J11" s="120"/>
      <c r="K11" s="120"/>
      <c r="L11" s="120"/>
      <c r="M11" s="120"/>
      <c r="N11" s="121"/>
      <c r="O11" s="121"/>
      <c r="P11" s="121"/>
      <c r="Q11" s="121"/>
      <c r="R11" s="121"/>
      <c r="S11" s="121"/>
      <c r="T11" s="121"/>
      <c r="U11" s="121"/>
      <c r="V11" s="121"/>
      <c r="W11" s="121"/>
      <c r="X11" s="121"/>
    </row>
    <row r="12" spans="1:24" ht="15.75" customHeight="1">
      <c r="A12" s="114"/>
      <c r="B12" s="122">
        <v>17782</v>
      </c>
      <c r="C12" s="116"/>
      <c r="D12" s="117" t="s">
        <v>539</v>
      </c>
      <c r="E12" s="118"/>
      <c r="F12" s="119" t="s">
        <v>544</v>
      </c>
      <c r="G12" s="120"/>
      <c r="H12" s="120"/>
      <c r="I12" s="120"/>
      <c r="J12" s="120"/>
      <c r="K12" s="120"/>
      <c r="L12" s="120"/>
      <c r="M12" s="120"/>
      <c r="N12" s="121"/>
      <c r="O12" s="121"/>
      <c r="P12" s="121"/>
      <c r="Q12" s="121"/>
      <c r="R12" s="121"/>
      <c r="S12" s="121"/>
      <c r="T12" s="121"/>
      <c r="U12" s="121"/>
      <c r="V12" s="121"/>
      <c r="W12" s="121"/>
      <c r="X12" s="121"/>
    </row>
    <row r="13" spans="1:24" ht="15.75" customHeight="1">
      <c r="A13" s="114"/>
      <c r="B13" s="122">
        <v>17789</v>
      </c>
      <c r="C13" s="116"/>
      <c r="D13" s="125" t="s">
        <v>547</v>
      </c>
      <c r="E13" s="118"/>
      <c r="F13" s="119" t="s">
        <v>546</v>
      </c>
      <c r="G13" s="120"/>
      <c r="H13" s="120"/>
      <c r="I13" s="120"/>
      <c r="J13" s="120"/>
      <c r="K13" s="120"/>
      <c r="L13" s="120"/>
      <c r="M13" s="120"/>
      <c r="N13" s="121"/>
      <c r="O13" s="121"/>
      <c r="P13" s="121"/>
      <c r="Q13" s="121"/>
      <c r="R13" s="121"/>
      <c r="S13" s="121"/>
      <c r="T13" s="121"/>
      <c r="U13" s="121"/>
      <c r="V13" s="121"/>
      <c r="W13" s="121"/>
      <c r="X13" s="121"/>
    </row>
    <row r="14" spans="1:24" ht="15.75" customHeight="1">
      <c r="A14" s="114"/>
      <c r="B14" s="122">
        <v>17958</v>
      </c>
      <c r="C14" s="116"/>
      <c r="D14" s="117" t="s">
        <v>531</v>
      </c>
      <c r="E14" s="118"/>
      <c r="F14" s="119" t="s">
        <v>548</v>
      </c>
      <c r="G14" s="120"/>
      <c r="H14" s="120"/>
      <c r="I14" s="120"/>
      <c r="J14" s="120"/>
      <c r="K14" s="120"/>
      <c r="L14" s="120"/>
      <c r="M14" s="120"/>
      <c r="N14" s="121"/>
      <c r="O14" s="121"/>
      <c r="P14" s="121"/>
      <c r="Q14" s="121"/>
      <c r="R14" s="121"/>
      <c r="S14" s="121"/>
      <c r="T14" s="121"/>
      <c r="U14" s="121"/>
      <c r="V14" s="121"/>
      <c r="W14" s="121"/>
      <c r="X14" s="121"/>
    </row>
    <row r="15" spans="1:24" ht="15.75" customHeight="1">
      <c r="A15" s="114"/>
      <c r="B15" s="122">
        <v>18006</v>
      </c>
      <c r="C15" s="116"/>
      <c r="D15" s="126" t="s">
        <v>447</v>
      </c>
      <c r="E15" s="118"/>
      <c r="F15" s="119" t="s">
        <v>549</v>
      </c>
      <c r="G15" s="120"/>
      <c r="H15" s="120"/>
      <c r="I15" s="120"/>
      <c r="J15" s="120"/>
      <c r="K15" s="120"/>
      <c r="L15" s="120"/>
      <c r="M15" s="120"/>
      <c r="N15" s="121"/>
      <c r="O15" s="121"/>
      <c r="P15" s="121"/>
      <c r="Q15" s="121"/>
      <c r="R15" s="121"/>
      <c r="S15" s="121"/>
      <c r="T15" s="121"/>
      <c r="U15" s="121"/>
      <c r="V15" s="121"/>
      <c r="W15" s="121"/>
      <c r="X15" s="121"/>
    </row>
    <row r="16" spans="1:24" ht="15.75" customHeight="1">
      <c r="A16" s="114"/>
      <c r="B16" s="122">
        <v>18007</v>
      </c>
      <c r="C16" s="116"/>
      <c r="D16" s="125" t="s">
        <v>447</v>
      </c>
      <c r="E16" s="118"/>
      <c r="F16" s="119" t="s">
        <v>554</v>
      </c>
      <c r="G16" s="120"/>
      <c r="H16" s="120"/>
      <c r="I16" s="120"/>
      <c r="J16" s="120"/>
      <c r="K16" s="120"/>
      <c r="L16" s="120"/>
      <c r="M16" s="120"/>
      <c r="N16" s="121"/>
      <c r="O16" s="121"/>
      <c r="P16" s="121"/>
      <c r="Q16" s="121"/>
      <c r="R16" s="121"/>
      <c r="S16" s="121"/>
      <c r="T16" s="121"/>
      <c r="U16" s="121"/>
      <c r="V16" s="121"/>
      <c r="W16" s="121"/>
      <c r="X16" s="121"/>
    </row>
    <row r="17" spans="1:24" ht="15.75" customHeight="1">
      <c r="A17" s="114"/>
      <c r="B17" s="122">
        <v>18048</v>
      </c>
      <c r="C17" s="116"/>
      <c r="D17" s="117" t="s">
        <v>32</v>
      </c>
      <c r="E17" s="118"/>
      <c r="F17" s="119" t="s">
        <v>556</v>
      </c>
      <c r="G17" s="120"/>
      <c r="H17" s="120"/>
      <c r="I17" s="120"/>
      <c r="J17" s="120"/>
      <c r="K17" s="120"/>
      <c r="L17" s="120"/>
      <c r="M17" s="120"/>
      <c r="N17" s="121"/>
      <c r="O17" s="121"/>
      <c r="P17" s="121"/>
      <c r="Q17" s="121"/>
      <c r="R17" s="121"/>
      <c r="S17" s="121"/>
      <c r="T17" s="121"/>
      <c r="U17" s="121"/>
      <c r="V17" s="121"/>
      <c r="W17" s="121"/>
      <c r="X17" s="121"/>
    </row>
    <row r="18" spans="1:24" ht="15.75" customHeight="1">
      <c r="A18" s="114"/>
      <c r="B18" s="122">
        <v>18232</v>
      </c>
      <c r="C18" s="116"/>
      <c r="D18" s="117" t="s">
        <v>558</v>
      </c>
      <c r="E18" s="118"/>
      <c r="F18" s="119" t="s">
        <v>557</v>
      </c>
      <c r="G18" s="120"/>
      <c r="H18" s="120"/>
      <c r="I18" s="120"/>
      <c r="J18" s="120"/>
      <c r="K18" s="120"/>
      <c r="L18" s="120"/>
      <c r="M18" s="120"/>
      <c r="N18" s="121"/>
      <c r="O18" s="121"/>
      <c r="P18" s="121"/>
      <c r="Q18" s="121"/>
      <c r="R18" s="121"/>
      <c r="S18" s="121"/>
      <c r="T18" s="121"/>
      <c r="U18" s="121"/>
      <c r="V18" s="121"/>
      <c r="W18" s="121"/>
      <c r="X18" s="121"/>
    </row>
    <row r="19" spans="1:24" ht="15.75" customHeight="1">
      <c r="A19" s="114"/>
      <c r="B19" s="122">
        <v>18232</v>
      </c>
      <c r="C19" s="116"/>
      <c r="D19" s="126" t="s">
        <v>447</v>
      </c>
      <c r="E19" s="118"/>
      <c r="F19" s="119" t="s">
        <v>560</v>
      </c>
      <c r="G19" s="120"/>
      <c r="H19" s="120"/>
      <c r="I19" s="120"/>
      <c r="J19" s="120"/>
      <c r="K19" s="120"/>
      <c r="L19" s="120"/>
      <c r="M19" s="120"/>
      <c r="N19" s="121"/>
      <c r="O19" s="121"/>
      <c r="P19" s="121"/>
      <c r="Q19" s="121"/>
      <c r="R19" s="121"/>
      <c r="S19" s="121"/>
      <c r="T19" s="121"/>
      <c r="U19" s="121"/>
      <c r="V19" s="121"/>
      <c r="W19" s="121"/>
      <c r="X19" s="121"/>
    </row>
    <row r="20" spans="1:24" ht="15.75" customHeight="1">
      <c r="A20" s="114"/>
      <c r="B20" s="122">
        <v>18339</v>
      </c>
      <c r="C20" s="116"/>
      <c r="D20" s="117" t="s">
        <v>563</v>
      </c>
      <c r="E20" s="118"/>
      <c r="F20" s="119" t="s">
        <v>561</v>
      </c>
      <c r="G20" s="120"/>
      <c r="H20" s="120"/>
      <c r="I20" s="120"/>
      <c r="J20" s="120"/>
      <c r="K20" s="120"/>
      <c r="L20" s="120"/>
      <c r="M20" s="120"/>
      <c r="N20" s="121"/>
      <c r="O20" s="121"/>
      <c r="P20" s="121"/>
      <c r="Q20" s="121"/>
      <c r="R20" s="121"/>
      <c r="S20" s="121"/>
      <c r="T20" s="121"/>
      <c r="U20" s="121"/>
      <c r="V20" s="121"/>
      <c r="W20" s="121"/>
      <c r="X20" s="121"/>
    </row>
    <row r="21" spans="1:24" ht="15.75" customHeight="1">
      <c r="A21" s="114"/>
      <c r="B21" s="122">
        <v>18354</v>
      </c>
      <c r="C21" s="116"/>
      <c r="D21" s="126" t="s">
        <v>447</v>
      </c>
      <c r="E21" s="118"/>
      <c r="F21" s="119" t="s">
        <v>564</v>
      </c>
      <c r="G21" s="120"/>
      <c r="H21" s="120"/>
      <c r="I21" s="120"/>
      <c r="J21" s="120"/>
      <c r="K21" s="120"/>
      <c r="L21" s="120"/>
      <c r="M21" s="120"/>
      <c r="N21" s="121"/>
      <c r="O21" s="121"/>
      <c r="P21" s="121"/>
      <c r="Q21" s="121"/>
      <c r="R21" s="121"/>
      <c r="S21" s="121"/>
      <c r="T21" s="121"/>
      <c r="U21" s="121"/>
      <c r="V21" s="121"/>
      <c r="W21" s="121"/>
      <c r="X21" s="121"/>
    </row>
    <row r="22" spans="1:24" ht="15.75" customHeight="1">
      <c r="A22" s="114"/>
      <c r="B22" s="122">
        <v>18439</v>
      </c>
      <c r="C22" s="116"/>
      <c r="D22" s="117" t="s">
        <v>726</v>
      </c>
      <c r="E22" s="118"/>
      <c r="F22" s="119" t="s">
        <v>565</v>
      </c>
      <c r="G22" s="120"/>
      <c r="H22" s="120"/>
      <c r="I22" s="120"/>
      <c r="J22" s="120"/>
      <c r="K22" s="120"/>
      <c r="L22" s="120"/>
      <c r="M22" s="120"/>
      <c r="N22" s="121"/>
      <c r="O22" s="121"/>
      <c r="P22" s="121"/>
      <c r="Q22" s="121"/>
      <c r="R22" s="121"/>
      <c r="S22" s="121"/>
      <c r="T22" s="121"/>
      <c r="U22" s="121"/>
      <c r="V22" s="121"/>
      <c r="W22" s="121"/>
      <c r="X22" s="121"/>
    </row>
    <row r="23" spans="1:24" ht="15.75" customHeight="1">
      <c r="A23" s="114"/>
      <c r="B23" s="122">
        <v>18450</v>
      </c>
      <c r="C23" s="116"/>
      <c r="D23" s="125" t="s">
        <v>569</v>
      </c>
      <c r="E23" s="118"/>
      <c r="F23" s="119" t="s">
        <v>567</v>
      </c>
      <c r="G23" s="120"/>
      <c r="H23" s="120"/>
      <c r="I23" s="120"/>
      <c r="J23" s="120"/>
      <c r="K23" s="120"/>
      <c r="L23" s="120"/>
      <c r="M23" s="120"/>
      <c r="N23" s="121"/>
      <c r="O23" s="121"/>
      <c r="P23" s="121"/>
      <c r="Q23" s="121"/>
      <c r="R23" s="121"/>
      <c r="S23" s="121"/>
      <c r="T23" s="121"/>
      <c r="U23" s="121"/>
      <c r="V23" s="121"/>
      <c r="W23" s="121"/>
      <c r="X23" s="121"/>
    </row>
    <row r="24" spans="1:24" ht="15.75" customHeight="1">
      <c r="A24" s="114"/>
      <c r="B24" s="122">
        <v>18491</v>
      </c>
      <c r="C24" s="116"/>
      <c r="D24" s="117" t="s">
        <v>1794</v>
      </c>
      <c r="E24" s="118"/>
      <c r="F24" s="119" t="s">
        <v>571</v>
      </c>
      <c r="G24" s="120"/>
      <c r="H24" s="120"/>
      <c r="I24" s="120"/>
      <c r="J24" s="120"/>
      <c r="K24" s="120"/>
      <c r="L24" s="120"/>
      <c r="M24" s="120"/>
      <c r="N24" s="121"/>
      <c r="O24" s="121"/>
      <c r="P24" s="121"/>
      <c r="Q24" s="121"/>
      <c r="R24" s="121"/>
      <c r="S24" s="121"/>
      <c r="T24" s="121"/>
      <c r="U24" s="121"/>
      <c r="V24" s="121"/>
      <c r="W24" s="121"/>
      <c r="X24" s="121"/>
    </row>
    <row r="25" spans="1:24" ht="15.75" customHeight="1">
      <c r="A25" s="114"/>
      <c r="B25" s="122">
        <v>18495</v>
      </c>
      <c r="C25" s="116"/>
      <c r="D25" s="117" t="s">
        <v>575</v>
      </c>
      <c r="E25" s="118"/>
      <c r="F25" s="119" t="s">
        <v>573</v>
      </c>
      <c r="G25" s="120"/>
      <c r="H25" s="120"/>
      <c r="I25" s="120"/>
      <c r="J25" s="120"/>
      <c r="K25" s="120"/>
      <c r="L25" s="120"/>
      <c r="M25" s="120"/>
      <c r="N25" s="121"/>
      <c r="O25" s="121"/>
      <c r="P25" s="121"/>
      <c r="Q25" s="121"/>
      <c r="R25" s="121"/>
      <c r="S25" s="121"/>
      <c r="T25" s="121"/>
      <c r="U25" s="121"/>
      <c r="V25" s="121"/>
      <c r="W25" s="121"/>
      <c r="X25" s="121"/>
    </row>
    <row r="26" spans="1:24" ht="15.75" customHeight="1">
      <c r="A26" s="114"/>
      <c r="B26" s="122">
        <v>18502</v>
      </c>
      <c r="C26" s="116"/>
      <c r="D26" s="117" t="s">
        <v>1798</v>
      </c>
      <c r="E26" s="118"/>
      <c r="F26" s="119" t="s">
        <v>577</v>
      </c>
      <c r="G26" s="120"/>
      <c r="H26" s="120"/>
      <c r="I26" s="120"/>
      <c r="J26" s="120"/>
      <c r="K26" s="120"/>
      <c r="L26" s="120"/>
      <c r="M26" s="120"/>
      <c r="N26" s="121"/>
      <c r="O26" s="121"/>
      <c r="P26" s="121"/>
      <c r="Q26" s="121"/>
      <c r="R26" s="121"/>
      <c r="S26" s="121"/>
      <c r="T26" s="121"/>
      <c r="U26" s="121"/>
      <c r="V26" s="121"/>
      <c r="W26" s="121"/>
      <c r="X26" s="121"/>
    </row>
    <row r="27" spans="1:24" ht="15.75" customHeight="1">
      <c r="A27" s="114"/>
      <c r="B27" s="122">
        <v>18597</v>
      </c>
      <c r="C27" s="116"/>
      <c r="D27" s="117" t="s">
        <v>674</v>
      </c>
      <c r="E27" s="118"/>
      <c r="F27" s="119" t="s">
        <v>579</v>
      </c>
      <c r="G27" s="120"/>
      <c r="H27" s="120"/>
      <c r="I27" s="120"/>
      <c r="J27" s="120"/>
      <c r="K27" s="120"/>
      <c r="L27" s="120"/>
      <c r="M27" s="120"/>
      <c r="N27" s="121"/>
      <c r="O27" s="121"/>
      <c r="P27" s="121"/>
      <c r="Q27" s="121"/>
      <c r="R27" s="121"/>
      <c r="S27" s="121"/>
      <c r="T27" s="121"/>
      <c r="U27" s="121"/>
      <c r="V27" s="121"/>
      <c r="W27" s="121"/>
      <c r="X27" s="121"/>
    </row>
    <row r="28" spans="1:24" ht="15.75" customHeight="1">
      <c r="A28" s="114"/>
      <c r="B28" s="122">
        <v>18598</v>
      </c>
      <c r="C28" s="116"/>
      <c r="D28" s="117" t="s">
        <v>32</v>
      </c>
      <c r="E28" s="118"/>
      <c r="F28" s="119" t="s">
        <v>583</v>
      </c>
      <c r="G28" s="120"/>
      <c r="H28" s="120"/>
      <c r="I28" s="120"/>
      <c r="J28" s="120"/>
      <c r="K28" s="120"/>
      <c r="L28" s="120"/>
      <c r="M28" s="120"/>
      <c r="N28" s="121"/>
      <c r="O28" s="121"/>
      <c r="P28" s="121"/>
      <c r="Q28" s="121"/>
      <c r="R28" s="121"/>
      <c r="S28" s="121"/>
      <c r="T28" s="121"/>
      <c r="U28" s="121"/>
      <c r="V28" s="121"/>
      <c r="W28" s="121"/>
      <c r="X28" s="121"/>
    </row>
    <row r="29" spans="1:24" ht="15.75" customHeight="1">
      <c r="A29" s="114"/>
      <c r="B29" s="122">
        <v>18610</v>
      </c>
      <c r="C29" s="116"/>
      <c r="D29" s="117" t="s">
        <v>32</v>
      </c>
      <c r="E29" s="118"/>
      <c r="F29" s="119" t="s">
        <v>585</v>
      </c>
      <c r="G29" s="120"/>
      <c r="H29" s="120"/>
      <c r="I29" s="120"/>
      <c r="J29" s="120"/>
      <c r="K29" s="120"/>
      <c r="L29" s="120"/>
      <c r="M29" s="120"/>
      <c r="N29" s="121"/>
      <c r="O29" s="121"/>
      <c r="P29" s="121"/>
      <c r="Q29" s="121"/>
      <c r="R29" s="121"/>
      <c r="S29" s="121"/>
      <c r="T29" s="121"/>
      <c r="U29" s="121"/>
      <c r="V29" s="121"/>
      <c r="W29" s="121"/>
      <c r="X29" s="121"/>
    </row>
    <row r="30" spans="1:24" ht="15.75" customHeight="1">
      <c r="A30" s="114"/>
      <c r="B30" s="122">
        <v>18612</v>
      </c>
      <c r="C30" s="116"/>
      <c r="D30" s="117" t="s">
        <v>588</v>
      </c>
      <c r="E30" s="118"/>
      <c r="F30" s="119" t="s">
        <v>587</v>
      </c>
      <c r="G30" s="120"/>
      <c r="H30" s="120"/>
      <c r="I30" s="120"/>
      <c r="J30" s="120"/>
      <c r="K30" s="120"/>
      <c r="L30" s="120"/>
      <c r="M30" s="120"/>
      <c r="N30" s="121"/>
      <c r="O30" s="121"/>
      <c r="P30" s="121"/>
      <c r="Q30" s="121"/>
      <c r="R30" s="121"/>
      <c r="S30" s="121"/>
      <c r="T30" s="121"/>
      <c r="U30" s="121"/>
      <c r="V30" s="121"/>
      <c r="W30" s="121"/>
      <c r="X30" s="121"/>
    </row>
    <row r="31" spans="1:24" ht="15.75" customHeight="1">
      <c r="A31" s="114"/>
      <c r="B31" s="122">
        <v>18613</v>
      </c>
      <c r="C31" s="116"/>
      <c r="D31" s="117" t="s">
        <v>32</v>
      </c>
      <c r="E31" s="118"/>
      <c r="F31" s="119" t="s">
        <v>589</v>
      </c>
      <c r="G31" s="120"/>
      <c r="H31" s="120"/>
      <c r="I31" s="120"/>
      <c r="J31" s="120"/>
      <c r="K31" s="120"/>
      <c r="L31" s="120"/>
      <c r="M31" s="120"/>
      <c r="N31" s="121"/>
      <c r="O31" s="121"/>
      <c r="P31" s="121"/>
      <c r="Q31" s="121"/>
      <c r="R31" s="121"/>
      <c r="S31" s="121"/>
      <c r="T31" s="121"/>
      <c r="U31" s="121"/>
      <c r="V31" s="121"/>
      <c r="W31" s="121"/>
      <c r="X31" s="121"/>
    </row>
    <row r="32" spans="1:24" ht="15.75" customHeight="1">
      <c r="A32" s="114"/>
      <c r="B32" s="122">
        <v>18652</v>
      </c>
      <c r="C32" s="116"/>
      <c r="D32" s="117" t="s">
        <v>1198</v>
      </c>
      <c r="E32" s="118"/>
      <c r="F32" s="119" t="s">
        <v>590</v>
      </c>
      <c r="G32" s="120"/>
      <c r="H32" s="120"/>
      <c r="I32" s="120"/>
      <c r="J32" s="120"/>
      <c r="K32" s="120"/>
      <c r="L32" s="120"/>
      <c r="M32" s="120"/>
      <c r="N32" s="121"/>
      <c r="O32" s="121"/>
      <c r="P32" s="121"/>
      <c r="Q32" s="121"/>
      <c r="R32" s="121"/>
      <c r="S32" s="121"/>
      <c r="T32" s="121"/>
      <c r="U32" s="121"/>
      <c r="V32" s="121"/>
      <c r="W32" s="121"/>
      <c r="X32" s="121"/>
    </row>
    <row r="33" spans="1:24" ht="15.75" customHeight="1">
      <c r="A33" s="114"/>
      <c r="B33" s="122">
        <v>18732</v>
      </c>
      <c r="C33" s="116"/>
      <c r="D33" s="117" t="s">
        <v>593</v>
      </c>
      <c r="E33" s="118"/>
      <c r="F33" s="119" t="s">
        <v>592</v>
      </c>
      <c r="G33" s="120"/>
      <c r="H33" s="120"/>
      <c r="I33" s="120"/>
      <c r="J33" s="120"/>
      <c r="K33" s="120"/>
      <c r="L33" s="120"/>
      <c r="M33" s="120"/>
      <c r="N33" s="121"/>
      <c r="O33" s="121"/>
      <c r="P33" s="121"/>
      <c r="Q33" s="121"/>
      <c r="R33" s="121"/>
      <c r="S33" s="121"/>
      <c r="T33" s="121"/>
      <c r="U33" s="121"/>
      <c r="V33" s="121"/>
      <c r="W33" s="121"/>
      <c r="X33" s="121"/>
    </row>
    <row r="34" spans="1:24" ht="15.75" customHeight="1">
      <c r="A34" s="114"/>
      <c r="B34" s="122">
        <v>18736</v>
      </c>
      <c r="C34" s="116"/>
      <c r="D34" s="117" t="s">
        <v>814</v>
      </c>
      <c r="E34" s="118"/>
      <c r="F34" s="119" t="s">
        <v>594</v>
      </c>
      <c r="G34" s="120"/>
      <c r="H34" s="120"/>
      <c r="I34" s="120"/>
      <c r="J34" s="120"/>
      <c r="K34" s="120"/>
      <c r="L34" s="120"/>
      <c r="M34" s="120"/>
      <c r="N34" s="121"/>
      <c r="O34" s="121"/>
      <c r="P34" s="121"/>
      <c r="Q34" s="121"/>
      <c r="R34" s="121"/>
      <c r="S34" s="121"/>
      <c r="T34" s="121"/>
      <c r="U34" s="121"/>
      <c r="V34" s="121"/>
      <c r="W34" s="121"/>
      <c r="X34" s="121"/>
    </row>
    <row r="35" spans="1:24" ht="15.75" customHeight="1">
      <c r="A35" s="114"/>
      <c r="B35" s="122">
        <v>18755</v>
      </c>
      <c r="C35" s="116"/>
      <c r="D35" s="117" t="s">
        <v>32</v>
      </c>
      <c r="E35" s="118"/>
      <c r="F35" s="119" t="s">
        <v>596</v>
      </c>
      <c r="G35" s="120"/>
      <c r="H35" s="120"/>
      <c r="I35" s="120"/>
      <c r="J35" s="120"/>
      <c r="K35" s="120"/>
      <c r="L35" s="120"/>
      <c r="M35" s="120"/>
      <c r="N35" s="121"/>
      <c r="O35" s="121"/>
      <c r="P35" s="121"/>
      <c r="Q35" s="121"/>
      <c r="R35" s="121"/>
      <c r="S35" s="121"/>
      <c r="T35" s="121"/>
      <c r="U35" s="121"/>
      <c r="V35" s="121"/>
      <c r="W35" s="121"/>
      <c r="X35" s="121"/>
    </row>
    <row r="36" spans="1:24" ht="15.75" customHeight="1">
      <c r="A36" s="114"/>
      <c r="B36" s="122">
        <v>18763</v>
      </c>
      <c r="C36" s="116"/>
      <c r="D36" s="125" t="s">
        <v>598</v>
      </c>
      <c r="E36" s="118"/>
      <c r="F36" s="119" t="s">
        <v>597</v>
      </c>
      <c r="G36" s="120"/>
      <c r="H36" s="120"/>
      <c r="I36" s="120"/>
      <c r="J36" s="120"/>
      <c r="K36" s="120"/>
      <c r="L36" s="120"/>
      <c r="M36" s="120"/>
      <c r="N36" s="121"/>
      <c r="O36" s="121"/>
      <c r="P36" s="121"/>
      <c r="Q36" s="121"/>
      <c r="R36" s="121"/>
      <c r="S36" s="121"/>
      <c r="T36" s="121"/>
      <c r="U36" s="121"/>
      <c r="V36" s="121"/>
      <c r="W36" s="121"/>
      <c r="X36" s="121"/>
    </row>
    <row r="37" spans="1:24" ht="15.75" customHeight="1">
      <c r="A37" s="114"/>
      <c r="B37" s="122">
        <v>18814</v>
      </c>
      <c r="C37" s="116"/>
      <c r="D37" s="117" t="s">
        <v>32</v>
      </c>
      <c r="E37" s="118"/>
      <c r="F37" s="119" t="s">
        <v>599</v>
      </c>
      <c r="G37" s="120"/>
      <c r="H37" s="120"/>
      <c r="I37" s="120"/>
      <c r="J37" s="120"/>
      <c r="K37" s="120"/>
      <c r="L37" s="120"/>
      <c r="M37" s="120"/>
      <c r="N37" s="121"/>
      <c r="O37" s="121"/>
      <c r="P37" s="121"/>
      <c r="Q37" s="121"/>
      <c r="R37" s="121"/>
      <c r="S37" s="121"/>
      <c r="T37" s="121"/>
      <c r="U37" s="121"/>
      <c r="V37" s="121"/>
      <c r="W37" s="121"/>
      <c r="X37" s="121"/>
    </row>
    <row r="38" spans="1:24" ht="15.75" customHeight="1">
      <c r="A38" s="114"/>
      <c r="B38" s="122">
        <v>18858</v>
      </c>
      <c r="C38" s="116"/>
      <c r="D38" s="117" t="s">
        <v>539</v>
      </c>
      <c r="E38" s="118"/>
      <c r="F38" s="119" t="s">
        <v>600</v>
      </c>
      <c r="G38" s="120"/>
      <c r="H38" s="120"/>
      <c r="I38" s="120"/>
      <c r="J38" s="120"/>
      <c r="K38" s="120"/>
      <c r="L38" s="120"/>
      <c r="M38" s="120"/>
      <c r="N38" s="121"/>
      <c r="O38" s="121"/>
      <c r="P38" s="121"/>
      <c r="Q38" s="121"/>
      <c r="R38" s="121"/>
      <c r="S38" s="121"/>
      <c r="T38" s="121"/>
      <c r="U38" s="121"/>
      <c r="V38" s="121"/>
      <c r="W38" s="121"/>
      <c r="X38" s="121"/>
    </row>
    <row r="39" spans="1:24" ht="15.75" customHeight="1">
      <c r="A39" s="114"/>
      <c r="B39" s="122">
        <v>18861</v>
      </c>
      <c r="C39" s="116"/>
      <c r="D39" s="125" t="s">
        <v>447</v>
      </c>
      <c r="E39" s="118"/>
      <c r="F39" s="119" t="s">
        <v>601</v>
      </c>
      <c r="G39" s="120"/>
      <c r="H39" s="120"/>
      <c r="I39" s="120"/>
      <c r="J39" s="120"/>
      <c r="K39" s="120"/>
      <c r="L39" s="120"/>
      <c r="M39" s="120"/>
      <c r="N39" s="121"/>
      <c r="O39" s="121"/>
      <c r="P39" s="121"/>
      <c r="Q39" s="121"/>
      <c r="R39" s="121"/>
      <c r="S39" s="121"/>
      <c r="T39" s="121"/>
      <c r="U39" s="121"/>
      <c r="V39" s="121"/>
      <c r="W39" s="121"/>
      <c r="X39" s="121"/>
    </row>
    <row r="40" spans="1:24" ht="15.75" customHeight="1">
      <c r="A40" s="114"/>
      <c r="B40" s="122">
        <v>18876</v>
      </c>
      <c r="C40" s="116"/>
      <c r="D40" s="126" t="s">
        <v>711</v>
      </c>
      <c r="E40" s="118"/>
      <c r="F40" s="119" t="s">
        <v>602</v>
      </c>
      <c r="G40" s="120"/>
      <c r="H40" s="120"/>
      <c r="I40" s="120"/>
      <c r="J40" s="120"/>
      <c r="K40" s="120"/>
      <c r="L40" s="120"/>
      <c r="M40" s="120"/>
      <c r="N40" s="121"/>
      <c r="O40" s="121"/>
      <c r="P40" s="121"/>
      <c r="Q40" s="121"/>
      <c r="R40" s="121"/>
      <c r="S40" s="121"/>
      <c r="T40" s="121"/>
      <c r="U40" s="121"/>
      <c r="V40" s="121"/>
      <c r="W40" s="121"/>
      <c r="X40" s="121"/>
    </row>
    <row r="41" spans="1:24" ht="15.75" customHeight="1">
      <c r="A41" s="114"/>
      <c r="B41" s="122">
        <v>18923</v>
      </c>
      <c r="C41" s="116"/>
      <c r="D41" s="117" t="s">
        <v>32</v>
      </c>
      <c r="E41" s="118"/>
      <c r="F41" s="119" t="s">
        <v>604</v>
      </c>
      <c r="G41" s="120"/>
      <c r="H41" s="120"/>
      <c r="I41" s="120"/>
      <c r="J41" s="120"/>
      <c r="K41" s="120"/>
      <c r="L41" s="120"/>
      <c r="M41" s="120"/>
      <c r="N41" s="121"/>
      <c r="O41" s="121"/>
      <c r="P41" s="121"/>
      <c r="Q41" s="121"/>
      <c r="R41" s="121"/>
      <c r="S41" s="121"/>
      <c r="T41" s="121"/>
      <c r="U41" s="121"/>
      <c r="V41" s="121"/>
      <c r="W41" s="121"/>
      <c r="X41" s="121"/>
    </row>
    <row r="42" spans="1:24" ht="15.75" customHeight="1">
      <c r="A42" s="114"/>
      <c r="B42" s="122">
        <v>18957</v>
      </c>
      <c r="C42" s="116"/>
      <c r="D42" s="117" t="s">
        <v>32</v>
      </c>
      <c r="E42" s="118"/>
      <c r="F42" s="119" t="s">
        <v>613</v>
      </c>
      <c r="G42" s="120"/>
      <c r="H42" s="120"/>
      <c r="I42" s="120"/>
      <c r="J42" s="120"/>
      <c r="K42" s="120"/>
      <c r="L42" s="120"/>
      <c r="M42" s="120"/>
      <c r="N42" s="121"/>
      <c r="O42" s="121"/>
      <c r="P42" s="121"/>
      <c r="Q42" s="121"/>
      <c r="R42" s="121"/>
      <c r="S42" s="121"/>
      <c r="T42" s="121"/>
      <c r="U42" s="121"/>
      <c r="V42" s="121"/>
      <c r="W42" s="121"/>
      <c r="X42" s="121"/>
    </row>
    <row r="43" spans="1:24" ht="15.75" customHeight="1">
      <c r="A43" s="114"/>
      <c r="B43" s="122">
        <v>18962</v>
      </c>
      <c r="C43" s="116"/>
      <c r="D43" s="117" t="s">
        <v>616</v>
      </c>
      <c r="E43" s="118"/>
      <c r="F43" s="119" t="s">
        <v>615</v>
      </c>
      <c r="G43" s="120"/>
      <c r="H43" s="120"/>
      <c r="I43" s="120"/>
      <c r="J43" s="120"/>
      <c r="K43" s="120"/>
      <c r="L43" s="120"/>
      <c r="M43" s="120"/>
      <c r="N43" s="121"/>
      <c r="O43" s="121"/>
      <c r="P43" s="121"/>
      <c r="Q43" s="121"/>
      <c r="R43" s="121"/>
      <c r="S43" s="121"/>
      <c r="T43" s="121"/>
      <c r="U43" s="121"/>
      <c r="V43" s="121"/>
      <c r="W43" s="121"/>
      <c r="X43" s="121"/>
    </row>
    <row r="44" spans="1:24" ht="15.75" customHeight="1">
      <c r="A44" s="114"/>
      <c r="B44" s="122">
        <v>18962</v>
      </c>
      <c r="C44" s="116"/>
      <c r="D44" s="126" t="s">
        <v>726</v>
      </c>
      <c r="E44" s="118"/>
      <c r="F44" s="119" t="s">
        <v>619</v>
      </c>
      <c r="G44" s="120"/>
      <c r="H44" s="120"/>
      <c r="I44" s="120"/>
      <c r="J44" s="120"/>
      <c r="K44" s="120"/>
      <c r="L44" s="120"/>
      <c r="M44" s="120"/>
      <c r="N44" s="121"/>
      <c r="O44" s="121"/>
      <c r="P44" s="121"/>
      <c r="Q44" s="121"/>
      <c r="R44" s="121"/>
      <c r="S44" s="121"/>
      <c r="T44" s="121"/>
      <c r="U44" s="121"/>
      <c r="V44" s="121"/>
      <c r="W44" s="121"/>
      <c r="X44" s="121"/>
    </row>
    <row r="45" spans="1:24" ht="15.75" customHeight="1">
      <c r="A45" s="114"/>
      <c r="B45" s="122">
        <v>18965</v>
      </c>
      <c r="C45" s="116"/>
      <c r="D45" s="117" t="s">
        <v>1865</v>
      </c>
      <c r="E45" s="118"/>
      <c r="F45" s="119" t="s">
        <v>623</v>
      </c>
      <c r="G45" s="120"/>
      <c r="H45" s="120"/>
      <c r="I45" s="120"/>
      <c r="J45" s="120"/>
      <c r="K45" s="120"/>
      <c r="L45" s="120"/>
      <c r="M45" s="120"/>
      <c r="N45" s="121"/>
      <c r="O45" s="121"/>
      <c r="P45" s="121"/>
      <c r="Q45" s="121"/>
      <c r="R45" s="121"/>
      <c r="S45" s="121"/>
      <c r="T45" s="121"/>
      <c r="U45" s="121"/>
      <c r="V45" s="121"/>
      <c r="W45" s="121"/>
      <c r="X45" s="121"/>
    </row>
    <row r="46" spans="1:24" ht="15.75" customHeight="1">
      <c r="A46" s="114"/>
      <c r="B46" s="122">
        <v>18966</v>
      </c>
      <c r="C46" s="116"/>
      <c r="D46" s="117" t="s">
        <v>1868</v>
      </c>
      <c r="E46" s="118"/>
      <c r="F46" s="119" t="s">
        <v>626</v>
      </c>
      <c r="G46" s="120"/>
      <c r="H46" s="120"/>
      <c r="I46" s="120"/>
      <c r="J46" s="120"/>
      <c r="K46" s="120"/>
      <c r="L46" s="120"/>
      <c r="M46" s="120"/>
      <c r="N46" s="121"/>
      <c r="O46" s="121"/>
      <c r="P46" s="121"/>
      <c r="Q46" s="121"/>
      <c r="R46" s="121"/>
      <c r="S46" s="121"/>
      <c r="T46" s="121"/>
      <c r="U46" s="121"/>
      <c r="V46" s="121"/>
      <c r="W46" s="121"/>
      <c r="X46" s="121"/>
    </row>
    <row r="47" spans="1:24" ht="15.75" customHeight="1">
      <c r="A47" s="114"/>
      <c r="B47" s="122">
        <v>18978</v>
      </c>
      <c r="C47" s="116"/>
      <c r="D47" s="117" t="s">
        <v>32</v>
      </c>
      <c r="E47" s="118"/>
      <c r="F47" s="119" t="s">
        <v>628</v>
      </c>
      <c r="G47" s="120"/>
      <c r="H47" s="120"/>
      <c r="I47" s="120"/>
      <c r="J47" s="120"/>
      <c r="K47" s="120"/>
      <c r="L47" s="120"/>
      <c r="M47" s="120"/>
      <c r="N47" s="121"/>
      <c r="O47" s="121"/>
      <c r="P47" s="121"/>
      <c r="Q47" s="121"/>
      <c r="R47" s="121"/>
      <c r="S47" s="121"/>
      <c r="T47" s="121"/>
      <c r="U47" s="121"/>
      <c r="V47" s="121"/>
      <c r="W47" s="121"/>
      <c r="X47" s="121"/>
    </row>
    <row r="48" spans="1:24" ht="15.75" customHeight="1">
      <c r="A48" s="114"/>
      <c r="B48" s="122">
        <v>18990</v>
      </c>
      <c r="C48" s="116"/>
      <c r="D48" s="117" t="s">
        <v>176</v>
      </c>
      <c r="E48" s="118"/>
      <c r="F48" s="119" t="s">
        <v>629</v>
      </c>
      <c r="G48" s="120"/>
      <c r="H48" s="120"/>
      <c r="I48" s="120"/>
      <c r="J48" s="120"/>
      <c r="K48" s="120"/>
      <c r="L48" s="120"/>
      <c r="M48" s="120"/>
      <c r="N48" s="121"/>
      <c r="O48" s="121"/>
      <c r="P48" s="121"/>
      <c r="Q48" s="121"/>
      <c r="R48" s="121"/>
      <c r="S48" s="121"/>
      <c r="T48" s="121"/>
      <c r="U48" s="121"/>
      <c r="V48" s="121"/>
      <c r="W48" s="121"/>
      <c r="X48" s="121"/>
    </row>
    <row r="49" spans="1:24" ht="15.75" customHeight="1">
      <c r="A49" s="114"/>
      <c r="B49" s="122">
        <v>18994</v>
      </c>
      <c r="C49" s="116"/>
      <c r="D49" s="126" t="s">
        <v>447</v>
      </c>
      <c r="E49" s="118"/>
      <c r="F49" s="119" t="s">
        <v>632</v>
      </c>
      <c r="G49" s="120"/>
      <c r="H49" s="120"/>
      <c r="I49" s="120"/>
      <c r="J49" s="120"/>
      <c r="K49" s="120"/>
      <c r="L49" s="120"/>
      <c r="M49" s="120"/>
      <c r="N49" s="121"/>
      <c r="O49" s="121"/>
      <c r="P49" s="121"/>
      <c r="Q49" s="121"/>
      <c r="R49" s="121"/>
      <c r="S49" s="121"/>
      <c r="T49" s="121"/>
      <c r="U49" s="121"/>
      <c r="V49" s="121"/>
      <c r="W49" s="121"/>
      <c r="X49" s="121"/>
    </row>
    <row r="50" spans="1:24" ht="15.75" customHeight="1">
      <c r="A50" s="114"/>
      <c r="B50" s="122">
        <v>19032</v>
      </c>
      <c r="C50" s="116"/>
      <c r="D50" s="117" t="s">
        <v>32</v>
      </c>
      <c r="E50" s="118"/>
      <c r="F50" s="119" t="s">
        <v>29</v>
      </c>
      <c r="G50" s="120"/>
      <c r="H50" s="120"/>
      <c r="I50" s="120"/>
      <c r="J50" s="120"/>
      <c r="K50" s="120"/>
      <c r="L50" s="120"/>
      <c r="M50" s="120"/>
      <c r="N50" s="121"/>
      <c r="O50" s="121"/>
      <c r="P50" s="121"/>
      <c r="Q50" s="121"/>
      <c r="R50" s="121"/>
      <c r="S50" s="121"/>
      <c r="T50" s="121"/>
      <c r="U50" s="121"/>
      <c r="V50" s="121"/>
      <c r="W50" s="121"/>
      <c r="X50" s="121"/>
    </row>
    <row r="51" spans="1:24" ht="15.75" customHeight="1">
      <c r="A51" s="114"/>
      <c r="B51" s="122">
        <v>19050</v>
      </c>
      <c r="C51" s="116"/>
      <c r="D51" s="117" t="s">
        <v>32</v>
      </c>
      <c r="E51" s="118"/>
      <c r="F51" s="119" t="s">
        <v>635</v>
      </c>
      <c r="G51" s="120"/>
      <c r="H51" s="120"/>
      <c r="I51" s="120"/>
      <c r="J51" s="120"/>
      <c r="K51" s="120"/>
      <c r="L51" s="120"/>
      <c r="M51" s="120"/>
      <c r="N51" s="121"/>
      <c r="O51" s="121"/>
      <c r="P51" s="121"/>
      <c r="Q51" s="121"/>
      <c r="R51" s="121"/>
      <c r="S51" s="121"/>
      <c r="T51" s="121"/>
      <c r="U51" s="121"/>
      <c r="V51" s="121"/>
      <c r="W51" s="121"/>
      <c r="X51" s="121"/>
    </row>
    <row r="52" spans="1:24" ht="15.75" customHeight="1">
      <c r="A52" s="114"/>
      <c r="B52" s="122">
        <v>19177</v>
      </c>
      <c r="C52" s="116"/>
      <c r="D52" s="117" t="s">
        <v>32</v>
      </c>
      <c r="E52" s="118"/>
      <c r="F52" s="119" t="s">
        <v>638</v>
      </c>
      <c r="G52" s="120"/>
      <c r="H52" s="120"/>
      <c r="I52" s="120"/>
      <c r="J52" s="120"/>
      <c r="K52" s="120"/>
      <c r="L52" s="120"/>
      <c r="M52" s="120"/>
      <c r="N52" s="121"/>
      <c r="O52" s="121"/>
      <c r="P52" s="121"/>
      <c r="Q52" s="121"/>
      <c r="R52" s="121"/>
      <c r="S52" s="121"/>
      <c r="T52" s="121"/>
      <c r="U52" s="121"/>
      <c r="V52" s="121"/>
      <c r="W52" s="121"/>
      <c r="X52" s="121"/>
    </row>
    <row r="53" spans="1:24" ht="15.75" customHeight="1">
      <c r="A53" s="114"/>
      <c r="B53" s="122">
        <v>19189</v>
      </c>
      <c r="C53" s="116"/>
      <c r="D53" s="117" t="s">
        <v>447</v>
      </c>
      <c r="E53" s="118"/>
      <c r="F53" s="119" t="s">
        <v>639</v>
      </c>
      <c r="G53" s="120"/>
      <c r="H53" s="120"/>
      <c r="I53" s="120"/>
      <c r="J53" s="120"/>
      <c r="K53" s="120"/>
      <c r="L53" s="120"/>
      <c r="M53" s="120"/>
      <c r="N53" s="121"/>
      <c r="O53" s="121"/>
      <c r="P53" s="121"/>
      <c r="Q53" s="121"/>
      <c r="R53" s="121"/>
      <c r="S53" s="121"/>
      <c r="T53" s="121"/>
      <c r="U53" s="121"/>
      <c r="V53" s="121"/>
      <c r="W53" s="121"/>
      <c r="X53" s="121"/>
    </row>
    <row r="54" spans="1:24" ht="15.75" customHeight="1">
      <c r="A54" s="114"/>
      <c r="B54" s="122">
        <v>19263</v>
      </c>
      <c r="C54" s="116"/>
      <c r="D54" s="117" t="s">
        <v>32</v>
      </c>
      <c r="E54" s="118"/>
      <c r="F54" s="119" t="s">
        <v>643</v>
      </c>
      <c r="G54" s="120"/>
      <c r="H54" s="120"/>
      <c r="I54" s="120"/>
      <c r="J54" s="120"/>
      <c r="K54" s="120"/>
      <c r="L54" s="120"/>
      <c r="M54" s="120"/>
      <c r="N54" s="121"/>
      <c r="O54" s="121"/>
      <c r="P54" s="121"/>
      <c r="Q54" s="121"/>
      <c r="R54" s="121"/>
      <c r="S54" s="121"/>
      <c r="T54" s="121"/>
      <c r="U54" s="121"/>
      <c r="V54" s="121"/>
      <c r="W54" s="121"/>
      <c r="X54" s="121"/>
    </row>
    <row r="55" spans="1:24" ht="15.75" customHeight="1">
      <c r="A55" s="114"/>
      <c r="B55" s="122">
        <v>19304</v>
      </c>
      <c r="C55" s="116"/>
      <c r="D55" s="117" t="s">
        <v>539</v>
      </c>
      <c r="E55" s="118"/>
      <c r="F55" s="119" t="s">
        <v>645</v>
      </c>
      <c r="G55" s="120"/>
      <c r="H55" s="120"/>
      <c r="I55" s="120"/>
      <c r="J55" s="120"/>
      <c r="K55" s="120"/>
      <c r="L55" s="120"/>
      <c r="M55" s="120"/>
      <c r="N55" s="121"/>
      <c r="O55" s="121"/>
      <c r="P55" s="121"/>
      <c r="Q55" s="121"/>
      <c r="R55" s="121"/>
      <c r="S55" s="121"/>
      <c r="T55" s="121"/>
      <c r="U55" s="121"/>
      <c r="V55" s="121"/>
      <c r="W55" s="121"/>
      <c r="X55" s="121"/>
    </row>
    <row r="56" spans="1:24" ht="15.75" customHeight="1">
      <c r="A56" s="114"/>
      <c r="B56" s="122">
        <v>19316</v>
      </c>
      <c r="C56" s="116"/>
      <c r="D56" s="117" t="s">
        <v>647</v>
      </c>
      <c r="E56" s="118"/>
      <c r="F56" s="119" t="s">
        <v>646</v>
      </c>
      <c r="G56" s="120"/>
      <c r="H56" s="120"/>
      <c r="I56" s="120"/>
      <c r="J56" s="120"/>
      <c r="K56" s="120"/>
      <c r="L56" s="120"/>
      <c r="M56" s="120"/>
      <c r="N56" s="121"/>
      <c r="O56" s="121"/>
      <c r="P56" s="121"/>
      <c r="Q56" s="121"/>
      <c r="R56" s="121"/>
      <c r="S56" s="121"/>
      <c r="T56" s="121"/>
      <c r="U56" s="121"/>
      <c r="V56" s="121"/>
      <c r="W56" s="121"/>
      <c r="X56" s="121"/>
    </row>
    <row r="57" spans="1:24" ht="15.75" customHeight="1">
      <c r="A57" s="114"/>
      <c r="B57" s="122">
        <v>19324</v>
      </c>
      <c r="C57" s="116"/>
      <c r="D57" s="117" t="s">
        <v>649</v>
      </c>
      <c r="E57" s="118"/>
      <c r="F57" s="119" t="s">
        <v>648</v>
      </c>
      <c r="G57" s="120"/>
      <c r="H57" s="120"/>
      <c r="I57" s="120"/>
      <c r="J57" s="120"/>
      <c r="K57" s="120"/>
      <c r="L57" s="120"/>
      <c r="M57" s="120"/>
      <c r="N57" s="121"/>
      <c r="O57" s="121"/>
      <c r="P57" s="121"/>
      <c r="Q57" s="121"/>
      <c r="R57" s="121"/>
      <c r="S57" s="121"/>
      <c r="T57" s="121"/>
      <c r="U57" s="121"/>
      <c r="V57" s="121"/>
      <c r="W57" s="121"/>
      <c r="X57" s="121"/>
    </row>
    <row r="58" spans="1:24" ht="15.75" customHeight="1">
      <c r="A58" s="114"/>
      <c r="B58" s="122">
        <v>19324</v>
      </c>
      <c r="C58" s="116"/>
      <c r="D58" s="117" t="s">
        <v>32</v>
      </c>
      <c r="E58" s="118"/>
      <c r="F58" s="119" t="s">
        <v>651</v>
      </c>
      <c r="G58" s="120"/>
      <c r="H58" s="120"/>
      <c r="I58" s="120"/>
      <c r="J58" s="120"/>
      <c r="K58" s="120"/>
      <c r="L58" s="120"/>
      <c r="M58" s="120"/>
      <c r="N58" s="121"/>
      <c r="O58" s="121"/>
      <c r="P58" s="121"/>
      <c r="Q58" s="121"/>
      <c r="R58" s="121"/>
      <c r="S58" s="121"/>
      <c r="T58" s="121"/>
      <c r="U58" s="121"/>
      <c r="V58" s="121"/>
      <c r="W58" s="121"/>
      <c r="X58" s="121"/>
    </row>
    <row r="59" spans="1:24" ht="15.75" customHeight="1">
      <c r="A59" s="114"/>
      <c r="B59" s="122">
        <v>19325</v>
      </c>
      <c r="C59" s="116"/>
      <c r="D59" s="117" t="s">
        <v>32</v>
      </c>
      <c r="E59" s="118"/>
      <c r="F59" s="119" t="s">
        <v>652</v>
      </c>
      <c r="G59" s="120"/>
      <c r="H59" s="120"/>
      <c r="I59" s="120"/>
      <c r="J59" s="120"/>
      <c r="K59" s="120"/>
      <c r="L59" s="120"/>
      <c r="M59" s="120"/>
      <c r="N59" s="121"/>
      <c r="O59" s="121"/>
      <c r="P59" s="121"/>
      <c r="Q59" s="121"/>
      <c r="R59" s="121"/>
      <c r="S59" s="121"/>
      <c r="T59" s="121"/>
      <c r="U59" s="121"/>
      <c r="V59" s="121"/>
      <c r="W59" s="121"/>
      <c r="X59" s="121"/>
    </row>
    <row r="60" spans="1:24" ht="15.75" customHeight="1">
      <c r="A60" s="114"/>
      <c r="B60" s="122">
        <v>19347</v>
      </c>
      <c r="C60" s="116"/>
      <c r="D60" s="117" t="s">
        <v>447</v>
      </c>
      <c r="E60" s="118"/>
      <c r="F60" s="119" t="s">
        <v>653</v>
      </c>
      <c r="G60" s="120"/>
      <c r="H60" s="120"/>
      <c r="I60" s="120"/>
      <c r="J60" s="120"/>
      <c r="K60" s="120"/>
      <c r="L60" s="120"/>
      <c r="M60" s="120"/>
      <c r="N60" s="121"/>
      <c r="O60" s="121"/>
      <c r="P60" s="121"/>
      <c r="Q60" s="121"/>
      <c r="R60" s="121"/>
      <c r="S60" s="121"/>
      <c r="T60" s="121"/>
      <c r="U60" s="121"/>
      <c r="V60" s="121"/>
      <c r="W60" s="121"/>
      <c r="X60" s="121"/>
    </row>
    <row r="61" spans="1:24" ht="15.75" customHeight="1">
      <c r="A61" s="114"/>
      <c r="B61" s="122">
        <v>19350</v>
      </c>
      <c r="C61" s="116"/>
      <c r="D61" s="117" t="s">
        <v>656</v>
      </c>
      <c r="E61" s="118"/>
      <c r="F61" s="119" t="s">
        <v>655</v>
      </c>
      <c r="G61" s="120"/>
      <c r="H61" s="120"/>
      <c r="I61" s="120"/>
      <c r="J61" s="120"/>
      <c r="K61" s="120"/>
      <c r="L61" s="120"/>
      <c r="M61" s="120"/>
      <c r="N61" s="121"/>
      <c r="O61" s="121"/>
      <c r="P61" s="121"/>
      <c r="Q61" s="121"/>
      <c r="R61" s="121"/>
      <c r="S61" s="121"/>
      <c r="T61" s="121"/>
      <c r="U61" s="121"/>
      <c r="V61" s="121"/>
      <c r="W61" s="121"/>
      <c r="X61" s="121"/>
    </row>
    <row r="62" spans="1:24" ht="15.75" customHeight="1">
      <c r="A62" s="114"/>
      <c r="B62" s="122">
        <v>19358</v>
      </c>
      <c r="C62" s="116"/>
      <c r="D62" s="117" t="s">
        <v>658</v>
      </c>
      <c r="E62" s="118"/>
      <c r="F62" s="119" t="s">
        <v>657</v>
      </c>
      <c r="G62" s="120"/>
      <c r="H62" s="120"/>
      <c r="I62" s="120"/>
      <c r="J62" s="120"/>
      <c r="K62" s="120"/>
      <c r="L62" s="120"/>
      <c r="M62" s="120"/>
      <c r="N62" s="121"/>
      <c r="O62" s="121"/>
      <c r="P62" s="121"/>
      <c r="Q62" s="121"/>
      <c r="R62" s="121"/>
      <c r="S62" s="121"/>
      <c r="T62" s="121"/>
      <c r="U62" s="121"/>
      <c r="V62" s="121"/>
      <c r="W62" s="121"/>
      <c r="X62" s="121"/>
    </row>
    <row r="63" spans="1:24" ht="15.75" customHeight="1">
      <c r="A63" s="143" t="s">
        <v>1955</v>
      </c>
      <c r="B63" s="144">
        <v>19384</v>
      </c>
      <c r="C63" s="145" t="s">
        <v>1985</v>
      </c>
      <c r="D63" s="145" t="s">
        <v>32</v>
      </c>
      <c r="E63" s="146" t="s">
        <v>1996</v>
      </c>
      <c r="F63" s="146" t="s">
        <v>2001</v>
      </c>
      <c r="G63" s="120"/>
      <c r="H63" s="120"/>
      <c r="I63" s="120"/>
      <c r="J63" s="120"/>
      <c r="K63" s="120"/>
      <c r="L63" s="120"/>
      <c r="M63" s="120"/>
      <c r="N63" s="121"/>
      <c r="O63" s="121"/>
      <c r="P63" s="121"/>
      <c r="Q63" s="121"/>
      <c r="R63" s="121"/>
      <c r="S63" s="121"/>
      <c r="T63" s="121"/>
      <c r="U63" s="121"/>
      <c r="V63" s="121"/>
      <c r="W63" s="121"/>
      <c r="X63" s="121"/>
    </row>
    <row r="64" spans="1:24" ht="15.75" customHeight="1">
      <c r="A64" s="143" t="s">
        <v>2010</v>
      </c>
      <c r="B64" s="144">
        <v>19387</v>
      </c>
      <c r="C64" s="147" t="s">
        <v>2012</v>
      </c>
      <c r="D64" s="147" t="s">
        <v>2024</v>
      </c>
      <c r="E64" s="148" t="s">
        <v>2026</v>
      </c>
      <c r="F64" s="148" t="s">
        <v>2038</v>
      </c>
      <c r="G64" s="120"/>
      <c r="H64" s="120"/>
      <c r="I64" s="120"/>
      <c r="J64" s="120"/>
      <c r="K64" s="120"/>
      <c r="L64" s="120"/>
      <c r="M64" s="120"/>
      <c r="N64" s="121"/>
      <c r="O64" s="121"/>
      <c r="P64" s="121"/>
      <c r="Q64" s="121"/>
      <c r="R64" s="121"/>
      <c r="S64" s="121"/>
      <c r="T64" s="121"/>
      <c r="U64" s="121"/>
      <c r="V64" s="121"/>
      <c r="W64" s="121"/>
      <c r="X64" s="121"/>
    </row>
    <row r="65" spans="1:24" ht="15.75" customHeight="1">
      <c r="A65" s="114"/>
      <c r="B65" s="122">
        <v>19416</v>
      </c>
      <c r="C65" s="116"/>
      <c r="D65" s="117" t="s">
        <v>38</v>
      </c>
      <c r="E65" s="118"/>
      <c r="F65" s="119" t="s">
        <v>36</v>
      </c>
      <c r="G65" s="120"/>
      <c r="H65" s="120"/>
      <c r="I65" s="120"/>
      <c r="J65" s="120"/>
      <c r="K65" s="120"/>
      <c r="L65" s="120"/>
      <c r="M65" s="120"/>
      <c r="N65" s="121"/>
      <c r="O65" s="121"/>
      <c r="P65" s="121"/>
      <c r="Q65" s="121"/>
      <c r="R65" s="121"/>
      <c r="S65" s="121"/>
      <c r="T65" s="121"/>
      <c r="U65" s="121"/>
      <c r="V65" s="121"/>
      <c r="W65" s="121"/>
      <c r="X65" s="121"/>
    </row>
    <row r="66" spans="1:24" ht="15.75" customHeight="1">
      <c r="A66" s="114"/>
      <c r="B66" s="122">
        <v>19418</v>
      </c>
      <c r="C66" s="116"/>
      <c r="D66" s="117" t="s">
        <v>43</v>
      </c>
      <c r="E66" s="118"/>
      <c r="F66" s="119" t="s">
        <v>41</v>
      </c>
      <c r="G66" s="120"/>
      <c r="H66" s="120"/>
      <c r="I66" s="120"/>
      <c r="J66" s="120"/>
      <c r="K66" s="120"/>
      <c r="L66" s="120"/>
      <c r="M66" s="120"/>
      <c r="N66" s="121"/>
      <c r="O66" s="121"/>
      <c r="P66" s="121"/>
      <c r="Q66" s="121"/>
      <c r="R66" s="121"/>
      <c r="S66" s="121"/>
      <c r="T66" s="121"/>
      <c r="U66" s="121"/>
      <c r="V66" s="121"/>
      <c r="W66" s="121"/>
      <c r="X66" s="121"/>
    </row>
    <row r="67" spans="1:24" ht="15.75" customHeight="1">
      <c r="A67" s="151" t="s">
        <v>1921</v>
      </c>
      <c r="B67" s="153">
        <v>19497</v>
      </c>
      <c r="C67" s="147" t="s">
        <v>2045</v>
      </c>
      <c r="D67" s="147" t="s">
        <v>2046</v>
      </c>
      <c r="E67" s="148" t="s">
        <v>2047</v>
      </c>
      <c r="F67" s="146" t="s">
        <v>2048</v>
      </c>
      <c r="G67" s="120"/>
      <c r="H67" s="120"/>
      <c r="I67" s="120"/>
      <c r="J67" s="120"/>
      <c r="K67" s="120"/>
      <c r="L67" s="120"/>
      <c r="M67" s="120"/>
      <c r="N67" s="121"/>
      <c r="O67" s="121"/>
      <c r="P67" s="121"/>
      <c r="Q67" s="121"/>
      <c r="R67" s="121"/>
      <c r="S67" s="121"/>
      <c r="T67" s="121"/>
      <c r="U67" s="121"/>
      <c r="V67" s="121"/>
      <c r="W67" s="121"/>
      <c r="X67" s="121"/>
    </row>
    <row r="68" spans="1:24" ht="15.75" customHeight="1">
      <c r="A68" s="114"/>
      <c r="B68" s="122">
        <v>19504</v>
      </c>
      <c r="C68" s="116"/>
      <c r="D68" s="117" t="s">
        <v>48</v>
      </c>
      <c r="E68" s="118"/>
      <c r="F68" s="119" t="s">
        <v>46</v>
      </c>
      <c r="G68" s="120"/>
      <c r="H68" s="120"/>
      <c r="I68" s="120"/>
      <c r="J68" s="120"/>
      <c r="K68" s="120"/>
      <c r="L68" s="120"/>
      <c r="M68" s="120"/>
      <c r="N68" s="121"/>
      <c r="O68" s="121"/>
      <c r="P68" s="121"/>
      <c r="Q68" s="121"/>
      <c r="R68" s="121"/>
      <c r="S68" s="121"/>
      <c r="T68" s="121"/>
      <c r="U68" s="121"/>
      <c r="V68" s="121"/>
      <c r="W68" s="121"/>
      <c r="X68" s="121"/>
    </row>
    <row r="69" spans="1:24" ht="15.75" customHeight="1">
      <c r="A69" s="114"/>
      <c r="B69" s="122">
        <v>19509</v>
      </c>
      <c r="C69" s="116"/>
      <c r="D69" s="117" t="s">
        <v>58</v>
      </c>
      <c r="E69" s="118"/>
      <c r="F69" s="119" t="s">
        <v>55</v>
      </c>
      <c r="G69" s="120"/>
      <c r="H69" s="120"/>
      <c r="I69" s="120"/>
      <c r="J69" s="120"/>
      <c r="K69" s="120"/>
      <c r="L69" s="120"/>
      <c r="M69" s="120"/>
      <c r="N69" s="121"/>
      <c r="O69" s="121"/>
      <c r="P69" s="121"/>
      <c r="Q69" s="121"/>
      <c r="R69" s="121"/>
      <c r="S69" s="121"/>
      <c r="T69" s="121"/>
      <c r="U69" s="121"/>
      <c r="V69" s="121"/>
      <c r="W69" s="121"/>
      <c r="X69" s="121"/>
    </row>
    <row r="70" spans="1:24" ht="15.75" customHeight="1">
      <c r="A70" s="114"/>
      <c r="B70" s="122">
        <v>19516</v>
      </c>
      <c r="C70" s="116"/>
      <c r="D70" s="117" t="s">
        <v>32</v>
      </c>
      <c r="E70" s="118"/>
      <c r="F70" s="119" t="s">
        <v>63</v>
      </c>
      <c r="G70" s="120"/>
      <c r="H70" s="120"/>
      <c r="I70" s="120"/>
      <c r="J70" s="120"/>
      <c r="K70" s="120"/>
      <c r="L70" s="120"/>
      <c r="M70" s="120"/>
      <c r="N70" s="121"/>
      <c r="O70" s="121"/>
      <c r="P70" s="121"/>
      <c r="Q70" s="121"/>
      <c r="R70" s="121"/>
      <c r="S70" s="121"/>
      <c r="T70" s="121"/>
      <c r="U70" s="121"/>
      <c r="V70" s="121"/>
      <c r="W70" s="121"/>
      <c r="X70" s="121"/>
    </row>
    <row r="71" spans="1:24" ht="15.75" customHeight="1">
      <c r="A71" s="114"/>
      <c r="B71" s="122">
        <v>19520</v>
      </c>
      <c r="C71" s="116"/>
      <c r="D71" s="117" t="s">
        <v>67</v>
      </c>
      <c r="E71" s="118"/>
      <c r="F71" s="119" t="s">
        <v>65</v>
      </c>
      <c r="G71" s="120"/>
      <c r="H71" s="120"/>
      <c r="I71" s="120"/>
      <c r="J71" s="120"/>
      <c r="K71" s="120"/>
      <c r="L71" s="120"/>
      <c r="M71" s="120"/>
      <c r="N71" s="121"/>
      <c r="O71" s="121"/>
      <c r="P71" s="121"/>
      <c r="Q71" s="121"/>
      <c r="R71" s="121"/>
      <c r="S71" s="121"/>
      <c r="T71" s="121"/>
      <c r="U71" s="121"/>
      <c r="V71" s="121"/>
      <c r="W71" s="121"/>
      <c r="X71" s="121"/>
    </row>
    <row r="72" spans="1:24" ht="15.75" customHeight="1">
      <c r="A72" s="114"/>
      <c r="B72" s="122">
        <v>19521</v>
      </c>
      <c r="C72" s="116"/>
      <c r="D72" s="117" t="s">
        <v>43</v>
      </c>
      <c r="E72" s="118"/>
      <c r="F72" s="119" t="s">
        <v>69</v>
      </c>
      <c r="G72" s="120"/>
      <c r="H72" s="120"/>
      <c r="I72" s="120"/>
      <c r="J72" s="120"/>
      <c r="K72" s="120"/>
      <c r="L72" s="120"/>
      <c r="M72" s="120"/>
      <c r="N72" s="121"/>
      <c r="O72" s="121"/>
      <c r="P72" s="121"/>
      <c r="Q72" s="121"/>
      <c r="R72" s="121"/>
      <c r="S72" s="121"/>
      <c r="T72" s="121"/>
      <c r="U72" s="121"/>
      <c r="V72" s="121"/>
      <c r="W72" s="121"/>
      <c r="X72" s="121"/>
    </row>
    <row r="73" spans="1:24" ht="15.75" customHeight="1">
      <c r="A73" s="114"/>
      <c r="B73" s="122">
        <v>19529</v>
      </c>
      <c r="C73" s="116"/>
      <c r="D73" s="117" t="s">
        <v>78</v>
      </c>
      <c r="E73" s="118"/>
      <c r="F73" s="119" t="s">
        <v>74</v>
      </c>
      <c r="G73" s="120"/>
      <c r="H73" s="120"/>
      <c r="I73" s="120"/>
      <c r="J73" s="120"/>
      <c r="K73" s="120"/>
      <c r="L73" s="120"/>
      <c r="M73" s="120"/>
      <c r="N73" s="121"/>
      <c r="O73" s="121"/>
      <c r="P73" s="121"/>
      <c r="Q73" s="121"/>
      <c r="R73" s="121"/>
      <c r="S73" s="121"/>
      <c r="T73" s="121"/>
      <c r="U73" s="121"/>
      <c r="V73" s="121"/>
      <c r="W73" s="121"/>
      <c r="X73" s="121"/>
    </row>
    <row r="74" spans="1:24" ht="15.75" customHeight="1">
      <c r="A74" s="114"/>
      <c r="B74" s="122">
        <v>19549</v>
      </c>
      <c r="C74" s="116"/>
      <c r="D74" s="117" t="s">
        <v>91</v>
      </c>
      <c r="E74" s="118"/>
      <c r="F74" s="119" t="s">
        <v>88</v>
      </c>
      <c r="G74" s="120"/>
      <c r="H74" s="120"/>
      <c r="I74" s="120"/>
      <c r="J74" s="120"/>
      <c r="K74" s="120"/>
      <c r="L74" s="120"/>
      <c r="M74" s="120"/>
      <c r="N74" s="121"/>
      <c r="O74" s="121"/>
      <c r="P74" s="121"/>
      <c r="Q74" s="121"/>
      <c r="R74" s="121"/>
      <c r="S74" s="121"/>
      <c r="T74" s="121"/>
      <c r="U74" s="121"/>
      <c r="V74" s="121"/>
      <c r="W74" s="121"/>
      <c r="X74" s="121"/>
    </row>
    <row r="75" spans="1:24" ht="15.75" customHeight="1">
      <c r="A75" s="143" t="s">
        <v>2103</v>
      </c>
      <c r="B75" s="144">
        <v>19552</v>
      </c>
      <c r="C75" s="145" t="s">
        <v>1971</v>
      </c>
      <c r="D75" s="147" t="s">
        <v>2106</v>
      </c>
      <c r="E75" s="146" t="s">
        <v>2109</v>
      </c>
      <c r="F75" s="148" t="s">
        <v>2112</v>
      </c>
      <c r="G75" s="120"/>
      <c r="H75" s="120"/>
      <c r="I75" s="120"/>
      <c r="J75" s="120"/>
      <c r="K75" s="120"/>
      <c r="L75" s="120"/>
      <c r="M75" s="120"/>
      <c r="N75" s="121"/>
      <c r="O75" s="121"/>
      <c r="P75" s="121"/>
      <c r="Q75" s="121"/>
      <c r="R75" s="121"/>
      <c r="S75" s="121"/>
      <c r="T75" s="121"/>
      <c r="U75" s="121"/>
      <c r="V75" s="121"/>
      <c r="W75" s="121"/>
      <c r="X75" s="121"/>
    </row>
    <row r="76" spans="1:24" ht="15.75" customHeight="1">
      <c r="A76" s="114"/>
      <c r="B76" s="122">
        <v>19582</v>
      </c>
      <c r="C76" s="116"/>
      <c r="D76" s="117" t="s">
        <v>101</v>
      </c>
      <c r="E76" s="118"/>
      <c r="F76" s="119" t="s">
        <v>98</v>
      </c>
      <c r="G76" s="120"/>
      <c r="H76" s="120"/>
      <c r="I76" s="120"/>
      <c r="J76" s="120"/>
      <c r="K76" s="120"/>
      <c r="L76" s="120"/>
      <c r="M76" s="120"/>
      <c r="N76" s="121"/>
      <c r="O76" s="121"/>
      <c r="P76" s="121"/>
      <c r="Q76" s="121"/>
      <c r="R76" s="121"/>
      <c r="S76" s="121"/>
      <c r="T76" s="121"/>
      <c r="U76" s="121"/>
      <c r="V76" s="121"/>
      <c r="W76" s="121"/>
      <c r="X76" s="121"/>
    </row>
    <row r="77" spans="1:24" ht="15.75" customHeight="1">
      <c r="A77" s="151" t="s">
        <v>2128</v>
      </c>
      <c r="B77" s="144">
        <v>19583</v>
      </c>
      <c r="C77" s="147" t="s">
        <v>2130</v>
      </c>
      <c r="D77" s="147" t="s">
        <v>2132</v>
      </c>
      <c r="E77" s="148" t="s">
        <v>2134</v>
      </c>
      <c r="F77" s="148" t="s">
        <v>2136</v>
      </c>
      <c r="G77" s="120"/>
      <c r="H77" s="120"/>
      <c r="I77" s="120"/>
      <c r="J77" s="120"/>
      <c r="K77" s="120"/>
      <c r="L77" s="120"/>
      <c r="M77" s="120"/>
      <c r="N77" s="121"/>
      <c r="O77" s="121"/>
      <c r="P77" s="121"/>
      <c r="Q77" s="121"/>
      <c r="R77" s="121"/>
      <c r="S77" s="121"/>
      <c r="T77" s="121"/>
      <c r="U77" s="121"/>
      <c r="V77" s="121"/>
      <c r="W77" s="121"/>
      <c r="X77" s="121"/>
    </row>
    <row r="78" spans="1:24" ht="15.75" customHeight="1">
      <c r="A78" s="114"/>
      <c r="B78" s="122">
        <v>19598</v>
      </c>
      <c r="C78" s="116"/>
      <c r="D78" s="117" t="s">
        <v>111</v>
      </c>
      <c r="E78" s="118"/>
      <c r="F78" s="119" t="s">
        <v>109</v>
      </c>
      <c r="G78" s="120"/>
      <c r="H78" s="120"/>
      <c r="I78" s="120"/>
      <c r="J78" s="120"/>
      <c r="K78" s="120"/>
      <c r="L78" s="120"/>
      <c r="M78" s="120"/>
      <c r="N78" s="121"/>
      <c r="O78" s="121"/>
      <c r="P78" s="121"/>
      <c r="Q78" s="121"/>
      <c r="R78" s="121"/>
      <c r="S78" s="121"/>
      <c r="T78" s="121"/>
      <c r="U78" s="121"/>
      <c r="V78" s="121"/>
      <c r="W78" s="121"/>
      <c r="X78" s="121"/>
    </row>
    <row r="79" spans="1:24" ht="15.75" customHeight="1">
      <c r="A79" s="151" t="s">
        <v>2030</v>
      </c>
      <c r="B79" s="144">
        <v>19602</v>
      </c>
      <c r="C79" s="147" t="s">
        <v>2149</v>
      </c>
      <c r="D79" s="147" t="s">
        <v>2151</v>
      </c>
      <c r="E79" s="148" t="s">
        <v>2153</v>
      </c>
      <c r="F79" s="148" t="s">
        <v>2156</v>
      </c>
      <c r="G79" s="120"/>
      <c r="H79" s="120"/>
      <c r="I79" s="120"/>
      <c r="J79" s="120"/>
      <c r="K79" s="120"/>
      <c r="L79" s="120"/>
      <c r="M79" s="120"/>
      <c r="N79" s="121"/>
      <c r="O79" s="121"/>
      <c r="P79" s="121"/>
      <c r="Q79" s="121"/>
      <c r="R79" s="121"/>
      <c r="S79" s="121"/>
      <c r="T79" s="121"/>
      <c r="U79" s="121"/>
      <c r="V79" s="121"/>
      <c r="W79" s="121"/>
      <c r="X79" s="121"/>
    </row>
    <row r="80" spans="1:24" ht="15.75" customHeight="1">
      <c r="A80" s="143" t="s">
        <v>2163</v>
      </c>
      <c r="B80" s="144">
        <v>19603</v>
      </c>
      <c r="C80" s="145" t="s">
        <v>2164</v>
      </c>
      <c r="D80" s="147" t="s">
        <v>2166</v>
      </c>
      <c r="E80" s="148" t="s">
        <v>2168</v>
      </c>
      <c r="F80" s="148" t="s">
        <v>2170</v>
      </c>
      <c r="G80" s="120"/>
      <c r="H80" s="120"/>
      <c r="I80" s="120"/>
      <c r="J80" s="120"/>
      <c r="K80" s="120"/>
      <c r="L80" s="120"/>
      <c r="M80" s="120"/>
      <c r="N80" s="121"/>
      <c r="O80" s="121"/>
      <c r="P80" s="121"/>
      <c r="Q80" s="121"/>
      <c r="R80" s="121"/>
      <c r="S80" s="121"/>
      <c r="T80" s="121"/>
      <c r="U80" s="121"/>
      <c r="V80" s="121"/>
      <c r="W80" s="121"/>
      <c r="X80" s="121"/>
    </row>
    <row r="81" spans="1:24" ht="15.75" customHeight="1">
      <c r="A81" s="114"/>
      <c r="B81" s="122">
        <v>19611</v>
      </c>
      <c r="C81" s="116"/>
      <c r="D81" s="117" t="s">
        <v>119</v>
      </c>
      <c r="E81" s="118"/>
      <c r="F81" s="119" t="s">
        <v>117</v>
      </c>
      <c r="G81" s="120"/>
      <c r="H81" s="120"/>
      <c r="I81" s="120"/>
      <c r="J81" s="120"/>
      <c r="K81" s="120"/>
      <c r="L81" s="120"/>
      <c r="M81" s="120"/>
      <c r="N81" s="121"/>
      <c r="O81" s="121"/>
      <c r="P81" s="121"/>
      <c r="Q81" s="121"/>
      <c r="R81" s="121"/>
      <c r="S81" s="121"/>
      <c r="T81" s="121"/>
      <c r="U81" s="121"/>
      <c r="V81" s="121"/>
      <c r="W81" s="121"/>
      <c r="X81" s="121"/>
    </row>
    <row r="82" spans="1:24" ht="30">
      <c r="A82" s="143" t="s">
        <v>2181</v>
      </c>
      <c r="B82" s="144">
        <v>19642</v>
      </c>
      <c r="C82" s="145" t="s">
        <v>1946</v>
      </c>
      <c r="D82" s="147" t="s">
        <v>2183</v>
      </c>
      <c r="E82" s="148" t="s">
        <v>2185</v>
      </c>
      <c r="F82" s="148" t="s">
        <v>2186</v>
      </c>
      <c r="G82" s="120"/>
      <c r="H82" s="120"/>
      <c r="I82" s="120"/>
      <c r="J82" s="120"/>
      <c r="K82" s="120"/>
      <c r="L82" s="120"/>
      <c r="M82" s="120"/>
      <c r="N82" s="121"/>
      <c r="O82" s="121"/>
      <c r="P82" s="121"/>
      <c r="Q82" s="121"/>
      <c r="R82" s="121"/>
      <c r="S82" s="121"/>
      <c r="T82" s="121"/>
      <c r="U82" s="121"/>
      <c r="V82" s="121"/>
      <c r="W82" s="121"/>
      <c r="X82" s="121"/>
    </row>
    <row r="83" spans="1:24" ht="15">
      <c r="A83" s="114"/>
      <c r="B83" s="122">
        <v>19644</v>
      </c>
      <c r="C83" s="116"/>
      <c r="D83" s="117" t="s">
        <v>141</v>
      </c>
      <c r="E83" s="118"/>
      <c r="F83" s="119" t="s">
        <v>139</v>
      </c>
      <c r="G83" s="120"/>
      <c r="H83" s="120"/>
      <c r="I83" s="120"/>
      <c r="J83" s="120"/>
      <c r="K83" s="120"/>
      <c r="L83" s="120"/>
      <c r="M83" s="120"/>
      <c r="N83" s="121"/>
      <c r="O83" s="121"/>
      <c r="P83" s="121"/>
      <c r="Q83" s="121"/>
      <c r="R83" s="121"/>
      <c r="S83" s="121"/>
      <c r="T83" s="121"/>
      <c r="U83" s="121"/>
      <c r="V83" s="121"/>
      <c r="W83" s="121"/>
      <c r="X83" s="121"/>
    </row>
    <row r="84" spans="1:24" ht="45">
      <c r="A84" s="151" t="s">
        <v>2015</v>
      </c>
      <c r="B84" s="144">
        <v>19646</v>
      </c>
      <c r="C84" s="147" t="s">
        <v>2193</v>
      </c>
      <c r="D84" s="147" t="s">
        <v>2194</v>
      </c>
      <c r="E84" s="146" t="s">
        <v>2196</v>
      </c>
      <c r="F84" s="148" t="s">
        <v>2199</v>
      </c>
      <c r="G84" s="120"/>
      <c r="H84" s="120"/>
      <c r="I84" s="120"/>
      <c r="J84" s="120"/>
      <c r="K84" s="120"/>
      <c r="L84" s="120"/>
      <c r="M84" s="120"/>
      <c r="N84" s="121"/>
      <c r="O84" s="121"/>
      <c r="P84" s="121"/>
      <c r="Q84" s="121"/>
      <c r="R84" s="121"/>
      <c r="S84" s="121"/>
      <c r="T84" s="121"/>
      <c r="U84" s="121"/>
      <c r="V84" s="121"/>
      <c r="W84" s="121"/>
      <c r="X84" s="121"/>
    </row>
    <row r="85" spans="1:24" ht="15">
      <c r="A85" s="114"/>
      <c r="B85" s="122">
        <v>19709</v>
      </c>
      <c r="C85" s="116"/>
      <c r="D85" s="117" t="s">
        <v>38</v>
      </c>
      <c r="E85" s="118"/>
      <c r="F85" s="119" t="s">
        <v>143</v>
      </c>
      <c r="G85" s="120"/>
      <c r="H85" s="120"/>
      <c r="I85" s="120"/>
      <c r="J85" s="120"/>
      <c r="K85" s="120"/>
      <c r="L85" s="120"/>
      <c r="M85" s="120"/>
      <c r="N85" s="121"/>
      <c r="O85" s="121"/>
      <c r="P85" s="121"/>
      <c r="Q85" s="121"/>
      <c r="R85" s="121"/>
      <c r="S85" s="121"/>
      <c r="T85" s="121"/>
      <c r="U85" s="121"/>
      <c r="V85" s="121"/>
      <c r="W85" s="121"/>
      <c r="X85" s="121"/>
    </row>
    <row r="86" spans="1:24" ht="45">
      <c r="A86" s="143" t="s">
        <v>2214</v>
      </c>
      <c r="B86" s="144">
        <v>19711</v>
      </c>
      <c r="C86" s="147" t="s">
        <v>2216</v>
      </c>
      <c r="D86" s="147" t="s">
        <v>2218</v>
      </c>
      <c r="E86" s="146" t="s">
        <v>2219</v>
      </c>
      <c r="F86" s="148" t="s">
        <v>2220</v>
      </c>
      <c r="G86" s="120"/>
      <c r="H86" s="120"/>
      <c r="I86" s="120"/>
      <c r="J86" s="120"/>
      <c r="K86" s="120"/>
      <c r="L86" s="120"/>
      <c r="M86" s="120"/>
      <c r="N86" s="121"/>
      <c r="O86" s="121"/>
      <c r="P86" s="121"/>
      <c r="Q86" s="121"/>
      <c r="R86" s="121"/>
      <c r="S86" s="121"/>
      <c r="T86" s="121"/>
      <c r="U86" s="121"/>
      <c r="V86" s="121"/>
      <c r="W86" s="121"/>
      <c r="X86" s="121"/>
    </row>
    <row r="87" spans="1:24" ht="45">
      <c r="A87" s="143" t="s">
        <v>2221</v>
      </c>
      <c r="B87" s="144">
        <v>19712</v>
      </c>
      <c r="C87" s="147" t="s">
        <v>2222</v>
      </c>
      <c r="D87" s="147" t="s">
        <v>2223</v>
      </c>
      <c r="E87" s="148" t="s">
        <v>2224</v>
      </c>
      <c r="F87" s="148" t="s">
        <v>2225</v>
      </c>
      <c r="G87" s="120"/>
      <c r="H87" s="120"/>
      <c r="I87" s="120"/>
      <c r="J87" s="120"/>
      <c r="K87" s="120"/>
      <c r="L87" s="120"/>
      <c r="M87" s="120"/>
      <c r="N87" s="121"/>
      <c r="O87" s="121"/>
      <c r="P87" s="121"/>
      <c r="Q87" s="121"/>
      <c r="R87" s="121"/>
      <c r="S87" s="121"/>
      <c r="T87" s="121"/>
      <c r="U87" s="121"/>
      <c r="V87" s="121"/>
      <c r="W87" s="121"/>
      <c r="X87" s="121"/>
    </row>
    <row r="88" spans="1:24" ht="45">
      <c r="A88" s="143" t="s">
        <v>2227</v>
      </c>
      <c r="B88" s="144">
        <v>19714</v>
      </c>
      <c r="C88" s="147" t="s">
        <v>2228</v>
      </c>
      <c r="D88" s="147" t="s">
        <v>2229</v>
      </c>
      <c r="E88" s="148" t="s">
        <v>2230</v>
      </c>
      <c r="F88" s="148" t="s">
        <v>2231</v>
      </c>
      <c r="G88" s="120"/>
      <c r="H88" s="120"/>
      <c r="I88" s="120"/>
      <c r="J88" s="120"/>
      <c r="K88" s="120"/>
      <c r="L88" s="120"/>
      <c r="M88" s="120"/>
      <c r="N88" s="121"/>
      <c r="O88" s="121"/>
      <c r="P88" s="121"/>
      <c r="Q88" s="121"/>
      <c r="R88" s="121"/>
      <c r="S88" s="121"/>
      <c r="T88" s="121"/>
      <c r="U88" s="121"/>
      <c r="V88" s="121"/>
      <c r="W88" s="121"/>
      <c r="X88" s="121"/>
    </row>
    <row r="89" spans="1:24" ht="45">
      <c r="A89" s="143" t="s">
        <v>2227</v>
      </c>
      <c r="B89" s="144">
        <v>19714</v>
      </c>
      <c r="C89" s="147" t="s">
        <v>2238</v>
      </c>
      <c r="D89" s="147" t="s">
        <v>2239</v>
      </c>
      <c r="E89" s="148" t="s">
        <v>2240</v>
      </c>
      <c r="F89" s="148" t="s">
        <v>2242</v>
      </c>
      <c r="G89" s="120"/>
      <c r="H89" s="120"/>
      <c r="I89" s="120"/>
      <c r="J89" s="120"/>
      <c r="K89" s="120"/>
      <c r="L89" s="120"/>
      <c r="M89" s="120"/>
      <c r="N89" s="121"/>
      <c r="O89" s="121"/>
      <c r="P89" s="121"/>
      <c r="Q89" s="121"/>
      <c r="R89" s="121"/>
      <c r="S89" s="121"/>
      <c r="T89" s="121"/>
      <c r="U89" s="121"/>
      <c r="V89" s="121"/>
      <c r="W89" s="121"/>
      <c r="X89" s="121"/>
    </row>
    <row r="90" spans="1:24" ht="60">
      <c r="A90" s="143" t="s">
        <v>2248</v>
      </c>
      <c r="B90" s="144">
        <v>19717</v>
      </c>
      <c r="C90" s="147" t="s">
        <v>2251</v>
      </c>
      <c r="D90" s="147" t="s">
        <v>2253</v>
      </c>
      <c r="E90" s="148" t="s">
        <v>2254</v>
      </c>
      <c r="F90" s="148" t="s">
        <v>2255</v>
      </c>
      <c r="G90" s="120"/>
      <c r="H90" s="120"/>
      <c r="I90" s="120"/>
      <c r="J90" s="120"/>
      <c r="K90" s="120"/>
      <c r="L90" s="120"/>
      <c r="M90" s="120"/>
      <c r="N90" s="121"/>
      <c r="O90" s="121"/>
      <c r="P90" s="121"/>
      <c r="Q90" s="121"/>
      <c r="R90" s="121"/>
      <c r="S90" s="121"/>
      <c r="T90" s="121"/>
      <c r="U90" s="121"/>
      <c r="V90" s="121"/>
      <c r="W90" s="121"/>
      <c r="X90" s="121"/>
    </row>
    <row r="91" spans="1:24" ht="15">
      <c r="A91" s="114"/>
      <c r="B91" s="122">
        <v>19727</v>
      </c>
      <c r="C91" s="116"/>
      <c r="D91" s="117" t="s">
        <v>148</v>
      </c>
      <c r="E91" s="118"/>
      <c r="F91" s="119" t="s">
        <v>146</v>
      </c>
      <c r="G91" s="120"/>
      <c r="H91" s="120"/>
      <c r="I91" s="120"/>
      <c r="J91" s="120"/>
      <c r="K91" s="120"/>
      <c r="L91" s="120"/>
      <c r="M91" s="120"/>
      <c r="N91" s="121"/>
      <c r="O91" s="121"/>
      <c r="P91" s="121"/>
      <c r="Q91" s="121"/>
      <c r="R91" s="121"/>
      <c r="S91" s="121"/>
      <c r="T91" s="121"/>
      <c r="U91" s="121"/>
      <c r="V91" s="121"/>
      <c r="W91" s="121"/>
      <c r="X91" s="121"/>
    </row>
    <row r="92" spans="1:24" ht="15">
      <c r="A92" s="114"/>
      <c r="B92" s="122">
        <v>19736</v>
      </c>
      <c r="C92" s="116"/>
      <c r="D92" s="117" t="s">
        <v>703</v>
      </c>
      <c r="E92" s="118"/>
      <c r="F92" s="119" t="s">
        <v>701</v>
      </c>
      <c r="G92" s="120"/>
      <c r="H92" s="120"/>
      <c r="I92" s="120"/>
      <c r="J92" s="120"/>
      <c r="K92" s="120"/>
      <c r="L92" s="120"/>
      <c r="M92" s="120"/>
      <c r="N92" s="121"/>
      <c r="O92" s="121"/>
      <c r="P92" s="121"/>
      <c r="Q92" s="121"/>
      <c r="R92" s="121"/>
      <c r="S92" s="121"/>
      <c r="T92" s="121"/>
      <c r="U92" s="121"/>
      <c r="V92" s="121"/>
      <c r="W92" s="121"/>
      <c r="X92" s="121"/>
    </row>
    <row r="93" spans="1:24" ht="15">
      <c r="A93" s="114"/>
      <c r="B93" s="122">
        <v>19751</v>
      </c>
      <c r="C93" s="116"/>
      <c r="D93" s="117" t="s">
        <v>709</v>
      </c>
      <c r="E93" s="118"/>
      <c r="F93" s="119" t="s">
        <v>708</v>
      </c>
      <c r="G93" s="120"/>
      <c r="H93" s="120"/>
      <c r="I93" s="120"/>
      <c r="J93" s="120"/>
      <c r="K93" s="120"/>
      <c r="L93" s="120"/>
      <c r="M93" s="120"/>
      <c r="N93" s="121"/>
      <c r="O93" s="121"/>
      <c r="P93" s="121"/>
      <c r="Q93" s="121"/>
      <c r="R93" s="121"/>
      <c r="S93" s="121"/>
      <c r="T93" s="121"/>
      <c r="U93" s="121"/>
      <c r="V93" s="121"/>
      <c r="W93" s="121"/>
      <c r="X93" s="121"/>
    </row>
    <row r="94" spans="1:24" ht="16">
      <c r="A94" s="143" t="s">
        <v>2279</v>
      </c>
      <c r="B94" s="144">
        <v>19756</v>
      </c>
      <c r="C94" s="145" t="s">
        <v>815</v>
      </c>
      <c r="D94" s="145" t="s">
        <v>2281</v>
      </c>
      <c r="E94" s="146" t="s">
        <v>2283</v>
      </c>
      <c r="F94" s="146" t="s">
        <v>2285</v>
      </c>
      <c r="G94" s="120"/>
      <c r="H94" s="120"/>
      <c r="I94" s="120"/>
      <c r="J94" s="120"/>
      <c r="K94" s="120"/>
      <c r="L94" s="120"/>
      <c r="M94" s="120"/>
      <c r="N94" s="121"/>
      <c r="O94" s="121"/>
      <c r="P94" s="121"/>
      <c r="Q94" s="121"/>
      <c r="R94" s="121"/>
      <c r="S94" s="121"/>
      <c r="T94" s="121"/>
      <c r="U94" s="121"/>
      <c r="V94" s="121"/>
      <c r="W94" s="121"/>
      <c r="X94" s="121"/>
    </row>
    <row r="95" spans="1:24" ht="15">
      <c r="A95" s="114"/>
      <c r="B95" s="122">
        <v>19759</v>
      </c>
      <c r="C95" s="116"/>
      <c r="D95" s="117" t="s">
        <v>152</v>
      </c>
      <c r="E95" s="118"/>
      <c r="F95" s="119" t="s">
        <v>150</v>
      </c>
      <c r="G95" s="120"/>
      <c r="H95" s="120"/>
      <c r="I95" s="120"/>
      <c r="J95" s="120"/>
      <c r="K95" s="120"/>
      <c r="L95" s="120"/>
      <c r="M95" s="120"/>
      <c r="N95" s="121"/>
      <c r="O95" s="121"/>
      <c r="P95" s="121"/>
      <c r="Q95" s="121"/>
      <c r="R95" s="121"/>
      <c r="S95" s="121"/>
      <c r="T95" s="121"/>
      <c r="U95" s="121"/>
      <c r="V95" s="121"/>
      <c r="W95" s="121"/>
      <c r="X95" s="121"/>
    </row>
    <row r="96" spans="1:24" ht="15">
      <c r="A96" s="114"/>
      <c r="B96" s="122">
        <v>19760</v>
      </c>
      <c r="C96" s="116"/>
      <c r="D96" s="117" t="s">
        <v>542</v>
      </c>
      <c r="E96" s="118"/>
      <c r="F96" s="119" t="s">
        <v>713</v>
      </c>
      <c r="G96" s="120"/>
      <c r="H96" s="120"/>
      <c r="I96" s="120"/>
      <c r="J96" s="120"/>
      <c r="K96" s="120"/>
      <c r="L96" s="120"/>
      <c r="M96" s="120"/>
      <c r="N96" s="121"/>
      <c r="O96" s="121"/>
      <c r="P96" s="121"/>
      <c r="Q96" s="121"/>
      <c r="R96" s="121"/>
      <c r="S96" s="121"/>
      <c r="T96" s="121"/>
      <c r="U96" s="121"/>
      <c r="V96" s="121"/>
      <c r="W96" s="121"/>
      <c r="X96" s="121"/>
    </row>
    <row r="97" spans="1:24" ht="15">
      <c r="A97" s="114"/>
      <c r="B97" s="122">
        <v>19762</v>
      </c>
      <c r="C97" s="116"/>
      <c r="D97" s="117" t="s">
        <v>716</v>
      </c>
      <c r="E97" s="118"/>
      <c r="F97" s="119" t="s">
        <v>715</v>
      </c>
      <c r="G97" s="120"/>
      <c r="H97" s="120"/>
      <c r="I97" s="120"/>
      <c r="J97" s="120"/>
      <c r="K97" s="120"/>
      <c r="L97" s="120"/>
      <c r="M97" s="120"/>
      <c r="N97" s="121"/>
      <c r="O97" s="121"/>
      <c r="P97" s="121"/>
      <c r="Q97" s="121"/>
      <c r="R97" s="121"/>
      <c r="S97" s="121"/>
      <c r="T97" s="121"/>
      <c r="U97" s="121"/>
      <c r="V97" s="121"/>
      <c r="W97" s="121"/>
      <c r="X97" s="121"/>
    </row>
    <row r="98" spans="1:24" ht="15">
      <c r="A98" s="114"/>
      <c r="B98" s="122">
        <v>19770</v>
      </c>
      <c r="C98" s="116"/>
      <c r="D98" s="117" t="s">
        <v>709</v>
      </c>
      <c r="E98" s="118"/>
      <c r="F98" s="119" t="s">
        <v>717</v>
      </c>
      <c r="G98" s="120"/>
      <c r="H98" s="120"/>
      <c r="I98" s="120"/>
      <c r="J98" s="120"/>
      <c r="K98" s="120"/>
      <c r="L98" s="120"/>
      <c r="M98" s="120"/>
      <c r="N98" s="121"/>
      <c r="O98" s="121"/>
      <c r="P98" s="121"/>
      <c r="Q98" s="121"/>
      <c r="R98" s="121"/>
      <c r="S98" s="121"/>
      <c r="T98" s="121"/>
      <c r="U98" s="121"/>
      <c r="V98" s="121"/>
      <c r="W98" s="121"/>
      <c r="X98" s="121"/>
    </row>
    <row r="99" spans="1:24" ht="15">
      <c r="A99" s="114"/>
      <c r="B99" s="122">
        <v>19790</v>
      </c>
      <c r="C99" s="116"/>
      <c r="D99" s="117" t="s">
        <v>721</v>
      </c>
      <c r="E99" s="118"/>
      <c r="F99" s="119" t="s">
        <v>720</v>
      </c>
      <c r="G99" s="120"/>
      <c r="H99" s="120"/>
      <c r="I99" s="120"/>
      <c r="J99" s="120"/>
      <c r="K99" s="120"/>
      <c r="L99" s="120"/>
      <c r="M99" s="120"/>
      <c r="N99" s="121"/>
      <c r="O99" s="121"/>
      <c r="P99" s="121"/>
      <c r="Q99" s="121"/>
      <c r="R99" s="121"/>
      <c r="S99" s="121"/>
      <c r="T99" s="121"/>
      <c r="U99" s="121"/>
      <c r="V99" s="121"/>
      <c r="W99" s="121"/>
      <c r="X99" s="121"/>
    </row>
    <row r="100" spans="1:24" ht="15">
      <c r="A100" s="114"/>
      <c r="B100" s="122">
        <v>19800</v>
      </c>
      <c r="C100" s="116"/>
      <c r="D100" s="126" t="s">
        <v>810</v>
      </c>
      <c r="E100" s="118"/>
      <c r="F100" s="119" t="s">
        <v>157</v>
      </c>
      <c r="G100" s="120"/>
      <c r="H100" s="120"/>
      <c r="I100" s="120"/>
      <c r="J100" s="120"/>
      <c r="K100" s="120"/>
      <c r="L100" s="120"/>
      <c r="M100" s="120"/>
      <c r="N100" s="121"/>
      <c r="O100" s="121"/>
      <c r="P100" s="121"/>
      <c r="Q100" s="121"/>
      <c r="R100" s="121"/>
      <c r="S100" s="121"/>
      <c r="T100" s="121"/>
      <c r="U100" s="121"/>
      <c r="V100" s="121"/>
      <c r="W100" s="121"/>
      <c r="X100" s="121"/>
    </row>
    <row r="101" spans="1:24" ht="15">
      <c r="A101" s="114"/>
      <c r="B101" s="122">
        <v>19802</v>
      </c>
      <c r="C101" s="116"/>
      <c r="D101" s="126" t="s">
        <v>447</v>
      </c>
      <c r="E101" s="118"/>
      <c r="F101" s="119" t="s">
        <v>738</v>
      </c>
      <c r="G101" s="120"/>
      <c r="H101" s="120"/>
      <c r="I101" s="120"/>
      <c r="J101" s="120"/>
      <c r="K101" s="120"/>
      <c r="L101" s="120"/>
      <c r="M101" s="120"/>
      <c r="N101" s="121"/>
      <c r="O101" s="121"/>
      <c r="P101" s="121"/>
      <c r="Q101" s="121"/>
      <c r="R101" s="121"/>
      <c r="S101" s="121"/>
      <c r="T101" s="121"/>
      <c r="U101" s="121"/>
      <c r="V101" s="121"/>
      <c r="W101" s="121"/>
      <c r="X101" s="121"/>
    </row>
    <row r="102" spans="1:24" ht="15">
      <c r="A102" s="114"/>
      <c r="B102" s="122">
        <v>19804</v>
      </c>
      <c r="C102" s="116"/>
      <c r="D102" s="117" t="s">
        <v>539</v>
      </c>
      <c r="E102" s="118"/>
      <c r="F102" s="119" t="s">
        <v>740</v>
      </c>
      <c r="G102" s="120"/>
      <c r="H102" s="120"/>
      <c r="I102" s="120"/>
      <c r="J102" s="120"/>
      <c r="K102" s="120"/>
      <c r="L102" s="120"/>
      <c r="M102" s="120"/>
      <c r="N102" s="121"/>
      <c r="O102" s="121"/>
      <c r="P102" s="121"/>
      <c r="Q102" s="121"/>
      <c r="R102" s="121"/>
      <c r="S102" s="121"/>
      <c r="T102" s="121"/>
      <c r="U102" s="121"/>
      <c r="V102" s="121"/>
      <c r="W102" s="121"/>
      <c r="X102" s="121"/>
    </row>
    <row r="103" spans="1:24" ht="15">
      <c r="A103" s="114"/>
      <c r="B103" s="122">
        <v>19808</v>
      </c>
      <c r="C103" s="116"/>
      <c r="D103" s="126" t="s">
        <v>815</v>
      </c>
      <c r="E103" s="118"/>
      <c r="F103" s="119" t="s">
        <v>174</v>
      </c>
      <c r="G103" s="120"/>
      <c r="H103" s="120"/>
      <c r="I103" s="120"/>
      <c r="J103" s="120"/>
      <c r="K103" s="120"/>
      <c r="L103" s="120"/>
      <c r="M103" s="120"/>
      <c r="N103" s="121"/>
      <c r="O103" s="121"/>
      <c r="P103" s="121"/>
      <c r="Q103" s="121"/>
      <c r="R103" s="121"/>
      <c r="S103" s="121"/>
      <c r="T103" s="121"/>
      <c r="U103" s="121"/>
      <c r="V103" s="121"/>
      <c r="W103" s="121"/>
      <c r="X103" s="121"/>
    </row>
    <row r="104" spans="1:24" ht="15">
      <c r="A104" s="114"/>
      <c r="B104" s="122">
        <v>19809</v>
      </c>
      <c r="C104" s="116"/>
      <c r="D104" s="117" t="s">
        <v>747</v>
      </c>
      <c r="E104" s="118"/>
      <c r="F104" s="119" t="s">
        <v>746</v>
      </c>
      <c r="G104" s="120"/>
      <c r="H104" s="120"/>
      <c r="I104" s="120"/>
      <c r="J104" s="120"/>
      <c r="K104" s="120"/>
      <c r="L104" s="120"/>
      <c r="M104" s="120"/>
      <c r="N104" s="121"/>
      <c r="O104" s="121"/>
      <c r="P104" s="121"/>
      <c r="Q104" s="121"/>
      <c r="R104" s="121"/>
      <c r="S104" s="121"/>
      <c r="T104" s="121"/>
      <c r="U104" s="121"/>
      <c r="V104" s="121"/>
      <c r="W104" s="121"/>
      <c r="X104" s="121"/>
    </row>
    <row r="105" spans="1:24" ht="15">
      <c r="A105" s="114"/>
      <c r="B105" s="122">
        <v>19810</v>
      </c>
      <c r="C105" s="116"/>
      <c r="D105" s="126" t="s">
        <v>195</v>
      </c>
      <c r="E105" s="118"/>
      <c r="F105" s="119" t="s">
        <v>192</v>
      </c>
      <c r="G105" s="120"/>
      <c r="H105" s="120"/>
      <c r="I105" s="120"/>
      <c r="J105" s="120"/>
      <c r="K105" s="120"/>
      <c r="L105" s="120"/>
      <c r="M105" s="120"/>
      <c r="N105" s="121"/>
      <c r="O105" s="121"/>
      <c r="P105" s="121"/>
      <c r="Q105" s="121"/>
      <c r="R105" s="121"/>
      <c r="S105" s="121"/>
      <c r="T105" s="121"/>
      <c r="U105" s="121"/>
      <c r="V105" s="121"/>
      <c r="W105" s="121"/>
      <c r="X105" s="121"/>
    </row>
    <row r="106" spans="1:24" ht="45">
      <c r="A106" s="143" t="s">
        <v>2359</v>
      </c>
      <c r="B106" s="144">
        <v>19811</v>
      </c>
      <c r="C106" s="147" t="s">
        <v>2360</v>
      </c>
      <c r="D106" s="147" t="s">
        <v>2361</v>
      </c>
      <c r="E106" s="148" t="s">
        <v>2362</v>
      </c>
      <c r="F106" s="148" t="s">
        <v>2363</v>
      </c>
      <c r="G106" s="120"/>
      <c r="H106" s="120"/>
      <c r="I106" s="120"/>
      <c r="J106" s="120"/>
      <c r="K106" s="120"/>
      <c r="L106" s="120"/>
      <c r="M106" s="120"/>
      <c r="N106" s="121"/>
      <c r="O106" s="121"/>
      <c r="P106" s="121"/>
      <c r="Q106" s="121"/>
      <c r="R106" s="121"/>
      <c r="S106" s="121"/>
      <c r="T106" s="121"/>
      <c r="U106" s="121"/>
      <c r="V106" s="121"/>
      <c r="W106" s="121"/>
      <c r="X106" s="121"/>
    </row>
    <row r="107" spans="1:24" ht="45">
      <c r="A107" s="143" t="s">
        <v>2368</v>
      </c>
      <c r="B107" s="144">
        <v>19816</v>
      </c>
      <c r="C107" s="147" t="s">
        <v>2370</v>
      </c>
      <c r="D107" s="147" t="s">
        <v>2371</v>
      </c>
      <c r="E107" s="146" t="s">
        <v>2373</v>
      </c>
      <c r="F107" s="148" t="s">
        <v>2374</v>
      </c>
      <c r="G107" s="120"/>
      <c r="H107" s="120"/>
      <c r="I107" s="120"/>
      <c r="J107" s="120"/>
      <c r="K107" s="120"/>
      <c r="L107" s="120"/>
      <c r="M107" s="120"/>
      <c r="N107" s="121"/>
      <c r="O107" s="121"/>
      <c r="P107" s="121"/>
      <c r="Q107" s="121"/>
      <c r="R107" s="121"/>
      <c r="S107" s="121"/>
      <c r="T107" s="121"/>
      <c r="U107" s="121"/>
      <c r="V107" s="121"/>
      <c r="W107" s="121"/>
      <c r="X107" s="121"/>
    </row>
    <row r="108" spans="1:24" ht="15">
      <c r="A108" s="114"/>
      <c r="B108" s="122">
        <v>19828</v>
      </c>
      <c r="C108" s="116"/>
      <c r="D108" s="117" t="s">
        <v>575</v>
      </c>
      <c r="E108" s="118"/>
      <c r="F108" s="119" t="s">
        <v>757</v>
      </c>
      <c r="G108" s="120"/>
      <c r="H108" s="120"/>
      <c r="I108" s="120"/>
      <c r="J108" s="120"/>
      <c r="K108" s="120"/>
      <c r="L108" s="120"/>
      <c r="M108" s="120"/>
      <c r="N108" s="121"/>
      <c r="O108" s="121"/>
      <c r="P108" s="121"/>
      <c r="Q108" s="121"/>
      <c r="R108" s="121"/>
      <c r="S108" s="121"/>
      <c r="T108" s="121"/>
      <c r="U108" s="121"/>
      <c r="V108" s="121"/>
      <c r="W108" s="121"/>
      <c r="X108" s="121"/>
    </row>
    <row r="109" spans="1:24" ht="15">
      <c r="A109" s="114"/>
      <c r="B109" s="122">
        <v>19849</v>
      </c>
      <c r="C109" s="116"/>
      <c r="D109" s="117" t="s">
        <v>760</v>
      </c>
      <c r="E109" s="118"/>
      <c r="F109" s="119" t="s">
        <v>759</v>
      </c>
      <c r="G109" s="120"/>
      <c r="H109" s="120"/>
      <c r="I109" s="120"/>
      <c r="J109" s="120"/>
      <c r="K109" s="120"/>
      <c r="L109" s="120"/>
      <c r="M109" s="120"/>
      <c r="N109" s="121"/>
      <c r="O109" s="121"/>
      <c r="P109" s="121"/>
      <c r="Q109" s="121"/>
      <c r="R109" s="121"/>
      <c r="S109" s="121"/>
      <c r="T109" s="121"/>
      <c r="U109" s="121"/>
      <c r="V109" s="121"/>
      <c r="W109" s="121"/>
      <c r="X109" s="121"/>
    </row>
    <row r="110" spans="1:24" ht="15">
      <c r="A110" s="114"/>
      <c r="B110" s="122">
        <v>19851</v>
      </c>
      <c r="C110" s="116"/>
      <c r="D110" s="117" t="s">
        <v>32</v>
      </c>
      <c r="E110" s="118"/>
      <c r="F110" s="119" t="s">
        <v>762</v>
      </c>
      <c r="G110" s="120"/>
      <c r="H110" s="120"/>
      <c r="I110" s="120"/>
      <c r="J110" s="120"/>
      <c r="K110" s="120"/>
      <c r="L110" s="120"/>
      <c r="M110" s="120"/>
      <c r="N110" s="121"/>
      <c r="O110" s="121"/>
      <c r="P110" s="121"/>
      <c r="Q110" s="121"/>
      <c r="R110" s="121"/>
      <c r="S110" s="121"/>
      <c r="T110" s="121"/>
      <c r="U110" s="121"/>
      <c r="V110" s="121"/>
      <c r="W110" s="121"/>
      <c r="X110" s="121"/>
    </row>
    <row r="111" spans="1:24" ht="15">
      <c r="A111" s="114"/>
      <c r="B111" s="122">
        <v>19853</v>
      </c>
      <c r="C111" s="116"/>
      <c r="D111" s="117" t="s">
        <v>210</v>
      </c>
      <c r="E111" s="118"/>
      <c r="F111" s="119" t="s">
        <v>219</v>
      </c>
      <c r="G111" s="120"/>
      <c r="H111" s="120"/>
      <c r="I111" s="120"/>
      <c r="J111" s="120"/>
      <c r="K111" s="120"/>
      <c r="L111" s="120"/>
      <c r="M111" s="120"/>
      <c r="N111" s="121"/>
      <c r="O111" s="121"/>
      <c r="P111" s="121"/>
      <c r="Q111" s="121"/>
      <c r="R111" s="121"/>
      <c r="S111" s="121"/>
      <c r="T111" s="121"/>
      <c r="U111" s="121"/>
      <c r="V111" s="121"/>
      <c r="W111" s="121"/>
      <c r="X111" s="121"/>
    </row>
    <row r="112" spans="1:24" ht="15">
      <c r="A112" s="114"/>
      <c r="B112" s="122">
        <v>19854</v>
      </c>
      <c r="C112" s="116"/>
      <c r="D112" s="117" t="s">
        <v>766</v>
      </c>
      <c r="E112" s="118"/>
      <c r="F112" s="119" t="s">
        <v>765</v>
      </c>
      <c r="G112" s="120"/>
      <c r="H112" s="120"/>
      <c r="I112" s="120"/>
      <c r="J112" s="120"/>
      <c r="K112" s="120"/>
      <c r="L112" s="120"/>
      <c r="M112" s="120"/>
      <c r="N112" s="121"/>
      <c r="O112" s="121"/>
      <c r="P112" s="121"/>
      <c r="Q112" s="121"/>
      <c r="R112" s="121"/>
      <c r="S112" s="121"/>
      <c r="T112" s="121"/>
      <c r="U112" s="121"/>
      <c r="V112" s="121"/>
      <c r="W112" s="121"/>
      <c r="X112" s="121"/>
    </row>
    <row r="113" spans="1:24" ht="15">
      <c r="A113" s="159">
        <v>19875</v>
      </c>
      <c r="B113" s="144">
        <v>19875</v>
      </c>
      <c r="C113" s="145" t="s">
        <v>2167</v>
      </c>
      <c r="D113" s="145" t="s">
        <v>2172</v>
      </c>
      <c r="E113" s="145" t="s">
        <v>2172</v>
      </c>
      <c r="F113" s="147" t="s">
        <v>2433</v>
      </c>
      <c r="G113" s="120"/>
      <c r="H113" s="120"/>
      <c r="I113" s="120"/>
      <c r="J113" s="120"/>
      <c r="K113" s="120"/>
      <c r="L113" s="120"/>
      <c r="M113" s="120"/>
      <c r="N113" s="121"/>
      <c r="O113" s="121"/>
      <c r="P113" s="121"/>
      <c r="Q113" s="121"/>
      <c r="R113" s="121"/>
      <c r="S113" s="121"/>
      <c r="T113" s="121"/>
      <c r="U113" s="121"/>
      <c r="V113" s="121"/>
      <c r="W113" s="121"/>
      <c r="X113" s="121"/>
    </row>
    <row r="114" spans="1:24" ht="15">
      <c r="A114" s="114"/>
      <c r="B114" s="122">
        <v>19881</v>
      </c>
      <c r="C114" s="116"/>
      <c r="D114" s="126" t="s">
        <v>838</v>
      </c>
      <c r="E114" s="118"/>
      <c r="F114" s="119" t="s">
        <v>768</v>
      </c>
      <c r="G114" s="120"/>
      <c r="H114" s="120"/>
      <c r="I114" s="120"/>
      <c r="J114" s="120"/>
      <c r="K114" s="120"/>
      <c r="L114" s="120"/>
      <c r="M114" s="120"/>
      <c r="N114" s="121"/>
      <c r="O114" s="121"/>
      <c r="P114" s="121"/>
      <c r="Q114" s="121"/>
      <c r="R114" s="121"/>
      <c r="S114" s="121"/>
      <c r="T114" s="121"/>
      <c r="U114" s="121"/>
      <c r="V114" s="121"/>
      <c r="W114" s="121"/>
      <c r="X114" s="121"/>
    </row>
    <row r="115" spans="1:24" ht="15">
      <c r="A115" s="114"/>
      <c r="B115" s="122">
        <v>19894</v>
      </c>
      <c r="C115" s="116"/>
      <c r="D115" s="117" t="s">
        <v>119</v>
      </c>
      <c r="E115" s="118"/>
      <c r="F115" s="119" t="s">
        <v>773</v>
      </c>
      <c r="G115" s="120"/>
      <c r="H115" s="120"/>
      <c r="I115" s="120"/>
      <c r="J115" s="120"/>
      <c r="K115" s="120"/>
      <c r="L115" s="120"/>
      <c r="M115" s="120"/>
      <c r="N115" s="121"/>
      <c r="O115" s="121"/>
      <c r="P115" s="121"/>
      <c r="Q115" s="121"/>
      <c r="R115" s="121"/>
      <c r="S115" s="121"/>
      <c r="T115" s="121"/>
      <c r="U115" s="121"/>
      <c r="V115" s="121"/>
      <c r="W115" s="121"/>
      <c r="X115" s="121"/>
    </row>
    <row r="116" spans="1:24" ht="15">
      <c r="A116" s="114"/>
      <c r="B116" s="122">
        <v>19894</v>
      </c>
      <c r="C116" s="116"/>
      <c r="D116" s="117" t="s">
        <v>539</v>
      </c>
      <c r="E116" s="118"/>
      <c r="F116" s="119" t="s">
        <v>776</v>
      </c>
      <c r="G116" s="120"/>
      <c r="H116" s="120"/>
      <c r="I116" s="120"/>
      <c r="J116" s="120"/>
      <c r="K116" s="120"/>
      <c r="L116" s="120"/>
      <c r="M116" s="120"/>
      <c r="N116" s="121"/>
      <c r="O116" s="121"/>
      <c r="P116" s="121"/>
      <c r="Q116" s="121"/>
      <c r="R116" s="121"/>
      <c r="S116" s="121"/>
      <c r="T116" s="121"/>
      <c r="U116" s="121"/>
      <c r="V116" s="121"/>
      <c r="W116" s="121"/>
      <c r="X116" s="121"/>
    </row>
    <row r="117" spans="1:24" ht="15">
      <c r="A117" s="114"/>
      <c r="B117" s="122">
        <v>19899</v>
      </c>
      <c r="C117" s="116"/>
      <c r="D117" s="126" t="s">
        <v>16</v>
      </c>
      <c r="E117" s="118"/>
      <c r="F117" s="119" t="s">
        <v>779</v>
      </c>
      <c r="G117" s="120"/>
      <c r="H117" s="120"/>
      <c r="I117" s="120"/>
      <c r="J117" s="120"/>
      <c r="K117" s="120"/>
      <c r="L117" s="120"/>
      <c r="M117" s="120"/>
      <c r="N117" s="121"/>
      <c r="O117" s="121"/>
      <c r="P117" s="121"/>
      <c r="Q117" s="121"/>
      <c r="R117" s="121"/>
      <c r="S117" s="121"/>
      <c r="T117" s="121"/>
      <c r="U117" s="121"/>
      <c r="V117" s="121"/>
      <c r="W117" s="121"/>
      <c r="X117" s="121"/>
    </row>
    <row r="118" spans="1:24" ht="15">
      <c r="A118" s="114"/>
      <c r="B118" s="122">
        <v>19901</v>
      </c>
      <c r="C118" s="116"/>
      <c r="D118" s="117" t="s">
        <v>215</v>
      </c>
      <c r="E118" s="118"/>
      <c r="F118" s="119" t="s">
        <v>225</v>
      </c>
      <c r="G118" s="120"/>
      <c r="H118" s="120"/>
      <c r="I118" s="120"/>
      <c r="J118" s="120"/>
      <c r="K118" s="120"/>
      <c r="L118" s="120"/>
      <c r="M118" s="120"/>
      <c r="N118" s="121"/>
      <c r="O118" s="121"/>
      <c r="P118" s="121"/>
      <c r="Q118" s="121"/>
      <c r="R118" s="121"/>
      <c r="S118" s="121"/>
      <c r="T118" s="121"/>
      <c r="U118" s="121"/>
      <c r="V118" s="121"/>
      <c r="W118" s="121"/>
      <c r="X118" s="121"/>
    </row>
    <row r="119" spans="1:24" ht="15">
      <c r="A119" s="114"/>
      <c r="B119" s="122">
        <v>19902</v>
      </c>
      <c r="C119" s="116"/>
      <c r="D119" s="126" t="s">
        <v>848</v>
      </c>
      <c r="E119" s="118"/>
      <c r="F119" s="119" t="s">
        <v>784</v>
      </c>
      <c r="G119" s="120"/>
      <c r="H119" s="120"/>
      <c r="I119" s="120"/>
      <c r="J119" s="120"/>
      <c r="K119" s="120"/>
      <c r="L119" s="120"/>
      <c r="M119" s="120"/>
      <c r="N119" s="121"/>
      <c r="O119" s="121"/>
      <c r="P119" s="121"/>
      <c r="Q119" s="121"/>
      <c r="R119" s="121"/>
      <c r="S119" s="121"/>
      <c r="T119" s="121"/>
      <c r="U119" s="121"/>
      <c r="V119" s="121"/>
      <c r="W119" s="121"/>
      <c r="X119" s="121"/>
    </row>
    <row r="120" spans="1:24" ht="45">
      <c r="A120" s="143" t="s">
        <v>2492</v>
      </c>
      <c r="B120" s="144">
        <v>19904</v>
      </c>
      <c r="C120" s="147" t="s">
        <v>2494</v>
      </c>
      <c r="D120" s="147" t="s">
        <v>2495</v>
      </c>
      <c r="E120" s="146" t="s">
        <v>2497</v>
      </c>
      <c r="F120" s="148" t="s">
        <v>2498</v>
      </c>
      <c r="G120" s="120"/>
      <c r="H120" s="120"/>
      <c r="I120" s="120"/>
      <c r="J120" s="120"/>
      <c r="K120" s="120"/>
      <c r="L120" s="120"/>
      <c r="M120" s="120"/>
      <c r="N120" s="121"/>
      <c r="O120" s="121"/>
      <c r="P120" s="121"/>
      <c r="Q120" s="121"/>
      <c r="R120" s="121"/>
      <c r="S120" s="121"/>
      <c r="T120" s="121"/>
      <c r="U120" s="121"/>
      <c r="V120" s="121"/>
      <c r="W120" s="121"/>
      <c r="X120" s="121"/>
    </row>
    <row r="121" spans="1:24" ht="15">
      <c r="A121" s="114"/>
      <c r="B121" s="122">
        <v>19905</v>
      </c>
      <c r="C121" s="116"/>
      <c r="D121" s="117" t="s">
        <v>788</v>
      </c>
      <c r="E121" s="118"/>
      <c r="F121" s="119" t="s">
        <v>787</v>
      </c>
      <c r="G121" s="120"/>
      <c r="H121" s="120"/>
      <c r="I121" s="120"/>
      <c r="J121" s="120"/>
      <c r="K121" s="120"/>
      <c r="L121" s="120"/>
      <c r="M121" s="120"/>
      <c r="N121" s="121"/>
      <c r="O121" s="121"/>
      <c r="P121" s="121"/>
      <c r="Q121" s="121"/>
      <c r="R121" s="121"/>
      <c r="S121" s="121"/>
      <c r="T121" s="121"/>
      <c r="U121" s="121"/>
      <c r="V121" s="121"/>
      <c r="W121" s="121"/>
      <c r="X121" s="121"/>
    </row>
    <row r="122" spans="1:24" ht="15">
      <c r="A122" s="114"/>
      <c r="B122" s="122">
        <v>19905</v>
      </c>
      <c r="C122" s="116"/>
      <c r="D122" s="117" t="s">
        <v>793</v>
      </c>
      <c r="E122" s="118"/>
      <c r="F122" s="119" t="s">
        <v>792</v>
      </c>
      <c r="G122" s="120"/>
      <c r="H122" s="120"/>
      <c r="I122" s="120"/>
      <c r="J122" s="120"/>
      <c r="K122" s="120"/>
      <c r="L122" s="120"/>
      <c r="M122" s="120"/>
      <c r="N122" s="121"/>
      <c r="O122" s="121"/>
      <c r="P122" s="121"/>
      <c r="Q122" s="121"/>
      <c r="R122" s="121"/>
      <c r="S122" s="121"/>
      <c r="T122" s="121"/>
      <c r="U122" s="121"/>
      <c r="V122" s="121"/>
      <c r="W122" s="121"/>
      <c r="X122" s="121"/>
    </row>
    <row r="123" spans="1:24" ht="15">
      <c r="A123" s="114"/>
      <c r="B123" s="122">
        <v>19906</v>
      </c>
      <c r="C123" s="116"/>
      <c r="D123" s="117" t="s">
        <v>796</v>
      </c>
      <c r="E123" s="118"/>
      <c r="F123" s="119" t="s">
        <v>795</v>
      </c>
      <c r="G123" s="120"/>
      <c r="H123" s="120"/>
      <c r="I123" s="120"/>
      <c r="J123" s="120"/>
      <c r="K123" s="120"/>
      <c r="L123" s="120"/>
      <c r="M123" s="120"/>
      <c r="N123" s="121"/>
      <c r="O123" s="121"/>
      <c r="P123" s="121"/>
      <c r="Q123" s="121"/>
      <c r="R123" s="121"/>
      <c r="S123" s="121"/>
      <c r="T123" s="121"/>
      <c r="U123" s="121"/>
      <c r="V123" s="121"/>
      <c r="W123" s="121"/>
      <c r="X123" s="121"/>
    </row>
    <row r="124" spans="1:24" ht="15">
      <c r="A124" s="114"/>
      <c r="B124" s="122">
        <v>19906</v>
      </c>
      <c r="C124" s="116"/>
      <c r="D124" s="117" t="s">
        <v>800</v>
      </c>
      <c r="E124" s="118"/>
      <c r="F124" s="119" t="s">
        <v>799</v>
      </c>
      <c r="G124" s="120"/>
      <c r="H124" s="120"/>
      <c r="I124" s="120"/>
      <c r="J124" s="120"/>
      <c r="K124" s="120"/>
      <c r="L124" s="120"/>
      <c r="M124" s="120"/>
      <c r="N124" s="121"/>
      <c r="O124" s="121"/>
      <c r="P124" s="121"/>
      <c r="Q124" s="121"/>
      <c r="R124" s="121"/>
      <c r="S124" s="121"/>
      <c r="T124" s="121"/>
      <c r="U124" s="121"/>
      <c r="V124" s="121"/>
      <c r="W124" s="121"/>
      <c r="X124" s="121"/>
    </row>
    <row r="125" spans="1:24" ht="15">
      <c r="A125" s="114"/>
      <c r="B125" s="122">
        <v>19906</v>
      </c>
      <c r="C125" s="116"/>
      <c r="D125" s="117" t="s">
        <v>32</v>
      </c>
      <c r="E125" s="118"/>
      <c r="F125" s="119" t="s">
        <v>234</v>
      </c>
      <c r="G125" s="120"/>
      <c r="H125" s="120"/>
      <c r="I125" s="120"/>
      <c r="J125" s="120"/>
      <c r="K125" s="120"/>
      <c r="L125" s="120"/>
      <c r="M125" s="120"/>
      <c r="N125" s="121"/>
      <c r="O125" s="121"/>
      <c r="P125" s="121"/>
      <c r="Q125" s="121"/>
      <c r="R125" s="121"/>
      <c r="S125" s="121"/>
      <c r="T125" s="121"/>
      <c r="U125" s="121"/>
      <c r="V125" s="121"/>
      <c r="W125" s="121"/>
      <c r="X125" s="121"/>
    </row>
    <row r="126" spans="1:24" ht="15">
      <c r="A126" s="114"/>
      <c r="B126" s="122">
        <v>19912</v>
      </c>
      <c r="C126" s="116"/>
      <c r="D126" s="117" t="s">
        <v>32</v>
      </c>
      <c r="E126" s="118"/>
      <c r="F126" s="119" t="s">
        <v>804</v>
      </c>
      <c r="G126" s="120"/>
      <c r="H126" s="120"/>
      <c r="I126" s="120"/>
      <c r="J126" s="120"/>
      <c r="K126" s="120"/>
      <c r="L126" s="120"/>
      <c r="M126" s="120"/>
      <c r="N126" s="121"/>
      <c r="O126" s="121"/>
      <c r="P126" s="121"/>
      <c r="Q126" s="121"/>
      <c r="R126" s="121"/>
      <c r="S126" s="121"/>
      <c r="T126" s="121"/>
      <c r="U126" s="121"/>
      <c r="V126" s="121"/>
      <c r="W126" s="121"/>
      <c r="X126" s="121"/>
    </row>
    <row r="127" spans="1:24" ht="60">
      <c r="A127" s="143" t="s">
        <v>2546</v>
      </c>
      <c r="B127" s="144">
        <v>19915</v>
      </c>
      <c r="C127" s="147" t="s">
        <v>2549</v>
      </c>
      <c r="D127" s="147" t="s">
        <v>2551</v>
      </c>
      <c r="E127" s="148" t="s">
        <v>2552</v>
      </c>
      <c r="F127" s="148" t="s">
        <v>2553</v>
      </c>
      <c r="G127" s="120"/>
      <c r="H127" s="120"/>
      <c r="I127" s="120"/>
      <c r="J127" s="120"/>
      <c r="K127" s="120"/>
      <c r="L127" s="120"/>
      <c r="M127" s="120"/>
      <c r="N127" s="121"/>
      <c r="O127" s="121"/>
      <c r="P127" s="121"/>
      <c r="Q127" s="121"/>
      <c r="R127" s="121"/>
      <c r="S127" s="121"/>
      <c r="T127" s="121"/>
      <c r="U127" s="121"/>
      <c r="V127" s="121"/>
      <c r="W127" s="121"/>
      <c r="X127" s="121"/>
    </row>
    <row r="128" spans="1:24" ht="15">
      <c r="A128" s="114"/>
      <c r="B128" s="122">
        <v>19918</v>
      </c>
      <c r="C128" s="116"/>
      <c r="D128" s="117" t="s">
        <v>32</v>
      </c>
      <c r="E128" s="118"/>
      <c r="F128" s="119" t="s">
        <v>805</v>
      </c>
      <c r="G128" s="120"/>
      <c r="H128" s="120"/>
      <c r="I128" s="120"/>
      <c r="J128" s="120"/>
      <c r="K128" s="120"/>
      <c r="L128" s="120"/>
      <c r="M128" s="120"/>
      <c r="N128" s="121"/>
      <c r="O128" s="121"/>
      <c r="P128" s="121"/>
      <c r="Q128" s="121"/>
      <c r="R128" s="121"/>
      <c r="S128" s="121"/>
      <c r="T128" s="121"/>
      <c r="U128" s="121"/>
      <c r="V128" s="121"/>
      <c r="W128" s="121"/>
      <c r="X128" s="121"/>
    </row>
    <row r="129" spans="1:24" ht="15">
      <c r="A129" s="114"/>
      <c r="B129" s="122">
        <v>19926</v>
      </c>
      <c r="C129" s="116"/>
      <c r="D129" s="117" t="s">
        <v>808</v>
      </c>
      <c r="E129" s="118"/>
      <c r="F129" s="119" t="s">
        <v>807</v>
      </c>
      <c r="G129" s="120"/>
      <c r="H129" s="120"/>
      <c r="I129" s="120"/>
      <c r="J129" s="120"/>
      <c r="K129" s="120"/>
      <c r="L129" s="120"/>
      <c r="M129" s="120"/>
      <c r="N129" s="121"/>
      <c r="O129" s="121"/>
      <c r="P129" s="121"/>
      <c r="Q129" s="121"/>
      <c r="R129" s="121"/>
      <c r="S129" s="121"/>
      <c r="T129" s="121"/>
      <c r="U129" s="121"/>
      <c r="V129" s="121"/>
      <c r="W129" s="121"/>
      <c r="X129" s="121"/>
    </row>
    <row r="130" spans="1:24" ht="15">
      <c r="A130" s="114"/>
      <c r="B130" s="122">
        <v>19929</v>
      </c>
      <c r="C130" s="116"/>
      <c r="D130" s="126" t="s">
        <v>838</v>
      </c>
      <c r="E130" s="118"/>
      <c r="F130" s="119" t="s">
        <v>812</v>
      </c>
      <c r="G130" s="120"/>
      <c r="H130" s="120"/>
      <c r="I130" s="120"/>
      <c r="J130" s="120"/>
      <c r="K130" s="120"/>
      <c r="L130" s="120"/>
      <c r="M130" s="120"/>
      <c r="N130" s="121"/>
      <c r="O130" s="121"/>
      <c r="P130" s="121"/>
      <c r="Q130" s="121"/>
      <c r="R130" s="121"/>
      <c r="S130" s="121"/>
      <c r="T130" s="121"/>
      <c r="U130" s="121"/>
      <c r="V130" s="121"/>
      <c r="W130" s="121"/>
      <c r="X130" s="121"/>
    </row>
    <row r="131" spans="1:24" ht="15">
      <c r="A131" s="114"/>
      <c r="B131" s="122">
        <v>19931</v>
      </c>
      <c r="C131" s="116"/>
      <c r="D131" s="117" t="s">
        <v>819</v>
      </c>
      <c r="E131" s="118"/>
      <c r="F131" s="119" t="s">
        <v>818</v>
      </c>
      <c r="G131" s="120"/>
      <c r="H131" s="120"/>
      <c r="I131" s="120"/>
      <c r="J131" s="120"/>
      <c r="K131" s="120"/>
      <c r="L131" s="120"/>
      <c r="M131" s="120"/>
      <c r="N131" s="121"/>
      <c r="O131" s="121"/>
      <c r="P131" s="121"/>
      <c r="Q131" s="121"/>
      <c r="R131" s="121"/>
      <c r="S131" s="121"/>
      <c r="T131" s="121"/>
      <c r="U131" s="121"/>
      <c r="V131" s="121"/>
      <c r="W131" s="121"/>
      <c r="X131" s="121"/>
    </row>
    <row r="132" spans="1:24" ht="30">
      <c r="A132" s="143" t="s">
        <v>2591</v>
      </c>
      <c r="B132" s="144">
        <v>19938</v>
      </c>
      <c r="C132" s="145" t="s">
        <v>2594</v>
      </c>
      <c r="D132" s="145" t="s">
        <v>2297</v>
      </c>
      <c r="E132" s="146" t="s">
        <v>2597</v>
      </c>
      <c r="F132" s="146" t="s">
        <v>2599</v>
      </c>
      <c r="G132" s="120"/>
      <c r="H132" s="120"/>
      <c r="I132" s="120"/>
      <c r="J132" s="120"/>
      <c r="K132" s="120"/>
      <c r="L132" s="120"/>
      <c r="M132" s="120"/>
      <c r="N132" s="121"/>
      <c r="O132" s="121"/>
      <c r="P132" s="121"/>
      <c r="Q132" s="121"/>
      <c r="R132" s="121"/>
      <c r="S132" s="121"/>
      <c r="T132" s="121"/>
      <c r="U132" s="121"/>
      <c r="V132" s="121"/>
      <c r="W132" s="121"/>
      <c r="X132" s="121"/>
    </row>
    <row r="133" spans="1:24" ht="15">
      <c r="A133" s="114"/>
      <c r="B133" s="122">
        <v>19940</v>
      </c>
      <c r="C133" s="116"/>
      <c r="D133" s="117" t="s">
        <v>822</v>
      </c>
      <c r="E133" s="118"/>
      <c r="F133" s="119" t="s">
        <v>821</v>
      </c>
      <c r="G133" s="120"/>
      <c r="H133" s="120"/>
      <c r="I133" s="120"/>
      <c r="J133" s="120"/>
      <c r="K133" s="120"/>
      <c r="L133" s="120"/>
      <c r="M133" s="120"/>
      <c r="N133" s="121"/>
      <c r="O133" s="121"/>
      <c r="P133" s="121"/>
      <c r="Q133" s="121"/>
      <c r="R133" s="121"/>
      <c r="S133" s="121"/>
      <c r="T133" s="121"/>
      <c r="U133" s="121"/>
      <c r="V133" s="121"/>
      <c r="W133" s="121"/>
      <c r="X133" s="121"/>
    </row>
    <row r="134" spans="1:24" ht="15">
      <c r="A134" s="114"/>
      <c r="B134" s="122">
        <v>19945</v>
      </c>
      <c r="C134" s="116"/>
      <c r="D134" s="117" t="s">
        <v>32</v>
      </c>
      <c r="E134" s="118"/>
      <c r="F134" s="119" t="s">
        <v>823</v>
      </c>
      <c r="G134" s="120"/>
      <c r="H134" s="120"/>
      <c r="I134" s="120"/>
      <c r="J134" s="120"/>
      <c r="K134" s="120"/>
      <c r="L134" s="120"/>
      <c r="M134" s="120"/>
      <c r="N134" s="121"/>
      <c r="O134" s="121"/>
      <c r="P134" s="121"/>
      <c r="Q134" s="121"/>
      <c r="R134" s="121"/>
      <c r="S134" s="121"/>
      <c r="T134" s="121"/>
      <c r="U134" s="121"/>
      <c r="V134" s="121"/>
      <c r="W134" s="121"/>
      <c r="X134" s="121"/>
    </row>
    <row r="135" spans="1:24" ht="15">
      <c r="A135" s="114"/>
      <c r="B135" s="122">
        <v>19948</v>
      </c>
      <c r="C135" s="116"/>
      <c r="D135" s="160"/>
      <c r="E135" s="118"/>
      <c r="F135" s="119" t="s">
        <v>825</v>
      </c>
      <c r="G135" s="120"/>
      <c r="H135" s="120"/>
      <c r="I135" s="120"/>
      <c r="J135" s="120"/>
      <c r="K135" s="120"/>
      <c r="L135" s="120"/>
      <c r="M135" s="120"/>
      <c r="N135" s="121"/>
      <c r="O135" s="121"/>
      <c r="P135" s="121"/>
      <c r="Q135" s="121"/>
      <c r="R135" s="121"/>
      <c r="S135" s="121"/>
      <c r="T135" s="121"/>
      <c r="U135" s="121"/>
      <c r="V135" s="121"/>
      <c r="W135" s="121"/>
      <c r="X135" s="121"/>
    </row>
    <row r="136" spans="1:24" ht="60">
      <c r="A136" s="159">
        <v>19950</v>
      </c>
      <c r="B136" s="144">
        <v>19950</v>
      </c>
      <c r="C136" s="147" t="s">
        <v>2635</v>
      </c>
      <c r="D136" s="147" t="s">
        <v>2636</v>
      </c>
      <c r="E136" s="147" t="s">
        <v>2638</v>
      </c>
      <c r="F136" s="148" t="s">
        <v>2640</v>
      </c>
      <c r="G136" s="120"/>
      <c r="H136" s="120"/>
      <c r="I136" s="120"/>
      <c r="J136" s="120"/>
      <c r="K136" s="120"/>
      <c r="L136" s="120"/>
      <c r="M136" s="120"/>
      <c r="N136" s="121"/>
      <c r="O136" s="121"/>
      <c r="P136" s="121"/>
      <c r="Q136" s="121"/>
      <c r="R136" s="121"/>
      <c r="S136" s="121"/>
      <c r="T136" s="121"/>
      <c r="U136" s="121"/>
      <c r="V136" s="121"/>
      <c r="W136" s="121"/>
      <c r="X136" s="121"/>
    </row>
    <row r="137" spans="1:24" ht="15">
      <c r="A137" s="114"/>
      <c r="B137" s="122">
        <v>19963</v>
      </c>
      <c r="C137" s="116"/>
      <c r="D137" s="117" t="s">
        <v>838</v>
      </c>
      <c r="E137" s="118"/>
      <c r="F137" s="119" t="s">
        <v>828</v>
      </c>
      <c r="G137" s="120"/>
      <c r="H137" s="120"/>
      <c r="I137" s="120"/>
      <c r="J137" s="120"/>
      <c r="K137" s="120"/>
      <c r="L137" s="120"/>
      <c r="M137" s="120"/>
      <c r="N137" s="121"/>
      <c r="O137" s="121"/>
      <c r="P137" s="121"/>
      <c r="Q137" s="121"/>
      <c r="R137" s="121"/>
      <c r="S137" s="121"/>
      <c r="T137" s="121"/>
      <c r="U137" s="121"/>
      <c r="V137" s="121"/>
      <c r="W137" s="121"/>
      <c r="X137" s="121"/>
    </row>
    <row r="138" spans="1:24" ht="15">
      <c r="A138" s="114"/>
      <c r="B138" s="122">
        <v>19965</v>
      </c>
      <c r="C138" s="116"/>
      <c r="D138" s="117" t="s">
        <v>32</v>
      </c>
      <c r="E138" s="118"/>
      <c r="F138" s="119" t="s">
        <v>832</v>
      </c>
      <c r="G138" s="120"/>
      <c r="H138" s="120"/>
      <c r="I138" s="120"/>
      <c r="J138" s="120"/>
      <c r="K138" s="120"/>
      <c r="L138" s="120"/>
      <c r="M138" s="120"/>
      <c r="N138" s="121"/>
      <c r="O138" s="121"/>
      <c r="P138" s="121"/>
      <c r="Q138" s="121"/>
      <c r="R138" s="121"/>
      <c r="S138" s="121"/>
      <c r="T138" s="121"/>
      <c r="U138" s="121"/>
      <c r="V138" s="121"/>
      <c r="W138" s="121"/>
      <c r="X138" s="121"/>
    </row>
    <row r="139" spans="1:24" ht="30">
      <c r="A139" s="143" t="s">
        <v>2660</v>
      </c>
      <c r="B139" s="144">
        <v>19966</v>
      </c>
      <c r="C139" s="145" t="s">
        <v>2594</v>
      </c>
      <c r="D139" s="145" t="s">
        <v>176</v>
      </c>
      <c r="E139" s="146" t="s">
        <v>2662</v>
      </c>
      <c r="F139" s="146" t="s">
        <v>2664</v>
      </c>
      <c r="G139" s="120"/>
      <c r="H139" s="120"/>
      <c r="I139" s="120"/>
      <c r="J139" s="120"/>
      <c r="K139" s="120"/>
      <c r="L139" s="120"/>
      <c r="M139" s="120"/>
      <c r="N139" s="121"/>
      <c r="O139" s="121"/>
      <c r="P139" s="121"/>
      <c r="Q139" s="121"/>
      <c r="R139" s="121"/>
      <c r="S139" s="121"/>
      <c r="T139" s="121"/>
      <c r="U139" s="121"/>
      <c r="V139" s="121"/>
      <c r="W139" s="121"/>
      <c r="X139" s="121"/>
    </row>
    <row r="140" spans="1:24" ht="75">
      <c r="A140" s="143" t="s">
        <v>834</v>
      </c>
      <c r="B140" s="144">
        <v>19969</v>
      </c>
      <c r="C140" s="147" t="s">
        <v>2670</v>
      </c>
      <c r="D140" s="147" t="s">
        <v>2673</v>
      </c>
      <c r="E140" s="148" t="s">
        <v>2674</v>
      </c>
      <c r="F140" s="148" t="s">
        <v>2676</v>
      </c>
      <c r="G140" s="120"/>
      <c r="H140" s="120"/>
      <c r="I140" s="120"/>
      <c r="J140" s="120"/>
      <c r="K140" s="120"/>
      <c r="L140" s="120"/>
      <c r="M140" s="120"/>
      <c r="N140" s="121"/>
      <c r="O140" s="121"/>
      <c r="P140" s="121"/>
      <c r="Q140" s="121"/>
      <c r="R140" s="121"/>
      <c r="S140" s="121"/>
      <c r="T140" s="121"/>
      <c r="U140" s="121"/>
      <c r="V140" s="121"/>
      <c r="W140" s="121"/>
      <c r="X140" s="121"/>
    </row>
    <row r="141" spans="1:24" ht="15">
      <c r="A141" s="114"/>
      <c r="B141" s="122">
        <v>19969</v>
      </c>
      <c r="C141" s="116"/>
      <c r="D141" s="126" t="s">
        <v>253</v>
      </c>
      <c r="E141" s="118"/>
      <c r="F141" s="119" t="s">
        <v>250</v>
      </c>
      <c r="G141" s="120"/>
      <c r="H141" s="120"/>
      <c r="I141" s="120"/>
      <c r="J141" s="120"/>
      <c r="K141" s="120"/>
      <c r="L141" s="120"/>
      <c r="M141" s="120"/>
      <c r="N141" s="121"/>
      <c r="O141" s="121"/>
      <c r="P141" s="121"/>
      <c r="Q141" s="121"/>
      <c r="R141" s="121"/>
      <c r="S141" s="121"/>
      <c r="T141" s="121"/>
      <c r="U141" s="121"/>
      <c r="V141" s="121"/>
      <c r="W141" s="121"/>
      <c r="X141" s="121"/>
    </row>
    <row r="142" spans="1:24" ht="15">
      <c r="A142" s="114"/>
      <c r="B142" s="122">
        <v>19972</v>
      </c>
      <c r="C142" s="116"/>
      <c r="D142" s="117" t="s">
        <v>447</v>
      </c>
      <c r="E142" s="118"/>
      <c r="F142" s="119" t="s">
        <v>837</v>
      </c>
      <c r="G142" s="120"/>
      <c r="H142" s="120"/>
      <c r="I142" s="120"/>
      <c r="J142" s="120"/>
      <c r="K142" s="120"/>
      <c r="L142" s="120"/>
      <c r="M142" s="120"/>
      <c r="N142" s="121"/>
      <c r="O142" s="121"/>
      <c r="P142" s="121"/>
      <c r="Q142" s="121"/>
      <c r="R142" s="121"/>
      <c r="S142" s="121"/>
      <c r="T142" s="121"/>
      <c r="U142" s="121"/>
      <c r="V142" s="121"/>
      <c r="W142" s="121"/>
      <c r="X142" s="121"/>
    </row>
    <row r="143" spans="1:24" ht="15">
      <c r="A143" s="114"/>
      <c r="B143" s="122">
        <v>19972</v>
      </c>
      <c r="C143" s="116"/>
      <c r="D143" s="117" t="s">
        <v>841</v>
      </c>
      <c r="E143" s="118"/>
      <c r="F143" s="119" t="s">
        <v>840</v>
      </c>
      <c r="G143" s="120"/>
      <c r="H143" s="120"/>
      <c r="I143" s="120"/>
      <c r="J143" s="120"/>
      <c r="K143" s="120"/>
      <c r="L143" s="120"/>
      <c r="M143" s="120"/>
      <c r="N143" s="121"/>
      <c r="O143" s="121"/>
      <c r="P143" s="121"/>
      <c r="Q143" s="121"/>
      <c r="R143" s="121"/>
      <c r="S143" s="121"/>
      <c r="T143" s="121"/>
      <c r="U143" s="121"/>
      <c r="V143" s="121"/>
      <c r="W143" s="121"/>
      <c r="X143" s="121"/>
    </row>
    <row r="144" spans="1:24" ht="15">
      <c r="A144" s="114"/>
      <c r="B144" s="122">
        <v>19988</v>
      </c>
      <c r="C144" s="116"/>
      <c r="D144" s="117" t="s">
        <v>447</v>
      </c>
      <c r="E144" s="118"/>
      <c r="F144" s="119" t="s">
        <v>842</v>
      </c>
      <c r="G144" s="120"/>
      <c r="H144" s="120"/>
      <c r="I144" s="120"/>
      <c r="J144" s="120"/>
      <c r="K144" s="120"/>
      <c r="L144" s="120"/>
      <c r="M144" s="120"/>
      <c r="N144" s="121"/>
      <c r="O144" s="121"/>
      <c r="P144" s="121"/>
      <c r="Q144" s="121"/>
      <c r="R144" s="121"/>
      <c r="S144" s="121"/>
      <c r="T144" s="121"/>
      <c r="U144" s="121"/>
      <c r="V144" s="121"/>
      <c r="W144" s="121"/>
      <c r="X144" s="121"/>
    </row>
    <row r="145" spans="1:24" ht="15">
      <c r="A145" s="114"/>
      <c r="B145" s="122">
        <v>19988</v>
      </c>
      <c r="C145" s="116"/>
      <c r="D145" s="117" t="s">
        <v>815</v>
      </c>
      <c r="E145" s="118"/>
      <c r="F145" s="119" t="s">
        <v>846</v>
      </c>
      <c r="G145" s="120"/>
      <c r="H145" s="120"/>
      <c r="I145" s="120"/>
      <c r="J145" s="120"/>
      <c r="K145" s="120"/>
      <c r="L145" s="120"/>
      <c r="M145" s="120"/>
      <c r="N145" s="121"/>
      <c r="O145" s="121"/>
      <c r="P145" s="121"/>
      <c r="Q145" s="121"/>
      <c r="R145" s="121"/>
      <c r="S145" s="121"/>
      <c r="T145" s="121"/>
      <c r="U145" s="121"/>
      <c r="V145" s="121"/>
      <c r="W145" s="121"/>
      <c r="X145" s="121"/>
    </row>
    <row r="146" spans="1:24" ht="15">
      <c r="A146" s="114"/>
      <c r="B146" s="122">
        <v>19992</v>
      </c>
      <c r="C146" s="116"/>
      <c r="D146" s="117" t="s">
        <v>32</v>
      </c>
      <c r="E146" s="118"/>
      <c r="F146" s="119" t="s">
        <v>852</v>
      </c>
      <c r="G146" s="120"/>
      <c r="H146" s="120"/>
      <c r="I146" s="120"/>
      <c r="J146" s="120"/>
      <c r="K146" s="120"/>
      <c r="L146" s="120"/>
      <c r="M146" s="120"/>
      <c r="N146" s="121"/>
      <c r="O146" s="121"/>
      <c r="P146" s="121"/>
      <c r="Q146" s="121"/>
      <c r="R146" s="121"/>
      <c r="S146" s="121"/>
      <c r="T146" s="121"/>
      <c r="U146" s="121"/>
      <c r="V146" s="121"/>
      <c r="W146" s="121"/>
      <c r="X146" s="121"/>
    </row>
    <row r="147" spans="1:24" ht="15">
      <c r="A147" s="114"/>
      <c r="B147" s="122">
        <v>19992</v>
      </c>
      <c r="C147" s="116"/>
      <c r="D147" s="117" t="s">
        <v>447</v>
      </c>
      <c r="E147" s="118"/>
      <c r="F147" s="119" t="s">
        <v>854</v>
      </c>
      <c r="G147" s="120"/>
      <c r="H147" s="120"/>
      <c r="I147" s="120"/>
      <c r="J147" s="120"/>
      <c r="K147" s="120"/>
      <c r="L147" s="120"/>
      <c r="M147" s="120"/>
      <c r="N147" s="121"/>
      <c r="O147" s="121"/>
      <c r="P147" s="121"/>
      <c r="Q147" s="121"/>
      <c r="R147" s="121"/>
      <c r="S147" s="121"/>
      <c r="T147" s="121"/>
      <c r="U147" s="121"/>
      <c r="V147" s="121"/>
      <c r="W147" s="121"/>
      <c r="X147" s="121"/>
    </row>
    <row r="148" spans="1:24" ht="15">
      <c r="A148" s="114"/>
      <c r="B148" s="122">
        <v>19993</v>
      </c>
      <c r="C148" s="116"/>
      <c r="D148" s="126" t="s">
        <v>263</v>
      </c>
      <c r="E148" s="118"/>
      <c r="F148" s="119" t="s">
        <v>260</v>
      </c>
      <c r="G148" s="120"/>
      <c r="H148" s="120"/>
      <c r="I148" s="120"/>
      <c r="J148" s="120"/>
      <c r="K148" s="120"/>
      <c r="L148" s="120"/>
      <c r="M148" s="120"/>
      <c r="N148" s="121"/>
      <c r="O148" s="121"/>
      <c r="P148" s="121"/>
      <c r="Q148" s="121"/>
      <c r="R148" s="121"/>
      <c r="S148" s="121"/>
      <c r="T148" s="121"/>
      <c r="U148" s="121"/>
      <c r="V148" s="121"/>
      <c r="W148" s="121"/>
      <c r="X148" s="121"/>
    </row>
    <row r="149" spans="1:24" ht="15">
      <c r="A149" s="114"/>
      <c r="B149" s="122">
        <v>19997</v>
      </c>
      <c r="C149" s="116"/>
      <c r="D149" s="117" t="s">
        <v>32</v>
      </c>
      <c r="E149" s="118"/>
      <c r="F149" s="119" t="s">
        <v>863</v>
      </c>
      <c r="G149" s="120"/>
      <c r="H149" s="120"/>
      <c r="I149" s="120"/>
      <c r="J149" s="120"/>
      <c r="K149" s="120"/>
      <c r="L149" s="120"/>
      <c r="M149" s="120"/>
      <c r="N149" s="121"/>
      <c r="O149" s="121"/>
      <c r="P149" s="121"/>
      <c r="Q149" s="121"/>
      <c r="R149" s="121"/>
      <c r="S149" s="121"/>
      <c r="T149" s="121"/>
      <c r="U149" s="121"/>
      <c r="V149" s="121"/>
      <c r="W149" s="121"/>
      <c r="X149" s="121"/>
    </row>
    <row r="150" spans="1:24" ht="15">
      <c r="A150" s="114"/>
      <c r="B150" s="122">
        <v>20000</v>
      </c>
      <c r="C150" s="116"/>
      <c r="D150" s="117" t="s">
        <v>32</v>
      </c>
      <c r="E150" s="118"/>
      <c r="F150" s="119" t="s">
        <v>866</v>
      </c>
      <c r="G150" s="120"/>
      <c r="H150" s="120"/>
      <c r="I150" s="120"/>
      <c r="J150" s="120"/>
      <c r="K150" s="120"/>
      <c r="L150" s="120"/>
      <c r="M150" s="120"/>
      <c r="N150" s="121"/>
      <c r="O150" s="121"/>
      <c r="P150" s="121"/>
      <c r="Q150" s="121"/>
      <c r="R150" s="121"/>
      <c r="S150" s="121"/>
      <c r="T150" s="121"/>
      <c r="U150" s="121"/>
      <c r="V150" s="121"/>
      <c r="W150" s="121"/>
      <c r="X150" s="121"/>
    </row>
    <row r="151" spans="1:24" ht="15">
      <c r="A151" s="114"/>
      <c r="B151" s="122">
        <v>20002</v>
      </c>
      <c r="C151" s="116"/>
      <c r="D151" s="117" t="s">
        <v>32</v>
      </c>
      <c r="E151" s="118"/>
      <c r="F151" s="119" t="s">
        <v>868</v>
      </c>
      <c r="G151" s="120"/>
      <c r="H151" s="120"/>
      <c r="I151" s="120"/>
      <c r="J151" s="120"/>
      <c r="K151" s="120"/>
      <c r="L151" s="120"/>
      <c r="M151" s="120"/>
      <c r="N151" s="121"/>
      <c r="O151" s="121"/>
      <c r="P151" s="121"/>
      <c r="Q151" s="121"/>
      <c r="R151" s="121"/>
      <c r="S151" s="121"/>
      <c r="T151" s="121"/>
      <c r="U151" s="121"/>
      <c r="V151" s="121"/>
      <c r="W151" s="121"/>
      <c r="X151" s="121"/>
    </row>
    <row r="152" spans="1:24" ht="15">
      <c r="A152" s="114"/>
      <c r="B152" s="122">
        <v>20023</v>
      </c>
      <c r="C152" s="116"/>
      <c r="D152" s="117" t="s">
        <v>447</v>
      </c>
      <c r="E152" s="118"/>
      <c r="F152" s="119" t="s">
        <v>870</v>
      </c>
      <c r="G152" s="120"/>
      <c r="H152" s="120"/>
      <c r="I152" s="120"/>
      <c r="J152" s="120"/>
      <c r="K152" s="120"/>
      <c r="L152" s="120"/>
      <c r="M152" s="120"/>
      <c r="N152" s="121"/>
      <c r="O152" s="121"/>
      <c r="P152" s="121"/>
      <c r="Q152" s="121"/>
      <c r="R152" s="121"/>
      <c r="S152" s="121"/>
      <c r="T152" s="121"/>
      <c r="U152" s="121"/>
      <c r="V152" s="121"/>
      <c r="W152" s="121"/>
      <c r="X152" s="121"/>
    </row>
    <row r="153" spans="1:24" ht="15">
      <c r="A153" s="114"/>
      <c r="B153" s="122">
        <v>20030</v>
      </c>
      <c r="C153" s="116"/>
      <c r="D153" s="117" t="s">
        <v>447</v>
      </c>
      <c r="E153" s="118"/>
      <c r="F153" s="119" t="s">
        <v>871</v>
      </c>
      <c r="G153" s="120"/>
      <c r="H153" s="120"/>
      <c r="I153" s="120"/>
      <c r="J153" s="120"/>
      <c r="K153" s="120"/>
      <c r="L153" s="120"/>
      <c r="M153" s="120"/>
      <c r="N153" s="121"/>
      <c r="O153" s="121"/>
      <c r="P153" s="121"/>
      <c r="Q153" s="121"/>
      <c r="R153" s="121"/>
      <c r="S153" s="121"/>
      <c r="T153" s="121"/>
      <c r="U153" s="121"/>
      <c r="V153" s="121"/>
      <c r="W153" s="121"/>
      <c r="X153" s="121"/>
    </row>
    <row r="154" spans="1:24" ht="15">
      <c r="A154" s="114"/>
      <c r="B154" s="122">
        <v>20033</v>
      </c>
      <c r="C154" s="116"/>
      <c r="D154" s="117" t="s">
        <v>873</v>
      </c>
      <c r="E154" s="118"/>
      <c r="F154" s="119" t="s">
        <v>872</v>
      </c>
      <c r="G154" s="120"/>
      <c r="H154" s="120"/>
      <c r="I154" s="120"/>
      <c r="J154" s="120"/>
      <c r="K154" s="120"/>
      <c r="L154" s="120"/>
      <c r="M154" s="120"/>
      <c r="N154" s="121"/>
      <c r="O154" s="121"/>
      <c r="P154" s="121"/>
      <c r="Q154" s="121"/>
      <c r="R154" s="121"/>
      <c r="S154" s="121"/>
      <c r="T154" s="121"/>
      <c r="U154" s="121"/>
      <c r="V154" s="121"/>
      <c r="W154" s="121"/>
      <c r="X154" s="121"/>
    </row>
    <row r="155" spans="1:24" ht="15">
      <c r="A155" s="114"/>
      <c r="B155" s="122">
        <v>20051</v>
      </c>
      <c r="C155" s="116"/>
      <c r="D155" s="117" t="s">
        <v>447</v>
      </c>
      <c r="E155" s="118"/>
      <c r="F155" s="119" t="s">
        <v>874</v>
      </c>
      <c r="G155" s="120"/>
      <c r="H155" s="120"/>
      <c r="I155" s="120"/>
      <c r="J155" s="120"/>
      <c r="K155" s="120"/>
      <c r="L155" s="120"/>
      <c r="M155" s="120"/>
      <c r="N155" s="121"/>
      <c r="O155" s="121"/>
      <c r="P155" s="121"/>
      <c r="Q155" s="121"/>
      <c r="R155" s="121"/>
      <c r="S155" s="121"/>
      <c r="T155" s="121"/>
      <c r="U155" s="121"/>
      <c r="V155" s="121"/>
      <c r="W155" s="121"/>
      <c r="X155" s="121"/>
    </row>
    <row r="156" spans="1:24" ht="15">
      <c r="A156" s="114"/>
      <c r="B156" s="122">
        <v>20058</v>
      </c>
      <c r="C156" s="116"/>
      <c r="D156" s="117" t="s">
        <v>878</v>
      </c>
      <c r="E156" s="118"/>
      <c r="F156" s="119" t="s">
        <v>877</v>
      </c>
      <c r="G156" s="120"/>
      <c r="H156" s="120"/>
      <c r="I156" s="120"/>
      <c r="J156" s="120"/>
      <c r="K156" s="120"/>
      <c r="L156" s="120"/>
      <c r="M156" s="120"/>
      <c r="N156" s="121"/>
      <c r="O156" s="121"/>
      <c r="P156" s="121"/>
      <c r="Q156" s="121"/>
      <c r="R156" s="121"/>
      <c r="S156" s="121"/>
      <c r="T156" s="121"/>
      <c r="U156" s="121"/>
      <c r="V156" s="121"/>
      <c r="W156" s="121"/>
      <c r="X156" s="121"/>
    </row>
    <row r="157" spans="1:24" ht="15">
      <c r="A157" s="114"/>
      <c r="B157" s="122">
        <v>20058</v>
      </c>
      <c r="C157" s="116"/>
      <c r="D157" s="117" t="s">
        <v>881</v>
      </c>
      <c r="E157" s="118"/>
      <c r="F157" s="119" t="s">
        <v>880</v>
      </c>
      <c r="G157" s="120"/>
      <c r="H157" s="120"/>
      <c r="I157" s="120"/>
      <c r="J157" s="120"/>
      <c r="K157" s="120"/>
      <c r="L157" s="120"/>
      <c r="M157" s="120"/>
      <c r="N157" s="121"/>
      <c r="O157" s="121"/>
      <c r="P157" s="121"/>
      <c r="Q157" s="121"/>
      <c r="R157" s="121"/>
      <c r="S157" s="121"/>
      <c r="T157" s="121"/>
      <c r="U157" s="121"/>
      <c r="V157" s="121"/>
      <c r="W157" s="121"/>
      <c r="X157" s="121"/>
    </row>
    <row r="158" spans="1:24" ht="15">
      <c r="A158" s="114"/>
      <c r="B158" s="122">
        <v>20058</v>
      </c>
      <c r="C158" s="116"/>
      <c r="D158" s="117" t="s">
        <v>726</v>
      </c>
      <c r="E158" s="118"/>
      <c r="F158" s="119" t="s">
        <v>882</v>
      </c>
      <c r="G158" s="120"/>
      <c r="H158" s="120"/>
      <c r="I158" s="120"/>
      <c r="J158" s="120"/>
      <c r="K158" s="120"/>
      <c r="L158" s="120"/>
      <c r="M158" s="120"/>
      <c r="N158" s="121"/>
      <c r="O158" s="121"/>
      <c r="P158" s="121"/>
      <c r="Q158" s="121"/>
      <c r="R158" s="121"/>
      <c r="S158" s="121"/>
      <c r="T158" s="121"/>
      <c r="U158" s="121"/>
      <c r="V158" s="121"/>
      <c r="W158" s="121"/>
      <c r="X158" s="121"/>
    </row>
    <row r="159" spans="1:24" ht="15">
      <c r="A159" s="114"/>
      <c r="B159" s="122">
        <v>20058</v>
      </c>
      <c r="C159" s="116"/>
      <c r="D159" s="117" t="s">
        <v>884</v>
      </c>
      <c r="E159" s="118"/>
      <c r="F159" s="119" t="s">
        <v>883</v>
      </c>
      <c r="G159" s="120"/>
      <c r="H159" s="120"/>
      <c r="I159" s="120"/>
      <c r="J159" s="120"/>
      <c r="K159" s="120"/>
      <c r="L159" s="120"/>
      <c r="M159" s="120"/>
      <c r="N159" s="121"/>
      <c r="O159" s="121"/>
      <c r="P159" s="121"/>
      <c r="Q159" s="121"/>
      <c r="R159" s="121"/>
      <c r="S159" s="121"/>
      <c r="T159" s="121"/>
      <c r="U159" s="121"/>
      <c r="V159" s="121"/>
      <c r="W159" s="121"/>
      <c r="X159" s="121"/>
    </row>
    <row r="160" spans="1:24" ht="15">
      <c r="A160" s="114"/>
      <c r="B160" s="122">
        <v>20058</v>
      </c>
      <c r="C160" s="116"/>
      <c r="D160" s="117" t="s">
        <v>889</v>
      </c>
      <c r="E160" s="118"/>
      <c r="F160" s="119" t="s">
        <v>888</v>
      </c>
      <c r="G160" s="120"/>
      <c r="H160" s="120"/>
      <c r="I160" s="120"/>
      <c r="J160" s="120"/>
      <c r="K160" s="120"/>
      <c r="L160" s="120"/>
      <c r="M160" s="120"/>
      <c r="N160" s="121"/>
      <c r="O160" s="121"/>
      <c r="P160" s="121"/>
      <c r="Q160" s="121"/>
      <c r="R160" s="121"/>
      <c r="S160" s="121"/>
      <c r="T160" s="121"/>
      <c r="U160" s="121"/>
      <c r="V160" s="121"/>
      <c r="W160" s="121"/>
      <c r="X160" s="121"/>
    </row>
    <row r="161" spans="1:24" ht="60">
      <c r="A161" s="143" t="s">
        <v>2764</v>
      </c>
      <c r="B161" s="144">
        <v>20062</v>
      </c>
      <c r="C161" s="147" t="s">
        <v>2767</v>
      </c>
      <c r="D161" s="147" t="s">
        <v>2769</v>
      </c>
      <c r="E161" s="148" t="s">
        <v>2771</v>
      </c>
      <c r="F161" s="146"/>
      <c r="G161" s="120"/>
      <c r="H161" s="120"/>
      <c r="I161" s="120"/>
      <c r="J161" s="120"/>
      <c r="K161" s="120"/>
      <c r="L161" s="120"/>
      <c r="M161" s="120"/>
      <c r="N161" s="121"/>
      <c r="O161" s="121"/>
      <c r="P161" s="121"/>
      <c r="Q161" s="121"/>
      <c r="R161" s="121"/>
      <c r="S161" s="121"/>
      <c r="T161" s="121"/>
      <c r="U161" s="121"/>
      <c r="V161" s="121"/>
      <c r="W161" s="121"/>
      <c r="X161" s="121"/>
    </row>
    <row r="162" spans="1:24" ht="45">
      <c r="A162" s="159">
        <v>20066</v>
      </c>
      <c r="B162" s="144">
        <v>20066</v>
      </c>
      <c r="C162" s="145" t="s">
        <v>2124</v>
      </c>
      <c r="D162" s="145" t="s">
        <v>2127</v>
      </c>
      <c r="E162" s="145" t="s">
        <v>2129</v>
      </c>
      <c r="F162" s="147" t="s">
        <v>2786</v>
      </c>
      <c r="G162" s="120"/>
      <c r="H162" s="120"/>
      <c r="I162" s="120"/>
      <c r="J162" s="120"/>
      <c r="K162" s="120"/>
      <c r="L162" s="120"/>
      <c r="M162" s="120"/>
      <c r="N162" s="121"/>
      <c r="O162" s="121"/>
      <c r="P162" s="121"/>
      <c r="Q162" s="121"/>
      <c r="R162" s="121"/>
      <c r="S162" s="121"/>
      <c r="T162" s="121"/>
      <c r="U162" s="121"/>
      <c r="V162" s="121"/>
      <c r="W162" s="121"/>
      <c r="X162" s="121"/>
    </row>
    <row r="163" spans="1:24" ht="15">
      <c r="A163" s="114"/>
      <c r="B163" s="122">
        <v>20072</v>
      </c>
      <c r="C163" s="116"/>
      <c r="D163" s="117" t="s">
        <v>891</v>
      </c>
      <c r="E163" s="118"/>
      <c r="F163" s="119" t="s">
        <v>890</v>
      </c>
      <c r="G163" s="120"/>
      <c r="H163" s="120"/>
      <c r="I163" s="120"/>
      <c r="J163" s="120"/>
      <c r="K163" s="120"/>
      <c r="L163" s="120"/>
      <c r="M163" s="120"/>
      <c r="N163" s="121"/>
      <c r="O163" s="121"/>
      <c r="P163" s="121"/>
      <c r="Q163" s="121"/>
      <c r="R163" s="121"/>
      <c r="S163" s="121"/>
      <c r="T163" s="121"/>
      <c r="U163" s="121"/>
      <c r="V163" s="121"/>
      <c r="W163" s="121"/>
      <c r="X163" s="121"/>
    </row>
    <row r="164" spans="1:24" ht="15">
      <c r="A164" s="114"/>
      <c r="B164" s="122">
        <v>20092</v>
      </c>
      <c r="C164" s="116"/>
      <c r="D164" s="117" t="s">
        <v>32</v>
      </c>
      <c r="E164" s="118"/>
      <c r="F164" s="119" t="s">
        <v>892</v>
      </c>
      <c r="G164" s="120"/>
      <c r="H164" s="120"/>
      <c r="I164" s="120"/>
      <c r="J164" s="120"/>
      <c r="K164" s="120"/>
      <c r="L164" s="120"/>
      <c r="M164" s="120"/>
      <c r="N164" s="121"/>
      <c r="O164" s="121"/>
      <c r="P164" s="121"/>
      <c r="Q164" s="121"/>
      <c r="R164" s="121"/>
      <c r="S164" s="121"/>
      <c r="T164" s="121"/>
      <c r="U164" s="121"/>
      <c r="V164" s="121"/>
      <c r="W164" s="121"/>
      <c r="X164" s="121"/>
    </row>
    <row r="165" spans="1:24" ht="15">
      <c r="A165" s="114"/>
      <c r="B165" s="122">
        <v>20103</v>
      </c>
      <c r="C165" s="116"/>
      <c r="D165" s="117" t="s">
        <v>895</v>
      </c>
      <c r="E165" s="118"/>
      <c r="F165" s="119" t="s">
        <v>894</v>
      </c>
      <c r="G165" s="120"/>
      <c r="H165" s="120"/>
      <c r="I165" s="120"/>
      <c r="J165" s="120"/>
      <c r="K165" s="120"/>
      <c r="L165" s="120"/>
      <c r="M165" s="120"/>
      <c r="N165" s="121"/>
      <c r="O165" s="121"/>
      <c r="P165" s="121"/>
      <c r="Q165" s="121"/>
      <c r="R165" s="121"/>
      <c r="S165" s="121"/>
      <c r="T165" s="121"/>
      <c r="U165" s="121"/>
      <c r="V165" s="121"/>
      <c r="W165" s="121"/>
      <c r="X165" s="121"/>
    </row>
    <row r="166" spans="1:24" ht="15">
      <c r="A166" s="114"/>
      <c r="B166" s="122">
        <v>20104</v>
      </c>
      <c r="C166" s="116"/>
      <c r="D166" s="117" t="s">
        <v>897</v>
      </c>
      <c r="E166" s="118"/>
      <c r="F166" s="119" t="s">
        <v>896</v>
      </c>
      <c r="G166" s="120"/>
      <c r="H166" s="120"/>
      <c r="I166" s="120"/>
      <c r="J166" s="120"/>
      <c r="K166" s="120"/>
      <c r="L166" s="120"/>
      <c r="M166" s="120"/>
      <c r="N166" s="121"/>
      <c r="O166" s="121"/>
      <c r="P166" s="121"/>
      <c r="Q166" s="121"/>
      <c r="R166" s="121"/>
      <c r="S166" s="121"/>
      <c r="T166" s="121"/>
      <c r="U166" s="121"/>
      <c r="V166" s="121"/>
      <c r="W166" s="121"/>
      <c r="X166" s="121"/>
    </row>
    <row r="167" spans="1:24" ht="15">
      <c r="A167" s="114"/>
      <c r="B167" s="122">
        <v>20107</v>
      </c>
      <c r="C167" s="116"/>
      <c r="D167" s="117" t="s">
        <v>32</v>
      </c>
      <c r="E167" s="118"/>
      <c r="F167" s="119" t="s">
        <v>902</v>
      </c>
      <c r="G167" s="120"/>
      <c r="H167" s="120"/>
      <c r="I167" s="120"/>
      <c r="J167" s="120"/>
      <c r="K167" s="120"/>
      <c r="L167" s="120"/>
      <c r="M167" s="120"/>
      <c r="N167" s="121"/>
      <c r="O167" s="121"/>
      <c r="P167" s="121"/>
      <c r="Q167" s="121"/>
      <c r="R167" s="121"/>
      <c r="S167" s="121"/>
      <c r="T167" s="121"/>
      <c r="U167" s="121"/>
      <c r="V167" s="121"/>
      <c r="W167" s="121"/>
      <c r="X167" s="121"/>
    </row>
    <row r="168" spans="1:24" ht="15">
      <c r="A168" s="114"/>
      <c r="B168" s="122">
        <v>20107</v>
      </c>
      <c r="C168" s="116"/>
      <c r="D168" s="126" t="s">
        <v>923</v>
      </c>
      <c r="E168" s="118"/>
      <c r="F168" s="119" t="s">
        <v>278</v>
      </c>
      <c r="G168" s="120"/>
      <c r="H168" s="120"/>
      <c r="I168" s="120"/>
      <c r="J168" s="120"/>
      <c r="K168" s="120"/>
      <c r="L168" s="120"/>
      <c r="M168" s="120"/>
      <c r="N168" s="121"/>
      <c r="O168" s="121"/>
      <c r="P168" s="121"/>
      <c r="Q168" s="121"/>
      <c r="R168" s="121"/>
      <c r="S168" s="121"/>
      <c r="T168" s="121"/>
      <c r="U168" s="121"/>
      <c r="V168" s="121"/>
      <c r="W168" s="121"/>
      <c r="X168" s="121"/>
    </row>
    <row r="169" spans="1:24" ht="15">
      <c r="A169" s="114"/>
      <c r="B169" s="122">
        <v>20114</v>
      </c>
      <c r="C169" s="116"/>
      <c r="D169" s="160"/>
      <c r="E169" s="118"/>
      <c r="F169" s="119" t="s">
        <v>907</v>
      </c>
      <c r="G169" s="120"/>
      <c r="H169" s="120"/>
      <c r="I169" s="120"/>
      <c r="J169" s="120"/>
      <c r="K169" s="120"/>
      <c r="L169" s="120"/>
      <c r="M169" s="120"/>
      <c r="N169" s="121"/>
      <c r="O169" s="121"/>
      <c r="P169" s="121"/>
      <c r="Q169" s="121"/>
      <c r="R169" s="121"/>
      <c r="S169" s="121"/>
      <c r="T169" s="121"/>
      <c r="U169" s="121"/>
      <c r="V169" s="121"/>
      <c r="W169" s="121"/>
      <c r="X169" s="121"/>
    </row>
    <row r="170" spans="1:24" ht="15">
      <c r="A170" s="114"/>
      <c r="B170" s="122">
        <v>20119</v>
      </c>
      <c r="C170" s="116"/>
      <c r="D170" s="117" t="s">
        <v>900</v>
      </c>
      <c r="E170" s="118"/>
      <c r="F170" s="119" t="s">
        <v>910</v>
      </c>
      <c r="G170" s="120"/>
      <c r="H170" s="120"/>
      <c r="I170" s="120"/>
      <c r="J170" s="120"/>
      <c r="K170" s="120"/>
      <c r="L170" s="120"/>
      <c r="M170" s="120"/>
      <c r="N170" s="121"/>
      <c r="O170" s="121"/>
      <c r="P170" s="121"/>
      <c r="Q170" s="121"/>
      <c r="R170" s="121"/>
      <c r="S170" s="121"/>
      <c r="T170" s="121"/>
      <c r="U170" s="121"/>
      <c r="V170" s="121"/>
      <c r="W170" s="121"/>
      <c r="X170" s="121"/>
    </row>
    <row r="171" spans="1:24" ht="15">
      <c r="A171" s="114"/>
      <c r="B171" s="122">
        <v>20121</v>
      </c>
      <c r="C171" s="116"/>
      <c r="D171" s="117" t="s">
        <v>916</v>
      </c>
      <c r="E171" s="118"/>
      <c r="F171" s="119" t="s">
        <v>915</v>
      </c>
      <c r="G171" s="120"/>
      <c r="H171" s="120"/>
      <c r="I171" s="120"/>
      <c r="J171" s="120"/>
      <c r="K171" s="120"/>
      <c r="L171" s="120"/>
      <c r="M171" s="120"/>
      <c r="N171" s="121"/>
      <c r="O171" s="121"/>
      <c r="P171" s="121"/>
      <c r="Q171" s="121"/>
      <c r="R171" s="121"/>
      <c r="S171" s="121"/>
      <c r="T171" s="121"/>
      <c r="U171" s="121"/>
      <c r="V171" s="121"/>
      <c r="W171" s="121"/>
      <c r="X171" s="121"/>
    </row>
    <row r="172" spans="1:24" ht="15">
      <c r="A172" s="114"/>
      <c r="B172" s="122">
        <v>20122</v>
      </c>
      <c r="C172" s="116"/>
      <c r="D172" s="117" t="s">
        <v>919</v>
      </c>
      <c r="E172" s="118"/>
      <c r="F172" s="119" t="s">
        <v>918</v>
      </c>
      <c r="G172" s="120"/>
      <c r="H172" s="120"/>
      <c r="I172" s="120"/>
      <c r="J172" s="120"/>
      <c r="K172" s="120"/>
      <c r="L172" s="120"/>
      <c r="M172" s="120"/>
      <c r="N172" s="121"/>
      <c r="O172" s="121"/>
      <c r="P172" s="121"/>
      <c r="Q172" s="121"/>
      <c r="R172" s="121"/>
      <c r="S172" s="121"/>
      <c r="T172" s="121"/>
      <c r="U172" s="121"/>
      <c r="V172" s="121"/>
      <c r="W172" s="121"/>
      <c r="X172" s="121"/>
    </row>
    <row r="173" spans="1:24" ht="15">
      <c r="A173" s="114"/>
      <c r="B173" s="122">
        <v>20122</v>
      </c>
      <c r="C173" s="116"/>
      <c r="D173" s="117" t="s">
        <v>949</v>
      </c>
      <c r="E173" s="118"/>
      <c r="F173" s="119" t="s">
        <v>920</v>
      </c>
      <c r="G173" s="120"/>
      <c r="H173" s="120"/>
      <c r="I173" s="120"/>
      <c r="J173" s="120"/>
      <c r="K173" s="120"/>
      <c r="L173" s="120"/>
      <c r="M173" s="120"/>
      <c r="N173" s="121"/>
      <c r="O173" s="121"/>
      <c r="P173" s="121"/>
      <c r="Q173" s="121"/>
      <c r="R173" s="121"/>
      <c r="S173" s="121"/>
      <c r="T173" s="121"/>
      <c r="U173" s="121"/>
      <c r="V173" s="121"/>
      <c r="W173" s="121"/>
      <c r="X173" s="121"/>
    </row>
    <row r="174" spans="1:24" ht="15">
      <c r="A174" s="114"/>
      <c r="B174" s="122">
        <v>20124</v>
      </c>
      <c r="C174" s="116"/>
      <c r="D174" s="117" t="s">
        <v>926</v>
      </c>
      <c r="E174" s="118"/>
      <c r="F174" s="119" t="s">
        <v>925</v>
      </c>
      <c r="G174" s="120"/>
      <c r="H174" s="120"/>
      <c r="I174" s="120"/>
      <c r="J174" s="120"/>
      <c r="K174" s="120"/>
      <c r="L174" s="120"/>
      <c r="M174" s="120"/>
      <c r="N174" s="121"/>
      <c r="O174" s="121"/>
      <c r="P174" s="121"/>
      <c r="Q174" s="121"/>
      <c r="R174" s="121"/>
      <c r="S174" s="121"/>
      <c r="T174" s="121"/>
      <c r="U174" s="121"/>
      <c r="V174" s="121"/>
      <c r="W174" s="121"/>
      <c r="X174" s="121"/>
    </row>
    <row r="175" spans="1:24" ht="15">
      <c r="A175" s="114"/>
      <c r="B175" s="122">
        <v>20128</v>
      </c>
      <c r="C175" s="116"/>
      <c r="D175" s="117" t="s">
        <v>928</v>
      </c>
      <c r="E175" s="118"/>
      <c r="F175" s="119" t="s">
        <v>927</v>
      </c>
      <c r="G175" s="120"/>
      <c r="H175" s="120"/>
      <c r="I175" s="120"/>
      <c r="J175" s="120"/>
      <c r="K175" s="120"/>
      <c r="L175" s="120"/>
      <c r="M175" s="120"/>
      <c r="N175" s="121"/>
      <c r="O175" s="121"/>
      <c r="P175" s="121"/>
      <c r="Q175" s="121"/>
      <c r="R175" s="121"/>
      <c r="S175" s="121"/>
      <c r="T175" s="121"/>
      <c r="U175" s="121"/>
      <c r="V175" s="121"/>
      <c r="W175" s="121"/>
      <c r="X175" s="121"/>
    </row>
    <row r="176" spans="1:24" ht="15">
      <c r="A176" s="114"/>
      <c r="B176" s="122">
        <v>20129</v>
      </c>
      <c r="C176" s="116"/>
      <c r="D176" s="117" t="s">
        <v>32</v>
      </c>
      <c r="E176" s="118"/>
      <c r="F176" s="119" t="s">
        <v>302</v>
      </c>
      <c r="G176" s="120"/>
      <c r="H176" s="120"/>
      <c r="I176" s="120"/>
      <c r="J176" s="120"/>
      <c r="K176" s="120"/>
      <c r="L176" s="120"/>
      <c r="M176" s="120"/>
      <c r="N176" s="121"/>
      <c r="O176" s="121"/>
      <c r="P176" s="121"/>
      <c r="Q176" s="121"/>
      <c r="R176" s="121"/>
      <c r="S176" s="121"/>
      <c r="T176" s="121"/>
      <c r="U176" s="121"/>
      <c r="V176" s="121"/>
      <c r="W176" s="121"/>
      <c r="X176" s="121"/>
    </row>
    <row r="177" spans="1:24" ht="15">
      <c r="A177" s="114"/>
      <c r="B177" s="122">
        <v>20130</v>
      </c>
      <c r="C177" s="116"/>
      <c r="D177" s="117" t="s">
        <v>932</v>
      </c>
      <c r="E177" s="118"/>
      <c r="F177" s="119" t="s">
        <v>931</v>
      </c>
      <c r="G177" s="120"/>
      <c r="H177" s="120"/>
      <c r="I177" s="120"/>
      <c r="J177" s="120"/>
      <c r="K177" s="120"/>
      <c r="L177" s="120"/>
      <c r="M177" s="120"/>
      <c r="N177" s="121"/>
      <c r="O177" s="121"/>
      <c r="P177" s="121"/>
      <c r="Q177" s="121"/>
      <c r="R177" s="121"/>
      <c r="S177" s="121"/>
      <c r="T177" s="121"/>
      <c r="U177" s="121"/>
      <c r="V177" s="121"/>
      <c r="W177" s="121"/>
      <c r="X177" s="121"/>
    </row>
    <row r="178" spans="1:24" ht="15">
      <c r="A178" s="114"/>
      <c r="B178" s="122">
        <v>20133</v>
      </c>
      <c r="C178" s="116"/>
      <c r="D178" s="117" t="s">
        <v>936</v>
      </c>
      <c r="E178" s="118"/>
      <c r="F178" s="119" t="s">
        <v>935</v>
      </c>
      <c r="G178" s="120"/>
      <c r="H178" s="120"/>
      <c r="I178" s="120"/>
      <c r="J178" s="120"/>
      <c r="K178" s="120"/>
      <c r="L178" s="120"/>
      <c r="M178" s="120"/>
      <c r="N178" s="121"/>
      <c r="O178" s="121"/>
      <c r="P178" s="121"/>
      <c r="Q178" s="121"/>
      <c r="R178" s="121"/>
      <c r="S178" s="121"/>
      <c r="T178" s="121"/>
      <c r="U178" s="121"/>
      <c r="V178" s="121"/>
      <c r="W178" s="121"/>
      <c r="X178" s="121"/>
    </row>
    <row r="179" spans="1:24" ht="15">
      <c r="A179" s="114"/>
      <c r="B179" s="122">
        <v>20133</v>
      </c>
      <c r="C179" s="116"/>
      <c r="D179" s="117" t="s">
        <v>938</v>
      </c>
      <c r="E179" s="118"/>
      <c r="F179" s="119" t="s">
        <v>937</v>
      </c>
      <c r="G179" s="120"/>
      <c r="H179" s="120"/>
      <c r="I179" s="120"/>
      <c r="J179" s="120"/>
      <c r="K179" s="120"/>
      <c r="L179" s="120"/>
      <c r="M179" s="120"/>
      <c r="N179" s="121"/>
      <c r="O179" s="121"/>
      <c r="P179" s="121"/>
      <c r="Q179" s="121"/>
      <c r="R179" s="121"/>
      <c r="S179" s="121"/>
      <c r="T179" s="121"/>
      <c r="U179" s="121"/>
      <c r="V179" s="121"/>
      <c r="W179" s="121"/>
      <c r="X179" s="121"/>
    </row>
    <row r="180" spans="1:24" ht="15">
      <c r="A180" s="114"/>
      <c r="B180" s="122">
        <v>20134</v>
      </c>
      <c r="C180" s="116"/>
      <c r="D180" s="117" t="s">
        <v>32</v>
      </c>
      <c r="E180" s="118"/>
      <c r="F180" s="119" t="s">
        <v>940</v>
      </c>
      <c r="G180" s="120"/>
      <c r="H180" s="120"/>
      <c r="I180" s="120"/>
      <c r="J180" s="120"/>
      <c r="K180" s="120"/>
      <c r="L180" s="120"/>
      <c r="M180" s="120"/>
      <c r="N180" s="121"/>
      <c r="O180" s="121"/>
      <c r="P180" s="121"/>
      <c r="Q180" s="121"/>
      <c r="R180" s="121"/>
      <c r="S180" s="121"/>
      <c r="T180" s="121"/>
      <c r="U180" s="121"/>
      <c r="V180" s="121"/>
      <c r="W180" s="121"/>
      <c r="X180" s="121"/>
    </row>
    <row r="181" spans="1:24" ht="15">
      <c r="A181" s="114"/>
      <c r="B181" s="122">
        <v>20137</v>
      </c>
      <c r="C181" s="116"/>
      <c r="D181" s="117" t="s">
        <v>944</v>
      </c>
      <c r="E181" s="118"/>
      <c r="F181" s="119" t="s">
        <v>942</v>
      </c>
      <c r="G181" s="120"/>
      <c r="H181" s="120"/>
      <c r="I181" s="120"/>
      <c r="J181" s="120"/>
      <c r="K181" s="120"/>
      <c r="L181" s="120"/>
      <c r="M181" s="120"/>
      <c r="N181" s="121"/>
      <c r="O181" s="121"/>
      <c r="P181" s="121"/>
      <c r="Q181" s="121"/>
      <c r="R181" s="121"/>
      <c r="S181" s="121"/>
      <c r="T181" s="121"/>
      <c r="U181" s="121"/>
      <c r="V181" s="121"/>
      <c r="W181" s="121"/>
      <c r="X181" s="121"/>
    </row>
    <row r="182" spans="1:24" ht="15">
      <c r="A182" s="114"/>
      <c r="B182" s="122">
        <v>20139</v>
      </c>
      <c r="C182" s="116"/>
      <c r="D182" s="117" t="s">
        <v>950</v>
      </c>
      <c r="E182" s="118"/>
      <c r="F182" s="119" t="s">
        <v>948</v>
      </c>
      <c r="G182" s="120"/>
      <c r="H182" s="120"/>
      <c r="I182" s="120"/>
      <c r="J182" s="120"/>
      <c r="K182" s="120"/>
      <c r="L182" s="120"/>
      <c r="M182" s="120"/>
      <c r="N182" s="121"/>
      <c r="O182" s="121"/>
      <c r="P182" s="121"/>
      <c r="Q182" s="121"/>
      <c r="R182" s="121"/>
      <c r="S182" s="121"/>
      <c r="T182" s="121"/>
      <c r="U182" s="121"/>
      <c r="V182" s="121"/>
      <c r="W182" s="121"/>
      <c r="X182" s="121"/>
    </row>
    <row r="183" spans="1:24" ht="15">
      <c r="A183" s="114"/>
      <c r="B183" s="122">
        <v>20140</v>
      </c>
      <c r="C183" s="116"/>
      <c r="D183" s="117" t="s">
        <v>953</v>
      </c>
      <c r="E183" s="118"/>
      <c r="F183" s="119" t="s">
        <v>952</v>
      </c>
      <c r="G183" s="120"/>
      <c r="H183" s="120"/>
      <c r="I183" s="120"/>
      <c r="J183" s="120"/>
      <c r="K183" s="120"/>
      <c r="L183" s="120"/>
      <c r="M183" s="120"/>
      <c r="N183" s="121"/>
      <c r="O183" s="121"/>
      <c r="P183" s="121"/>
      <c r="Q183" s="121"/>
      <c r="R183" s="121"/>
      <c r="S183" s="121"/>
      <c r="T183" s="121"/>
      <c r="U183" s="121"/>
      <c r="V183" s="121"/>
      <c r="W183" s="121"/>
      <c r="X183" s="121"/>
    </row>
    <row r="184" spans="1:24" ht="15">
      <c r="A184" s="114"/>
      <c r="B184" s="122">
        <v>20143</v>
      </c>
      <c r="C184" s="116"/>
      <c r="D184" s="117" t="s">
        <v>252</v>
      </c>
      <c r="E184" s="118"/>
      <c r="F184" s="119" t="s">
        <v>310</v>
      </c>
      <c r="G184" s="120"/>
      <c r="H184" s="120"/>
      <c r="I184" s="120"/>
      <c r="J184" s="120"/>
      <c r="K184" s="120"/>
      <c r="L184" s="120"/>
      <c r="M184" s="120"/>
      <c r="N184" s="121"/>
      <c r="O184" s="121"/>
      <c r="P184" s="121"/>
      <c r="Q184" s="121"/>
      <c r="R184" s="121"/>
      <c r="S184" s="121"/>
      <c r="T184" s="121"/>
      <c r="U184" s="121"/>
      <c r="V184" s="121"/>
      <c r="W184" s="121"/>
      <c r="X184" s="121"/>
    </row>
    <row r="185" spans="1:24" ht="15">
      <c r="A185" s="114"/>
      <c r="B185" s="122">
        <v>20144</v>
      </c>
      <c r="C185" s="116"/>
      <c r="D185" s="117" t="s">
        <v>958</v>
      </c>
      <c r="E185" s="118"/>
      <c r="F185" s="119" t="s">
        <v>956</v>
      </c>
      <c r="G185" s="120"/>
      <c r="H185" s="120"/>
      <c r="I185" s="120"/>
      <c r="J185" s="120"/>
      <c r="K185" s="120"/>
      <c r="L185" s="120"/>
      <c r="M185" s="120"/>
      <c r="N185" s="121"/>
      <c r="O185" s="121"/>
      <c r="P185" s="121"/>
      <c r="Q185" s="121"/>
      <c r="R185" s="121"/>
      <c r="S185" s="121"/>
      <c r="T185" s="121"/>
      <c r="U185" s="121"/>
      <c r="V185" s="121"/>
      <c r="W185" s="121"/>
      <c r="X185" s="121"/>
    </row>
    <row r="186" spans="1:24" ht="15">
      <c r="A186" s="114"/>
      <c r="B186" s="122">
        <v>20145</v>
      </c>
      <c r="C186" s="116"/>
      <c r="D186" s="117" t="s">
        <v>256</v>
      </c>
      <c r="E186" s="118"/>
      <c r="F186" s="119" t="s">
        <v>314</v>
      </c>
      <c r="G186" s="120"/>
      <c r="H186" s="120"/>
      <c r="I186" s="120"/>
      <c r="J186" s="120"/>
      <c r="K186" s="120"/>
      <c r="L186" s="120"/>
      <c r="M186" s="120"/>
      <c r="N186" s="121"/>
      <c r="O186" s="121"/>
      <c r="P186" s="121"/>
      <c r="Q186" s="121"/>
      <c r="R186" s="121"/>
      <c r="S186" s="121"/>
      <c r="T186" s="121"/>
      <c r="U186" s="121"/>
      <c r="V186" s="121"/>
      <c r="W186" s="121"/>
      <c r="X186" s="121"/>
    </row>
    <row r="187" spans="1:24" ht="15">
      <c r="A187" s="114"/>
      <c r="B187" s="122">
        <v>20146</v>
      </c>
      <c r="C187" s="116"/>
      <c r="D187" s="117" t="s">
        <v>962</v>
      </c>
      <c r="E187" s="118"/>
      <c r="F187" s="119" t="s">
        <v>961</v>
      </c>
      <c r="G187" s="120"/>
      <c r="H187" s="120"/>
      <c r="I187" s="120"/>
      <c r="J187" s="120"/>
      <c r="K187" s="120"/>
      <c r="L187" s="120"/>
      <c r="M187" s="120"/>
      <c r="N187" s="121"/>
      <c r="O187" s="121"/>
      <c r="P187" s="121"/>
      <c r="Q187" s="121"/>
      <c r="R187" s="121"/>
      <c r="S187" s="121"/>
      <c r="T187" s="121"/>
      <c r="U187" s="121"/>
      <c r="V187" s="121"/>
      <c r="W187" s="121"/>
      <c r="X187" s="121"/>
    </row>
    <row r="188" spans="1:24" ht="15">
      <c r="A188" s="114"/>
      <c r="B188" s="122">
        <v>20146</v>
      </c>
      <c r="C188" s="116"/>
      <c r="D188" s="117" t="s">
        <v>848</v>
      </c>
      <c r="E188" s="118"/>
      <c r="F188" s="119" t="s">
        <v>966</v>
      </c>
      <c r="G188" s="120"/>
      <c r="H188" s="120"/>
      <c r="I188" s="120"/>
      <c r="J188" s="120"/>
      <c r="K188" s="120"/>
      <c r="L188" s="120"/>
      <c r="M188" s="120"/>
      <c r="N188" s="121"/>
      <c r="O188" s="121"/>
      <c r="P188" s="121"/>
      <c r="Q188" s="121"/>
      <c r="R188" s="121"/>
      <c r="S188" s="121"/>
      <c r="T188" s="121"/>
      <c r="U188" s="121"/>
      <c r="V188" s="121"/>
      <c r="W188" s="121"/>
      <c r="X188" s="121"/>
    </row>
    <row r="189" spans="1:24" ht="15">
      <c r="A189" s="114"/>
      <c r="B189" s="122">
        <v>20147</v>
      </c>
      <c r="C189" s="116"/>
      <c r="D189" s="117" t="s">
        <v>32</v>
      </c>
      <c r="E189" s="118"/>
      <c r="F189" s="119" t="s">
        <v>969</v>
      </c>
      <c r="G189" s="120"/>
      <c r="H189" s="120"/>
      <c r="I189" s="120"/>
      <c r="J189" s="120"/>
      <c r="K189" s="120"/>
      <c r="L189" s="120"/>
      <c r="M189" s="120"/>
      <c r="N189" s="121"/>
      <c r="O189" s="121"/>
      <c r="P189" s="121"/>
      <c r="Q189" s="121"/>
      <c r="R189" s="121"/>
      <c r="S189" s="121"/>
      <c r="T189" s="121"/>
      <c r="U189" s="121"/>
      <c r="V189" s="121"/>
      <c r="W189" s="121"/>
      <c r="X189" s="121"/>
    </row>
    <row r="190" spans="1:24" ht="30">
      <c r="A190" s="143" t="s">
        <v>2897</v>
      </c>
      <c r="B190" s="144">
        <v>20148</v>
      </c>
      <c r="C190" s="147" t="s">
        <v>2898</v>
      </c>
      <c r="D190" s="147" t="s">
        <v>2899</v>
      </c>
      <c r="E190" s="148" t="s">
        <v>2900</v>
      </c>
      <c r="F190" s="148" t="s">
        <v>2901</v>
      </c>
      <c r="G190" s="120"/>
      <c r="H190" s="120"/>
      <c r="I190" s="120"/>
      <c r="J190" s="120"/>
      <c r="K190" s="120"/>
      <c r="L190" s="120"/>
      <c r="M190" s="120"/>
      <c r="N190" s="121"/>
      <c r="O190" s="121"/>
      <c r="P190" s="121"/>
      <c r="Q190" s="121"/>
      <c r="R190" s="121"/>
      <c r="S190" s="121"/>
      <c r="T190" s="121"/>
      <c r="U190" s="121"/>
      <c r="V190" s="121"/>
      <c r="W190" s="121"/>
      <c r="X190" s="121"/>
    </row>
    <row r="191" spans="1:24" ht="15">
      <c r="A191" s="114"/>
      <c r="B191" s="122">
        <v>20150</v>
      </c>
      <c r="C191" s="116"/>
      <c r="D191" s="117" t="s">
        <v>971</v>
      </c>
      <c r="E191" s="118"/>
      <c r="F191" s="119" t="s">
        <v>970</v>
      </c>
      <c r="G191" s="120"/>
      <c r="H191" s="120"/>
      <c r="I191" s="120"/>
      <c r="J191" s="120"/>
      <c r="K191" s="120"/>
      <c r="L191" s="120"/>
      <c r="M191" s="120"/>
      <c r="N191" s="121"/>
      <c r="O191" s="121"/>
      <c r="P191" s="121"/>
      <c r="Q191" s="121"/>
      <c r="R191" s="121"/>
      <c r="S191" s="121"/>
      <c r="T191" s="121"/>
      <c r="U191" s="121"/>
      <c r="V191" s="121"/>
      <c r="W191" s="121"/>
      <c r="X191" s="121"/>
    </row>
    <row r="192" spans="1:24" ht="15">
      <c r="A192" s="114"/>
      <c r="B192" s="122">
        <v>20153</v>
      </c>
      <c r="C192" s="116"/>
      <c r="D192" s="117" t="s">
        <v>726</v>
      </c>
      <c r="E192" s="118"/>
      <c r="F192" s="119" t="s">
        <v>972</v>
      </c>
      <c r="G192" s="120"/>
      <c r="H192" s="120"/>
      <c r="I192" s="120"/>
      <c r="J192" s="120"/>
      <c r="K192" s="120"/>
      <c r="L192" s="120"/>
      <c r="M192" s="120"/>
      <c r="N192" s="121"/>
      <c r="O192" s="121"/>
      <c r="P192" s="121"/>
      <c r="Q192" s="121"/>
      <c r="R192" s="121"/>
      <c r="S192" s="121"/>
      <c r="T192" s="121"/>
      <c r="U192" s="121"/>
      <c r="V192" s="121"/>
      <c r="W192" s="121"/>
      <c r="X192" s="121"/>
    </row>
    <row r="193" spans="1:24" ht="15">
      <c r="A193" s="114"/>
      <c r="B193" s="122">
        <v>20164</v>
      </c>
      <c r="C193" s="116"/>
      <c r="D193" s="117" t="s">
        <v>447</v>
      </c>
      <c r="E193" s="118"/>
      <c r="F193" s="119" t="s">
        <v>976</v>
      </c>
      <c r="G193" s="120"/>
      <c r="H193" s="120"/>
      <c r="I193" s="120"/>
      <c r="J193" s="120"/>
      <c r="K193" s="120"/>
      <c r="L193" s="120"/>
      <c r="M193" s="120"/>
      <c r="N193" s="121"/>
      <c r="O193" s="121"/>
      <c r="P193" s="121"/>
      <c r="Q193" s="121"/>
      <c r="R193" s="121"/>
      <c r="S193" s="121"/>
      <c r="T193" s="121"/>
      <c r="U193" s="121"/>
      <c r="V193" s="121"/>
      <c r="W193" s="121"/>
      <c r="X193" s="121"/>
    </row>
    <row r="194" spans="1:24" ht="15">
      <c r="A194" s="114"/>
      <c r="B194" s="122">
        <v>20169</v>
      </c>
      <c r="C194" s="116"/>
      <c r="D194" s="117" t="s">
        <v>838</v>
      </c>
      <c r="E194" s="118"/>
      <c r="F194" s="119" t="s">
        <v>983</v>
      </c>
      <c r="G194" s="120"/>
      <c r="H194" s="120"/>
      <c r="I194" s="120"/>
      <c r="J194" s="120"/>
      <c r="K194" s="120"/>
      <c r="L194" s="120"/>
      <c r="M194" s="120"/>
      <c r="N194" s="121"/>
      <c r="O194" s="121"/>
      <c r="P194" s="121"/>
      <c r="Q194" s="121"/>
      <c r="R194" s="121"/>
      <c r="S194" s="121"/>
      <c r="T194" s="121"/>
      <c r="U194" s="121"/>
      <c r="V194" s="121"/>
      <c r="W194" s="121"/>
      <c r="X194" s="121"/>
    </row>
    <row r="195" spans="1:24" ht="15">
      <c r="A195" s="114"/>
      <c r="B195" s="122">
        <v>20170</v>
      </c>
      <c r="C195" s="116"/>
      <c r="D195" s="117" t="s">
        <v>971</v>
      </c>
      <c r="E195" s="118"/>
      <c r="F195" s="119" t="s">
        <v>985</v>
      </c>
      <c r="G195" s="120"/>
      <c r="H195" s="120"/>
      <c r="I195" s="120"/>
      <c r="J195" s="120"/>
      <c r="K195" s="120"/>
      <c r="L195" s="120"/>
      <c r="M195" s="120"/>
      <c r="N195" s="121"/>
      <c r="O195" s="121"/>
      <c r="P195" s="121"/>
      <c r="Q195" s="121"/>
      <c r="R195" s="121"/>
      <c r="S195" s="121"/>
      <c r="T195" s="121"/>
      <c r="U195" s="121"/>
      <c r="V195" s="121"/>
      <c r="W195" s="121"/>
      <c r="X195" s="121"/>
    </row>
    <row r="196" spans="1:24" ht="15">
      <c r="A196" s="114"/>
      <c r="B196" s="122">
        <v>20170</v>
      </c>
      <c r="C196" s="116"/>
      <c r="D196" s="117" t="s">
        <v>889</v>
      </c>
      <c r="E196" s="118"/>
      <c r="F196" s="119" t="s">
        <v>987</v>
      </c>
      <c r="G196" s="120"/>
      <c r="H196" s="120"/>
      <c r="I196" s="120"/>
      <c r="J196" s="120"/>
      <c r="K196" s="120"/>
      <c r="L196" s="120"/>
      <c r="M196" s="120"/>
      <c r="N196" s="121"/>
      <c r="O196" s="121"/>
      <c r="P196" s="121"/>
      <c r="Q196" s="121"/>
      <c r="R196" s="121"/>
      <c r="S196" s="121"/>
      <c r="T196" s="121"/>
      <c r="U196" s="121"/>
      <c r="V196" s="121"/>
      <c r="W196" s="121"/>
      <c r="X196" s="121"/>
    </row>
    <row r="197" spans="1:24" ht="15">
      <c r="A197" s="114"/>
      <c r="B197" s="122">
        <v>20171</v>
      </c>
      <c r="C197" s="116"/>
      <c r="D197" s="117" t="s">
        <v>32</v>
      </c>
      <c r="E197" s="118"/>
      <c r="F197" s="119" t="s">
        <v>988</v>
      </c>
      <c r="G197" s="120"/>
      <c r="H197" s="120"/>
      <c r="I197" s="120"/>
      <c r="J197" s="120"/>
      <c r="K197" s="120"/>
      <c r="L197" s="120"/>
      <c r="M197" s="120"/>
      <c r="N197" s="121"/>
      <c r="O197" s="121"/>
      <c r="P197" s="121"/>
      <c r="Q197" s="121"/>
      <c r="R197" s="121"/>
      <c r="S197" s="121"/>
      <c r="T197" s="121"/>
      <c r="U197" s="121"/>
      <c r="V197" s="121"/>
      <c r="W197" s="121"/>
      <c r="X197" s="121"/>
    </row>
    <row r="198" spans="1:24" ht="15">
      <c r="A198" s="114"/>
      <c r="B198" s="122">
        <v>20173</v>
      </c>
      <c r="C198" s="116"/>
      <c r="D198" s="117" t="s">
        <v>447</v>
      </c>
      <c r="E198" s="118"/>
      <c r="F198" s="119" t="s">
        <v>989</v>
      </c>
      <c r="G198" s="120"/>
      <c r="H198" s="120"/>
      <c r="I198" s="120"/>
      <c r="J198" s="120"/>
      <c r="K198" s="120"/>
      <c r="L198" s="120"/>
      <c r="M198" s="120"/>
      <c r="N198" s="121"/>
      <c r="O198" s="121"/>
      <c r="P198" s="121"/>
      <c r="Q198" s="121"/>
      <c r="R198" s="121"/>
      <c r="S198" s="121"/>
      <c r="T198" s="121"/>
      <c r="U198" s="121"/>
      <c r="V198" s="121"/>
      <c r="W198" s="121"/>
      <c r="X198" s="121"/>
    </row>
    <row r="199" spans="1:24" ht="15">
      <c r="A199" s="114"/>
      <c r="B199" s="122">
        <v>20182</v>
      </c>
      <c r="C199" s="116"/>
      <c r="D199" s="117" t="s">
        <v>949</v>
      </c>
      <c r="E199" s="118"/>
      <c r="F199" s="119" t="s">
        <v>997</v>
      </c>
      <c r="G199" s="120"/>
      <c r="H199" s="120"/>
      <c r="I199" s="120"/>
      <c r="J199" s="120"/>
      <c r="K199" s="120"/>
      <c r="L199" s="120"/>
      <c r="M199" s="120"/>
      <c r="N199" s="121"/>
      <c r="O199" s="121"/>
      <c r="P199" s="121"/>
      <c r="Q199" s="121"/>
      <c r="R199" s="121"/>
      <c r="S199" s="121"/>
      <c r="T199" s="121"/>
      <c r="U199" s="121"/>
      <c r="V199" s="121"/>
      <c r="W199" s="121"/>
      <c r="X199" s="121"/>
    </row>
    <row r="200" spans="1:24" ht="15">
      <c r="A200" s="114"/>
      <c r="B200" s="122">
        <v>20183</v>
      </c>
      <c r="C200" s="116"/>
      <c r="D200" s="117" t="s">
        <v>1001</v>
      </c>
      <c r="E200" s="118"/>
      <c r="F200" s="119" t="s">
        <v>999</v>
      </c>
      <c r="G200" s="120"/>
      <c r="H200" s="120"/>
      <c r="I200" s="120"/>
      <c r="J200" s="120"/>
      <c r="K200" s="120"/>
      <c r="L200" s="120"/>
      <c r="M200" s="120"/>
      <c r="N200" s="121"/>
      <c r="O200" s="121"/>
      <c r="P200" s="121"/>
      <c r="Q200" s="121"/>
      <c r="R200" s="121"/>
      <c r="S200" s="121"/>
      <c r="T200" s="121"/>
      <c r="U200" s="121"/>
      <c r="V200" s="121"/>
      <c r="W200" s="121"/>
      <c r="X200" s="121"/>
    </row>
    <row r="201" spans="1:24" ht="15">
      <c r="A201" s="114"/>
      <c r="B201" s="122">
        <v>20187</v>
      </c>
      <c r="C201" s="116"/>
      <c r="D201" s="117" t="s">
        <v>1003</v>
      </c>
      <c r="E201" s="118"/>
      <c r="F201" s="119" t="s">
        <v>1002</v>
      </c>
      <c r="G201" s="120"/>
      <c r="H201" s="120"/>
      <c r="I201" s="120"/>
      <c r="J201" s="120"/>
      <c r="K201" s="120"/>
      <c r="L201" s="120"/>
      <c r="M201" s="120"/>
      <c r="N201" s="121"/>
      <c r="O201" s="121"/>
      <c r="P201" s="121"/>
      <c r="Q201" s="121"/>
      <c r="R201" s="121"/>
      <c r="S201" s="121"/>
      <c r="T201" s="121"/>
      <c r="U201" s="121"/>
      <c r="V201" s="121"/>
      <c r="W201" s="121"/>
      <c r="X201" s="121"/>
    </row>
    <row r="202" spans="1:24" ht="15">
      <c r="A202" s="114"/>
      <c r="B202" s="122">
        <v>20188</v>
      </c>
      <c r="C202" s="116"/>
      <c r="D202" s="117" t="s">
        <v>265</v>
      </c>
      <c r="E202" s="118"/>
      <c r="F202" s="119" t="s">
        <v>361</v>
      </c>
      <c r="G202" s="120"/>
      <c r="H202" s="120"/>
      <c r="I202" s="120"/>
      <c r="J202" s="120"/>
      <c r="K202" s="120"/>
      <c r="L202" s="120"/>
      <c r="M202" s="120"/>
      <c r="N202" s="121"/>
      <c r="O202" s="121"/>
      <c r="P202" s="121"/>
      <c r="Q202" s="121"/>
      <c r="R202" s="121"/>
      <c r="S202" s="121"/>
      <c r="T202" s="121"/>
      <c r="U202" s="121"/>
      <c r="V202" s="121"/>
      <c r="W202" s="121"/>
      <c r="X202" s="121"/>
    </row>
    <row r="203" spans="1:24" ht="15">
      <c r="A203" s="114"/>
      <c r="B203" s="122">
        <v>20192</v>
      </c>
      <c r="C203" s="116"/>
      <c r="D203" s="117" t="s">
        <v>711</v>
      </c>
      <c r="E203" s="118"/>
      <c r="F203" s="119" t="s">
        <v>1005</v>
      </c>
      <c r="G203" s="120"/>
      <c r="H203" s="120"/>
      <c r="I203" s="120"/>
      <c r="J203" s="120"/>
      <c r="K203" s="120"/>
      <c r="L203" s="120"/>
      <c r="M203" s="120"/>
      <c r="N203" s="121"/>
      <c r="O203" s="121"/>
      <c r="P203" s="121"/>
      <c r="Q203" s="121"/>
      <c r="R203" s="121"/>
      <c r="S203" s="121"/>
      <c r="T203" s="121"/>
      <c r="U203" s="121"/>
      <c r="V203" s="121"/>
      <c r="W203" s="121"/>
      <c r="X203" s="121"/>
    </row>
    <row r="204" spans="1:24" ht="15">
      <c r="A204" s="114"/>
      <c r="B204" s="122">
        <v>20196</v>
      </c>
      <c r="C204" s="116"/>
      <c r="D204" s="117" t="s">
        <v>32</v>
      </c>
      <c r="E204" s="118"/>
      <c r="F204" s="119" t="s">
        <v>1007</v>
      </c>
      <c r="G204" s="120"/>
      <c r="H204" s="120"/>
      <c r="I204" s="120"/>
      <c r="J204" s="120"/>
      <c r="K204" s="120"/>
      <c r="L204" s="120"/>
      <c r="M204" s="120"/>
      <c r="N204" s="121"/>
      <c r="O204" s="121"/>
      <c r="P204" s="121"/>
      <c r="Q204" s="121"/>
      <c r="R204" s="121"/>
      <c r="S204" s="121"/>
      <c r="T204" s="121"/>
      <c r="U204" s="121"/>
      <c r="V204" s="121"/>
      <c r="W204" s="121"/>
      <c r="X204" s="121"/>
    </row>
    <row r="205" spans="1:24" ht="15">
      <c r="A205" s="114"/>
      <c r="B205" s="122">
        <v>20197</v>
      </c>
      <c r="C205" s="116"/>
      <c r="D205" s="117" t="s">
        <v>32</v>
      </c>
      <c r="E205" s="118"/>
      <c r="F205" s="119" t="s">
        <v>1008</v>
      </c>
      <c r="G205" s="120"/>
      <c r="H205" s="120"/>
      <c r="I205" s="120"/>
      <c r="J205" s="120"/>
      <c r="K205" s="120"/>
      <c r="L205" s="120"/>
      <c r="M205" s="120"/>
      <c r="N205" s="121"/>
      <c r="O205" s="121"/>
      <c r="P205" s="121"/>
      <c r="Q205" s="121"/>
      <c r="R205" s="121"/>
      <c r="S205" s="121"/>
      <c r="T205" s="121"/>
      <c r="U205" s="121"/>
      <c r="V205" s="121"/>
      <c r="W205" s="121"/>
      <c r="X205" s="121"/>
    </row>
    <row r="206" spans="1:24" ht="15">
      <c r="A206" s="114"/>
      <c r="B206" s="122">
        <v>20199</v>
      </c>
      <c r="C206" s="116"/>
      <c r="D206" s="117" t="s">
        <v>32</v>
      </c>
      <c r="E206" s="118"/>
      <c r="F206" s="119" t="s">
        <v>1009</v>
      </c>
      <c r="G206" s="120"/>
      <c r="H206" s="120"/>
      <c r="I206" s="120"/>
      <c r="J206" s="120"/>
      <c r="K206" s="120"/>
      <c r="L206" s="120"/>
      <c r="M206" s="120"/>
      <c r="N206" s="121"/>
      <c r="O206" s="121"/>
      <c r="P206" s="121"/>
      <c r="Q206" s="121"/>
      <c r="R206" s="121"/>
      <c r="S206" s="121"/>
      <c r="T206" s="121"/>
      <c r="U206" s="121"/>
      <c r="V206" s="121"/>
      <c r="W206" s="121"/>
      <c r="X206" s="121"/>
    </row>
    <row r="207" spans="1:24" ht="15">
      <c r="A207" s="114"/>
      <c r="B207" s="122">
        <v>20208</v>
      </c>
      <c r="C207" s="116"/>
      <c r="D207" s="117" t="s">
        <v>1034</v>
      </c>
      <c r="E207" s="118"/>
      <c r="F207" s="119" t="s">
        <v>1011</v>
      </c>
      <c r="G207" s="120"/>
      <c r="H207" s="120"/>
      <c r="I207" s="120"/>
      <c r="J207" s="120"/>
      <c r="K207" s="120"/>
      <c r="L207" s="120"/>
      <c r="M207" s="120"/>
      <c r="N207" s="121"/>
      <c r="O207" s="121"/>
      <c r="P207" s="121"/>
      <c r="Q207" s="121"/>
      <c r="R207" s="121"/>
      <c r="S207" s="121"/>
      <c r="T207" s="121"/>
      <c r="U207" s="121"/>
      <c r="V207" s="121"/>
      <c r="W207" s="121"/>
      <c r="X207" s="121"/>
    </row>
    <row r="208" spans="1:24" ht="15">
      <c r="A208" s="114"/>
      <c r="B208" s="122">
        <v>20216</v>
      </c>
      <c r="C208" s="116"/>
      <c r="D208" s="117" t="s">
        <v>1016</v>
      </c>
      <c r="E208" s="118"/>
      <c r="F208" s="119" t="s">
        <v>1015</v>
      </c>
      <c r="G208" s="120"/>
      <c r="H208" s="120"/>
      <c r="I208" s="120"/>
      <c r="J208" s="120"/>
      <c r="K208" s="120"/>
      <c r="L208" s="120"/>
      <c r="M208" s="120"/>
      <c r="N208" s="121"/>
      <c r="O208" s="121"/>
      <c r="P208" s="121"/>
      <c r="Q208" s="121"/>
      <c r="R208" s="121"/>
      <c r="S208" s="121"/>
      <c r="T208" s="121"/>
      <c r="U208" s="121"/>
      <c r="V208" s="121"/>
      <c r="W208" s="121"/>
      <c r="X208" s="121"/>
    </row>
    <row r="209" spans="1:24" ht="15">
      <c r="A209" s="114"/>
      <c r="B209" s="122">
        <v>20221</v>
      </c>
      <c r="C209" s="116"/>
      <c r="D209" s="117" t="s">
        <v>1018</v>
      </c>
      <c r="E209" s="118"/>
      <c r="F209" s="119" t="s">
        <v>1017</v>
      </c>
      <c r="G209" s="120"/>
      <c r="H209" s="120"/>
      <c r="I209" s="120"/>
      <c r="J209" s="120"/>
      <c r="K209" s="120"/>
      <c r="L209" s="120"/>
      <c r="M209" s="120"/>
      <c r="N209" s="121"/>
      <c r="O209" s="121"/>
      <c r="P209" s="121"/>
      <c r="Q209" s="121"/>
      <c r="R209" s="121"/>
      <c r="S209" s="121"/>
      <c r="T209" s="121"/>
      <c r="U209" s="121"/>
      <c r="V209" s="121"/>
      <c r="W209" s="121"/>
      <c r="X209" s="121"/>
    </row>
    <row r="210" spans="1:24" ht="15">
      <c r="A210" s="114"/>
      <c r="B210" s="122">
        <v>20221</v>
      </c>
      <c r="C210" s="116"/>
      <c r="D210" s="117" t="s">
        <v>1022</v>
      </c>
      <c r="E210" s="118"/>
      <c r="F210" s="119" t="s">
        <v>1019</v>
      </c>
      <c r="G210" s="120"/>
      <c r="H210" s="120"/>
      <c r="I210" s="120"/>
      <c r="J210" s="120"/>
      <c r="K210" s="120"/>
      <c r="L210" s="120"/>
      <c r="M210" s="120"/>
      <c r="N210" s="121"/>
      <c r="O210" s="121"/>
      <c r="P210" s="121"/>
      <c r="Q210" s="121"/>
      <c r="R210" s="121"/>
      <c r="S210" s="121"/>
      <c r="T210" s="121"/>
      <c r="U210" s="121"/>
      <c r="V210" s="121"/>
      <c r="W210" s="121"/>
      <c r="X210" s="121"/>
    </row>
    <row r="211" spans="1:24" ht="15">
      <c r="A211" s="114"/>
      <c r="B211" s="122">
        <v>20227</v>
      </c>
      <c r="C211" s="116"/>
      <c r="D211" s="117" t="s">
        <v>889</v>
      </c>
      <c r="E211" s="118"/>
      <c r="F211" s="119" t="s">
        <v>1023</v>
      </c>
      <c r="G211" s="120"/>
      <c r="H211" s="120"/>
      <c r="I211" s="120"/>
      <c r="J211" s="120"/>
      <c r="K211" s="120"/>
      <c r="L211" s="120"/>
      <c r="M211" s="120"/>
      <c r="N211" s="121"/>
      <c r="O211" s="121"/>
      <c r="P211" s="121"/>
      <c r="Q211" s="121"/>
      <c r="R211" s="121"/>
      <c r="S211" s="121"/>
      <c r="T211" s="121"/>
      <c r="U211" s="121"/>
      <c r="V211" s="121"/>
      <c r="W211" s="121"/>
      <c r="X211" s="121"/>
    </row>
    <row r="212" spans="1:24" ht="15">
      <c r="A212" s="114"/>
      <c r="B212" s="122">
        <v>20227</v>
      </c>
      <c r="C212" s="116"/>
      <c r="D212" s="117" t="s">
        <v>269</v>
      </c>
      <c r="E212" s="118"/>
      <c r="F212" s="119" t="s">
        <v>378</v>
      </c>
      <c r="G212" s="120"/>
      <c r="H212" s="120"/>
      <c r="I212" s="120"/>
      <c r="J212" s="120"/>
      <c r="K212" s="120"/>
      <c r="L212" s="120"/>
      <c r="M212" s="120"/>
      <c r="N212" s="121"/>
      <c r="O212" s="121"/>
      <c r="P212" s="121"/>
      <c r="Q212" s="121"/>
      <c r="R212" s="121"/>
      <c r="S212" s="121"/>
      <c r="T212" s="121"/>
      <c r="U212" s="121"/>
      <c r="V212" s="121"/>
      <c r="W212" s="121"/>
      <c r="X212" s="121"/>
    </row>
    <row r="213" spans="1:24" ht="15">
      <c r="A213" s="114"/>
      <c r="B213" s="122">
        <v>20232</v>
      </c>
      <c r="C213" s="116"/>
      <c r="D213" s="117" t="s">
        <v>889</v>
      </c>
      <c r="E213" s="118"/>
      <c r="F213" s="119" t="s">
        <v>1026</v>
      </c>
      <c r="G213" s="120"/>
      <c r="H213" s="120"/>
      <c r="I213" s="120"/>
      <c r="J213" s="120"/>
      <c r="K213" s="120"/>
      <c r="L213" s="120"/>
      <c r="M213" s="120"/>
      <c r="N213" s="121"/>
      <c r="O213" s="121"/>
      <c r="P213" s="121"/>
      <c r="Q213" s="121"/>
      <c r="R213" s="121"/>
      <c r="S213" s="121"/>
      <c r="T213" s="121"/>
      <c r="U213" s="121"/>
      <c r="V213" s="121"/>
      <c r="W213" s="121"/>
      <c r="X213" s="121"/>
    </row>
    <row r="214" spans="1:24" ht="15">
      <c r="A214" s="114"/>
      <c r="B214" s="122">
        <v>20232</v>
      </c>
      <c r="C214" s="116"/>
      <c r="D214" s="117" t="s">
        <v>1029</v>
      </c>
      <c r="E214" s="118"/>
      <c r="F214" s="119" t="s">
        <v>1027</v>
      </c>
      <c r="G214" s="120"/>
      <c r="H214" s="120"/>
      <c r="I214" s="120"/>
      <c r="J214" s="120"/>
      <c r="K214" s="120"/>
      <c r="L214" s="120"/>
      <c r="M214" s="120"/>
      <c r="N214" s="121"/>
      <c r="O214" s="121"/>
      <c r="P214" s="121"/>
      <c r="Q214" s="121"/>
      <c r="R214" s="121"/>
      <c r="S214" s="121"/>
      <c r="T214" s="121"/>
      <c r="U214" s="121"/>
      <c r="V214" s="121"/>
      <c r="W214" s="121"/>
      <c r="X214" s="121"/>
    </row>
    <row r="215" spans="1:24" ht="15">
      <c r="A215" s="114"/>
      <c r="B215" s="122">
        <v>20238</v>
      </c>
      <c r="C215" s="116"/>
      <c r="D215" s="117" t="s">
        <v>1032</v>
      </c>
      <c r="E215" s="118"/>
      <c r="F215" s="119" t="s">
        <v>1030</v>
      </c>
      <c r="G215" s="120"/>
      <c r="H215" s="120"/>
      <c r="I215" s="120"/>
      <c r="J215" s="120"/>
      <c r="K215" s="120"/>
      <c r="L215" s="120"/>
      <c r="M215" s="120"/>
      <c r="N215" s="121"/>
      <c r="O215" s="121"/>
      <c r="P215" s="121"/>
      <c r="Q215" s="121"/>
      <c r="R215" s="121"/>
      <c r="S215" s="121"/>
      <c r="T215" s="121"/>
      <c r="U215" s="121"/>
      <c r="V215" s="121"/>
      <c r="W215" s="121"/>
      <c r="X215" s="121"/>
    </row>
    <row r="216" spans="1:24" ht="15">
      <c r="A216" s="114"/>
      <c r="B216" s="122">
        <v>20238</v>
      </c>
      <c r="C216" s="116"/>
      <c r="D216" s="117" t="s">
        <v>1037</v>
      </c>
      <c r="E216" s="118"/>
      <c r="F216" s="119" t="s">
        <v>1036</v>
      </c>
      <c r="G216" s="120"/>
      <c r="H216" s="120"/>
      <c r="I216" s="120"/>
      <c r="J216" s="120"/>
      <c r="K216" s="120"/>
      <c r="L216" s="120"/>
      <c r="M216" s="120"/>
      <c r="N216" s="121"/>
      <c r="O216" s="121"/>
      <c r="P216" s="121"/>
      <c r="Q216" s="121"/>
      <c r="R216" s="121"/>
      <c r="S216" s="121"/>
      <c r="T216" s="121"/>
      <c r="U216" s="121"/>
      <c r="V216" s="121"/>
      <c r="W216" s="121"/>
      <c r="X216" s="121"/>
    </row>
    <row r="217" spans="1:24" ht="15">
      <c r="A217" s="114"/>
      <c r="B217" s="122">
        <v>20247</v>
      </c>
      <c r="C217" s="116"/>
      <c r="D217" s="117" t="s">
        <v>1042</v>
      </c>
      <c r="E217" s="118"/>
      <c r="F217" s="119" t="s">
        <v>1041</v>
      </c>
      <c r="G217" s="120"/>
      <c r="H217" s="120"/>
      <c r="I217" s="120"/>
      <c r="J217" s="120"/>
      <c r="K217" s="120"/>
      <c r="L217" s="120"/>
      <c r="M217" s="120"/>
      <c r="N217" s="121"/>
      <c r="O217" s="121"/>
      <c r="P217" s="121"/>
      <c r="Q217" s="121"/>
      <c r="R217" s="121"/>
      <c r="S217" s="121"/>
      <c r="T217" s="121"/>
      <c r="U217" s="121"/>
      <c r="V217" s="121"/>
      <c r="W217" s="121"/>
      <c r="X217" s="121"/>
    </row>
    <row r="218" spans="1:24" ht="15">
      <c r="A218" s="114"/>
      <c r="B218" s="122">
        <v>20258</v>
      </c>
      <c r="C218" s="116"/>
      <c r="D218" s="117" t="s">
        <v>1044</v>
      </c>
      <c r="E218" s="118"/>
      <c r="F218" s="119" t="s">
        <v>1043</v>
      </c>
      <c r="G218" s="120"/>
      <c r="H218" s="120"/>
      <c r="I218" s="120"/>
      <c r="J218" s="120"/>
      <c r="K218" s="120"/>
      <c r="L218" s="120"/>
      <c r="M218" s="120"/>
      <c r="N218" s="121"/>
      <c r="O218" s="121"/>
      <c r="P218" s="121"/>
      <c r="Q218" s="121"/>
      <c r="R218" s="121"/>
      <c r="S218" s="121"/>
      <c r="T218" s="121"/>
      <c r="U218" s="121"/>
      <c r="V218" s="121"/>
      <c r="W218" s="121"/>
      <c r="X218" s="121"/>
    </row>
    <row r="219" spans="1:24" ht="15">
      <c r="A219" s="114"/>
      <c r="B219" s="122">
        <v>20259</v>
      </c>
      <c r="C219" s="116"/>
      <c r="D219" s="160"/>
      <c r="E219" s="118"/>
      <c r="F219" s="119" t="s">
        <v>1047</v>
      </c>
      <c r="G219" s="120"/>
      <c r="H219" s="120"/>
      <c r="I219" s="120"/>
      <c r="J219" s="120"/>
      <c r="K219" s="120"/>
      <c r="L219" s="120"/>
      <c r="M219" s="120"/>
      <c r="N219" s="121"/>
      <c r="O219" s="121"/>
      <c r="P219" s="121"/>
      <c r="Q219" s="121"/>
      <c r="R219" s="121"/>
      <c r="S219" s="121"/>
      <c r="T219" s="121"/>
      <c r="U219" s="121"/>
      <c r="V219" s="121"/>
      <c r="W219" s="121"/>
      <c r="X219" s="121"/>
    </row>
    <row r="220" spans="1:24" ht="15">
      <c r="A220" s="114"/>
      <c r="B220" s="122">
        <v>20261</v>
      </c>
      <c r="C220" s="116"/>
      <c r="D220" s="117" t="s">
        <v>1054</v>
      </c>
      <c r="E220" s="118"/>
      <c r="F220" s="119" t="s">
        <v>1053</v>
      </c>
      <c r="G220" s="120"/>
      <c r="H220" s="120"/>
      <c r="I220" s="120"/>
      <c r="J220" s="120"/>
      <c r="K220" s="120"/>
      <c r="L220" s="120"/>
      <c r="M220" s="120"/>
      <c r="N220" s="121"/>
      <c r="O220" s="121"/>
      <c r="P220" s="121"/>
      <c r="Q220" s="121"/>
      <c r="R220" s="121"/>
      <c r="S220" s="121"/>
      <c r="T220" s="121"/>
      <c r="U220" s="121"/>
      <c r="V220" s="121"/>
      <c r="W220" s="121"/>
      <c r="X220" s="121"/>
    </row>
    <row r="221" spans="1:24" ht="15">
      <c r="A221" s="114"/>
      <c r="B221" s="122">
        <v>20264</v>
      </c>
      <c r="C221" s="116"/>
      <c r="D221" s="117" t="s">
        <v>1058</v>
      </c>
      <c r="E221" s="118"/>
      <c r="F221" s="119" t="s">
        <v>1057</v>
      </c>
      <c r="G221" s="120"/>
      <c r="H221" s="120"/>
      <c r="I221" s="120"/>
      <c r="J221" s="120"/>
      <c r="K221" s="120"/>
      <c r="L221" s="120"/>
      <c r="M221" s="120"/>
      <c r="N221" s="121"/>
      <c r="O221" s="121"/>
      <c r="P221" s="121"/>
      <c r="Q221" s="121"/>
      <c r="R221" s="121"/>
      <c r="S221" s="121"/>
      <c r="T221" s="121"/>
      <c r="U221" s="121"/>
      <c r="V221" s="121"/>
      <c r="W221" s="121"/>
      <c r="X221" s="121"/>
    </row>
    <row r="222" spans="1:24" ht="15">
      <c r="A222" s="159">
        <v>20265</v>
      </c>
      <c r="B222" s="144">
        <v>20265</v>
      </c>
      <c r="C222" s="145" t="s">
        <v>2437</v>
      </c>
      <c r="D222" s="145" t="s">
        <v>2440</v>
      </c>
      <c r="E222" s="162" t="s">
        <v>2440</v>
      </c>
      <c r="F222" s="147" t="s">
        <v>2916</v>
      </c>
      <c r="G222" s="120"/>
      <c r="H222" s="120"/>
      <c r="I222" s="120"/>
      <c r="J222" s="120"/>
      <c r="K222" s="120"/>
      <c r="L222" s="120"/>
      <c r="M222" s="120"/>
      <c r="N222" s="121"/>
      <c r="O222" s="121"/>
      <c r="P222" s="121"/>
      <c r="Q222" s="121"/>
      <c r="R222" s="121"/>
      <c r="S222" s="121"/>
      <c r="T222" s="121"/>
      <c r="U222" s="121"/>
      <c r="V222" s="121"/>
      <c r="W222" s="121"/>
      <c r="X222" s="121"/>
    </row>
    <row r="223" spans="1:24" ht="15">
      <c r="A223" s="114"/>
      <c r="B223" s="122">
        <v>20265</v>
      </c>
      <c r="C223" s="116"/>
      <c r="D223" s="117" t="s">
        <v>447</v>
      </c>
      <c r="E223" s="118"/>
      <c r="F223" s="119" t="s">
        <v>1060</v>
      </c>
      <c r="G223" s="120"/>
      <c r="H223" s="120"/>
      <c r="I223" s="120"/>
      <c r="J223" s="120"/>
      <c r="K223" s="120"/>
      <c r="L223" s="120"/>
      <c r="M223" s="120"/>
      <c r="N223" s="121"/>
      <c r="O223" s="121"/>
      <c r="P223" s="121"/>
      <c r="Q223" s="121"/>
      <c r="R223" s="121"/>
      <c r="S223" s="121"/>
      <c r="T223" s="121"/>
      <c r="U223" s="121"/>
      <c r="V223" s="121"/>
      <c r="W223" s="121"/>
      <c r="X223" s="121"/>
    </row>
    <row r="224" spans="1:24" ht="15">
      <c r="A224" s="114"/>
      <c r="B224" s="122">
        <v>20272</v>
      </c>
      <c r="C224" s="116"/>
      <c r="D224" s="117" t="s">
        <v>616</v>
      </c>
      <c r="E224" s="118"/>
      <c r="F224" s="119" t="s">
        <v>1063</v>
      </c>
      <c r="G224" s="120"/>
      <c r="H224" s="120"/>
      <c r="I224" s="120"/>
      <c r="J224" s="120"/>
      <c r="K224" s="120"/>
      <c r="L224" s="120"/>
      <c r="M224" s="120"/>
      <c r="N224" s="121"/>
      <c r="O224" s="121"/>
      <c r="P224" s="121"/>
      <c r="Q224" s="121"/>
      <c r="R224" s="121"/>
      <c r="S224" s="121"/>
      <c r="T224" s="121"/>
      <c r="U224" s="121"/>
      <c r="V224" s="121"/>
      <c r="W224" s="121"/>
      <c r="X224" s="121"/>
    </row>
    <row r="225" spans="1:24" ht="15">
      <c r="A225" s="114"/>
      <c r="B225" s="122">
        <v>20272</v>
      </c>
      <c r="C225" s="116"/>
      <c r="D225" s="117" t="s">
        <v>447</v>
      </c>
      <c r="E225" s="118"/>
      <c r="F225" s="119" t="s">
        <v>1067</v>
      </c>
      <c r="G225" s="120"/>
      <c r="H225" s="120"/>
      <c r="I225" s="120"/>
      <c r="J225" s="120"/>
      <c r="K225" s="120"/>
      <c r="L225" s="120"/>
      <c r="M225" s="120"/>
      <c r="N225" s="121"/>
      <c r="O225" s="121"/>
      <c r="P225" s="121"/>
      <c r="Q225" s="121"/>
      <c r="R225" s="121"/>
      <c r="S225" s="121"/>
      <c r="T225" s="121"/>
      <c r="U225" s="121"/>
      <c r="V225" s="121"/>
      <c r="W225" s="121"/>
      <c r="X225" s="121"/>
    </row>
    <row r="226" spans="1:24" ht="15">
      <c r="A226" s="114"/>
      <c r="B226" s="122">
        <v>20279</v>
      </c>
      <c r="C226" s="116"/>
      <c r="D226" s="126" t="s">
        <v>1088</v>
      </c>
      <c r="E226" s="118"/>
      <c r="F226" s="119" t="s">
        <v>470</v>
      </c>
      <c r="G226" s="120"/>
      <c r="H226" s="120"/>
      <c r="I226" s="120"/>
      <c r="J226" s="120"/>
      <c r="K226" s="120"/>
      <c r="L226" s="120"/>
      <c r="M226" s="120"/>
      <c r="N226" s="121"/>
      <c r="O226" s="121"/>
      <c r="P226" s="121"/>
      <c r="Q226" s="121"/>
      <c r="R226" s="121"/>
      <c r="S226" s="121"/>
      <c r="T226" s="121"/>
      <c r="U226" s="121"/>
      <c r="V226" s="121"/>
      <c r="W226" s="121"/>
      <c r="X226" s="121"/>
    </row>
    <row r="227" spans="1:24" ht="15">
      <c r="A227" s="114"/>
      <c r="B227" s="122">
        <v>20281</v>
      </c>
      <c r="C227" s="116"/>
      <c r="D227" s="117" t="s">
        <v>838</v>
      </c>
      <c r="E227" s="118"/>
      <c r="F227" s="119" t="s">
        <v>1070</v>
      </c>
      <c r="G227" s="120"/>
      <c r="H227" s="120"/>
      <c r="I227" s="120"/>
      <c r="J227" s="120"/>
      <c r="K227" s="120"/>
      <c r="L227" s="120"/>
      <c r="M227" s="120"/>
      <c r="N227" s="121"/>
      <c r="O227" s="121"/>
      <c r="P227" s="121"/>
      <c r="Q227" s="121"/>
      <c r="R227" s="121"/>
      <c r="S227" s="121"/>
      <c r="T227" s="121"/>
      <c r="U227" s="121"/>
      <c r="V227" s="121"/>
      <c r="W227" s="121"/>
      <c r="X227" s="121"/>
    </row>
    <row r="228" spans="1:24" ht="15">
      <c r="A228" s="114"/>
      <c r="B228" s="122">
        <v>20289</v>
      </c>
      <c r="C228" s="116"/>
      <c r="D228" s="117" t="s">
        <v>1078</v>
      </c>
      <c r="E228" s="118"/>
      <c r="F228" s="119" t="s">
        <v>1076</v>
      </c>
      <c r="G228" s="120"/>
      <c r="H228" s="120"/>
      <c r="I228" s="120"/>
      <c r="J228" s="120"/>
      <c r="K228" s="120"/>
      <c r="L228" s="120"/>
      <c r="M228" s="120"/>
      <c r="N228" s="121"/>
      <c r="O228" s="121"/>
      <c r="P228" s="121"/>
      <c r="Q228" s="121"/>
      <c r="R228" s="121"/>
      <c r="S228" s="121"/>
      <c r="T228" s="121"/>
      <c r="U228" s="121"/>
      <c r="V228" s="121"/>
      <c r="W228" s="121"/>
      <c r="X228" s="121"/>
    </row>
    <row r="229" spans="1:24" ht="15">
      <c r="A229" s="114"/>
      <c r="B229" s="122">
        <v>20290</v>
      </c>
      <c r="C229" s="116"/>
      <c r="D229" s="126" t="s">
        <v>711</v>
      </c>
      <c r="E229" s="118"/>
      <c r="F229" s="119" t="s">
        <v>1079</v>
      </c>
      <c r="G229" s="120"/>
      <c r="H229" s="120"/>
      <c r="I229" s="120"/>
      <c r="J229" s="120"/>
      <c r="K229" s="120"/>
      <c r="L229" s="120"/>
      <c r="M229" s="120"/>
      <c r="N229" s="121"/>
      <c r="O229" s="121"/>
      <c r="P229" s="121"/>
      <c r="Q229" s="121"/>
      <c r="R229" s="121"/>
      <c r="S229" s="121"/>
      <c r="T229" s="121"/>
      <c r="U229" s="121"/>
      <c r="V229" s="121"/>
      <c r="W229" s="121"/>
      <c r="X229" s="121"/>
    </row>
    <row r="230" spans="1:24" ht="15">
      <c r="A230" s="114"/>
      <c r="B230" s="122">
        <v>20290</v>
      </c>
      <c r="C230" s="116"/>
      <c r="D230" s="117" t="s">
        <v>1083</v>
      </c>
      <c r="E230" s="118"/>
      <c r="F230" s="119" t="s">
        <v>1082</v>
      </c>
      <c r="G230" s="120"/>
      <c r="H230" s="120"/>
      <c r="I230" s="120"/>
      <c r="J230" s="120"/>
      <c r="K230" s="120"/>
      <c r="L230" s="120"/>
      <c r="M230" s="120"/>
      <c r="N230" s="121"/>
      <c r="O230" s="121"/>
      <c r="P230" s="121"/>
      <c r="Q230" s="121"/>
      <c r="R230" s="121"/>
      <c r="S230" s="121"/>
      <c r="T230" s="121"/>
      <c r="U230" s="121"/>
      <c r="V230" s="121"/>
      <c r="W230" s="121"/>
      <c r="X230" s="121"/>
    </row>
    <row r="231" spans="1:24" ht="15">
      <c r="A231" s="114"/>
      <c r="B231" s="122">
        <v>20293</v>
      </c>
      <c r="C231" s="116"/>
      <c r="D231" s="117" t="s">
        <v>1086</v>
      </c>
      <c r="E231" s="118"/>
      <c r="F231" s="119" t="s">
        <v>1085</v>
      </c>
      <c r="G231" s="120"/>
      <c r="H231" s="120"/>
      <c r="I231" s="120"/>
      <c r="J231" s="120"/>
      <c r="K231" s="120"/>
      <c r="L231" s="120"/>
      <c r="M231" s="120"/>
      <c r="N231" s="121"/>
      <c r="O231" s="121"/>
      <c r="P231" s="121"/>
      <c r="Q231" s="121"/>
      <c r="R231" s="121"/>
      <c r="S231" s="121"/>
      <c r="T231" s="121"/>
      <c r="U231" s="121"/>
      <c r="V231" s="121"/>
      <c r="W231" s="121"/>
      <c r="X231" s="121"/>
    </row>
    <row r="232" spans="1:24" ht="15">
      <c r="A232" s="114"/>
      <c r="B232" s="122">
        <v>20295</v>
      </c>
      <c r="C232" s="116"/>
      <c r="D232" s="117" t="s">
        <v>838</v>
      </c>
      <c r="E232" s="118"/>
      <c r="F232" s="119" t="s">
        <v>1091</v>
      </c>
      <c r="G232" s="120"/>
      <c r="H232" s="120"/>
      <c r="I232" s="120"/>
      <c r="J232" s="120"/>
      <c r="K232" s="120"/>
      <c r="L232" s="120"/>
      <c r="M232" s="120"/>
      <c r="N232" s="121"/>
      <c r="O232" s="121"/>
      <c r="P232" s="121"/>
      <c r="Q232" s="121"/>
      <c r="R232" s="121"/>
      <c r="S232" s="121"/>
      <c r="T232" s="121"/>
      <c r="U232" s="121"/>
      <c r="V232" s="121"/>
      <c r="W232" s="121"/>
      <c r="X232" s="121"/>
    </row>
    <row r="233" spans="1:24" ht="15">
      <c r="A233" s="114"/>
      <c r="B233" s="122">
        <v>20309</v>
      </c>
      <c r="C233" s="116"/>
      <c r="D233" s="117" t="s">
        <v>447</v>
      </c>
      <c r="E233" s="118"/>
      <c r="F233" s="119" t="s">
        <v>1093</v>
      </c>
      <c r="G233" s="120"/>
      <c r="H233" s="120"/>
      <c r="I233" s="120"/>
      <c r="J233" s="120"/>
      <c r="K233" s="120"/>
      <c r="L233" s="120"/>
      <c r="M233" s="120"/>
      <c r="N233" s="121"/>
      <c r="O233" s="121"/>
      <c r="P233" s="121"/>
      <c r="Q233" s="121"/>
      <c r="R233" s="121"/>
      <c r="S233" s="121"/>
      <c r="T233" s="121"/>
      <c r="U233" s="121"/>
      <c r="V233" s="121"/>
      <c r="W233" s="121"/>
      <c r="X233" s="121"/>
    </row>
    <row r="234" spans="1:24" ht="15">
      <c r="A234" s="114"/>
      <c r="B234" s="122">
        <v>20314</v>
      </c>
      <c r="C234" s="116"/>
      <c r="D234" s="117" t="s">
        <v>447</v>
      </c>
      <c r="E234" s="118"/>
      <c r="F234" s="119" t="s">
        <v>1095</v>
      </c>
      <c r="G234" s="120"/>
      <c r="H234" s="120"/>
      <c r="I234" s="120"/>
      <c r="J234" s="120"/>
      <c r="K234" s="120"/>
      <c r="L234" s="120"/>
      <c r="M234" s="120"/>
      <c r="N234" s="121"/>
      <c r="O234" s="121"/>
      <c r="P234" s="121"/>
      <c r="Q234" s="121"/>
      <c r="R234" s="121"/>
      <c r="S234" s="121"/>
      <c r="T234" s="121"/>
      <c r="U234" s="121"/>
      <c r="V234" s="121"/>
      <c r="W234" s="121"/>
      <c r="X234" s="121"/>
    </row>
    <row r="235" spans="1:24" ht="15">
      <c r="A235" s="114"/>
      <c r="B235" s="122">
        <v>20318</v>
      </c>
      <c r="C235" s="116"/>
      <c r="D235" s="117" t="s">
        <v>270</v>
      </c>
      <c r="E235" s="118"/>
      <c r="F235" s="119" t="s">
        <v>384</v>
      </c>
      <c r="G235" s="120"/>
      <c r="H235" s="120"/>
      <c r="I235" s="120"/>
      <c r="J235" s="120"/>
      <c r="K235" s="120"/>
      <c r="L235" s="120"/>
      <c r="M235" s="120"/>
      <c r="N235" s="121"/>
      <c r="O235" s="121"/>
      <c r="P235" s="121"/>
      <c r="Q235" s="121"/>
      <c r="R235" s="121"/>
      <c r="S235" s="121"/>
      <c r="T235" s="121"/>
      <c r="U235" s="121"/>
      <c r="V235" s="121"/>
      <c r="W235" s="121"/>
      <c r="X235" s="121"/>
    </row>
    <row r="236" spans="1:24" ht="45">
      <c r="A236" s="159">
        <v>20320</v>
      </c>
      <c r="B236" s="144">
        <v>20320</v>
      </c>
      <c r="C236" s="145" t="s">
        <v>2455</v>
      </c>
      <c r="D236" s="145" t="s">
        <v>2458</v>
      </c>
      <c r="E236" s="145"/>
      <c r="F236" s="147" t="s">
        <v>2924</v>
      </c>
      <c r="G236" s="120"/>
      <c r="H236" s="120"/>
      <c r="I236" s="120"/>
      <c r="J236" s="120"/>
      <c r="K236" s="120"/>
      <c r="L236" s="120"/>
      <c r="M236" s="120"/>
      <c r="N236" s="121"/>
      <c r="O236" s="121"/>
      <c r="P236" s="121"/>
      <c r="Q236" s="121"/>
      <c r="R236" s="121"/>
      <c r="S236" s="121"/>
      <c r="T236" s="121"/>
      <c r="U236" s="121"/>
      <c r="V236" s="121"/>
      <c r="W236" s="121"/>
      <c r="X236" s="121"/>
    </row>
    <row r="237" spans="1:24" ht="15">
      <c r="A237" s="114"/>
      <c r="B237" s="122">
        <v>20320</v>
      </c>
      <c r="C237" s="116"/>
      <c r="D237" s="117" t="s">
        <v>32</v>
      </c>
      <c r="E237" s="118"/>
      <c r="F237" s="119" t="s">
        <v>1099</v>
      </c>
      <c r="G237" s="120"/>
      <c r="H237" s="120"/>
      <c r="I237" s="120"/>
      <c r="J237" s="120"/>
      <c r="K237" s="120"/>
      <c r="L237" s="120"/>
      <c r="M237" s="120"/>
      <c r="N237" s="121"/>
      <c r="O237" s="121"/>
      <c r="P237" s="121"/>
      <c r="Q237" s="121"/>
      <c r="R237" s="121"/>
      <c r="S237" s="121"/>
      <c r="T237" s="121"/>
      <c r="U237" s="121"/>
      <c r="V237" s="121"/>
      <c r="W237" s="121"/>
      <c r="X237" s="121"/>
    </row>
    <row r="238" spans="1:24" ht="15">
      <c r="A238" s="114"/>
      <c r="B238" s="122">
        <v>20323</v>
      </c>
      <c r="C238" s="116"/>
      <c r="D238" s="126" t="s">
        <v>1110</v>
      </c>
      <c r="E238" s="118"/>
      <c r="F238" s="119" t="s">
        <v>388</v>
      </c>
      <c r="G238" s="120"/>
      <c r="H238" s="120"/>
      <c r="I238" s="120"/>
      <c r="J238" s="120"/>
      <c r="K238" s="120"/>
      <c r="L238" s="120"/>
      <c r="M238" s="120"/>
      <c r="N238" s="121"/>
      <c r="O238" s="121"/>
      <c r="P238" s="121"/>
      <c r="Q238" s="121"/>
      <c r="R238" s="121"/>
      <c r="S238" s="121"/>
      <c r="T238" s="121"/>
      <c r="U238" s="121"/>
      <c r="V238" s="121"/>
      <c r="W238" s="121"/>
      <c r="X238" s="121"/>
    </row>
    <row r="239" spans="1:24" ht="15">
      <c r="A239" s="114"/>
      <c r="B239" s="122">
        <v>20326</v>
      </c>
      <c r="C239" s="116"/>
      <c r="D239" s="117" t="s">
        <v>276</v>
      </c>
      <c r="E239" s="118"/>
      <c r="F239" s="119" t="s">
        <v>393</v>
      </c>
      <c r="G239" s="120"/>
      <c r="H239" s="120"/>
      <c r="I239" s="120"/>
      <c r="J239" s="120"/>
      <c r="K239" s="120"/>
      <c r="L239" s="120"/>
      <c r="M239" s="120"/>
      <c r="N239" s="121"/>
      <c r="O239" s="121"/>
      <c r="P239" s="121"/>
      <c r="Q239" s="121"/>
      <c r="R239" s="121"/>
      <c r="S239" s="121"/>
      <c r="T239" s="121"/>
      <c r="U239" s="121"/>
      <c r="V239" s="121"/>
      <c r="W239" s="121"/>
      <c r="X239" s="121"/>
    </row>
    <row r="240" spans="1:24" ht="15">
      <c r="A240" s="114"/>
      <c r="B240" s="122">
        <v>20327</v>
      </c>
      <c r="C240" s="116"/>
      <c r="D240" s="117" t="s">
        <v>447</v>
      </c>
      <c r="E240" s="118"/>
      <c r="F240" s="119" t="s">
        <v>1108</v>
      </c>
      <c r="G240" s="120"/>
      <c r="H240" s="120"/>
      <c r="I240" s="120"/>
      <c r="J240" s="120"/>
      <c r="K240" s="120"/>
      <c r="L240" s="120"/>
      <c r="M240" s="120"/>
      <c r="N240" s="121"/>
      <c r="O240" s="121"/>
      <c r="P240" s="121"/>
      <c r="Q240" s="121"/>
      <c r="R240" s="121"/>
      <c r="S240" s="121"/>
      <c r="T240" s="121"/>
      <c r="U240" s="121"/>
      <c r="V240" s="121"/>
      <c r="W240" s="121"/>
      <c r="X240" s="121"/>
    </row>
    <row r="241" spans="1:24" ht="15">
      <c r="A241" s="114"/>
      <c r="B241" s="122">
        <v>20328</v>
      </c>
      <c r="C241" s="116"/>
      <c r="D241" s="117" t="s">
        <v>281</v>
      </c>
      <c r="E241" s="118"/>
      <c r="F241" s="119" t="s">
        <v>397</v>
      </c>
      <c r="G241" s="120"/>
      <c r="H241" s="120"/>
      <c r="I241" s="120"/>
      <c r="J241" s="120"/>
      <c r="K241" s="120"/>
      <c r="L241" s="120"/>
      <c r="M241" s="120"/>
      <c r="N241" s="121"/>
      <c r="O241" s="121"/>
      <c r="P241" s="121"/>
      <c r="Q241" s="121"/>
      <c r="R241" s="121"/>
      <c r="S241" s="121"/>
      <c r="T241" s="121"/>
      <c r="U241" s="121"/>
      <c r="V241" s="121"/>
      <c r="W241" s="121"/>
      <c r="X241" s="121"/>
    </row>
    <row r="242" spans="1:24" ht="15">
      <c r="A242" s="114"/>
      <c r="B242" s="122">
        <v>20329</v>
      </c>
      <c r="C242" s="116"/>
      <c r="D242" s="117" t="s">
        <v>286</v>
      </c>
      <c r="E242" s="118"/>
      <c r="F242" s="119" t="s">
        <v>401</v>
      </c>
      <c r="G242" s="120"/>
      <c r="H242" s="120"/>
      <c r="I242" s="120"/>
      <c r="J242" s="120"/>
      <c r="K242" s="120"/>
      <c r="L242" s="120"/>
      <c r="M242" s="120"/>
      <c r="N242" s="121"/>
      <c r="O242" s="121"/>
      <c r="P242" s="121"/>
      <c r="Q242" s="121"/>
      <c r="R242" s="121"/>
      <c r="S242" s="121"/>
      <c r="T242" s="121"/>
      <c r="U242" s="121"/>
      <c r="V242" s="121"/>
      <c r="W242" s="121"/>
      <c r="X242" s="121"/>
    </row>
    <row r="243" spans="1:24" ht="30">
      <c r="A243" s="143" t="s">
        <v>1117</v>
      </c>
      <c r="B243" s="144">
        <v>20330</v>
      </c>
      <c r="C243" s="147" t="s">
        <v>2929</v>
      </c>
      <c r="D243" s="147" t="s">
        <v>2930</v>
      </c>
      <c r="E243" s="148" t="s">
        <v>2931</v>
      </c>
      <c r="F243" s="148" t="s">
        <v>2932</v>
      </c>
      <c r="G243" s="120"/>
      <c r="H243" s="120"/>
      <c r="I243" s="120"/>
      <c r="J243" s="120"/>
      <c r="K243" s="120"/>
      <c r="L243" s="120"/>
      <c r="M243" s="120"/>
      <c r="N243" s="121"/>
      <c r="O243" s="121"/>
      <c r="P243" s="121"/>
      <c r="Q243" s="121"/>
      <c r="R243" s="121"/>
      <c r="S243" s="121"/>
      <c r="T243" s="121"/>
      <c r="U243" s="121"/>
      <c r="V243" s="121"/>
      <c r="W243" s="121"/>
      <c r="X243" s="121"/>
    </row>
    <row r="244" spans="1:24" ht="15">
      <c r="A244" s="114"/>
      <c r="B244" s="122">
        <v>20330</v>
      </c>
      <c r="C244" s="116"/>
      <c r="D244" s="126" t="s">
        <v>408</v>
      </c>
      <c r="E244" s="118"/>
      <c r="F244" s="119" t="s">
        <v>406</v>
      </c>
      <c r="G244" s="120"/>
      <c r="H244" s="120"/>
      <c r="I244" s="120"/>
      <c r="J244" s="120"/>
      <c r="K244" s="120"/>
      <c r="L244" s="120"/>
      <c r="M244" s="120"/>
      <c r="N244" s="121"/>
      <c r="O244" s="121"/>
      <c r="P244" s="121"/>
      <c r="Q244" s="121"/>
      <c r="R244" s="121"/>
      <c r="S244" s="121"/>
      <c r="T244" s="121"/>
      <c r="U244" s="121"/>
      <c r="V244" s="121"/>
      <c r="W244" s="121"/>
      <c r="X244" s="121"/>
    </row>
    <row r="245" spans="1:24" ht="15">
      <c r="A245" s="114"/>
      <c r="B245" s="122">
        <v>20330</v>
      </c>
      <c r="C245" s="116"/>
      <c r="D245" s="117" t="s">
        <v>297</v>
      </c>
      <c r="E245" s="118"/>
      <c r="F245" s="119" t="s">
        <v>415</v>
      </c>
      <c r="G245" s="120"/>
      <c r="H245" s="120"/>
      <c r="I245" s="120"/>
      <c r="J245" s="120"/>
      <c r="K245" s="120"/>
      <c r="L245" s="120"/>
      <c r="M245" s="120"/>
      <c r="N245" s="121"/>
      <c r="O245" s="121"/>
      <c r="P245" s="121"/>
      <c r="Q245" s="121"/>
      <c r="R245" s="121"/>
      <c r="S245" s="121"/>
      <c r="T245" s="121"/>
      <c r="U245" s="121"/>
      <c r="V245" s="121"/>
      <c r="W245" s="121"/>
      <c r="X245" s="121"/>
    </row>
    <row r="246" spans="1:24" ht="15">
      <c r="A246" s="114"/>
      <c r="B246" s="122">
        <v>20331</v>
      </c>
      <c r="C246" s="116"/>
      <c r="D246" s="117" t="s">
        <v>1122</v>
      </c>
      <c r="E246" s="118"/>
      <c r="F246" s="119" t="s">
        <v>1121</v>
      </c>
      <c r="G246" s="120"/>
      <c r="H246" s="120"/>
      <c r="I246" s="120"/>
      <c r="J246" s="120"/>
      <c r="K246" s="120"/>
      <c r="L246" s="120"/>
      <c r="M246" s="120"/>
      <c r="N246" s="121"/>
      <c r="O246" s="121"/>
      <c r="P246" s="121"/>
      <c r="Q246" s="121"/>
      <c r="R246" s="121"/>
      <c r="S246" s="121"/>
      <c r="T246" s="121"/>
      <c r="U246" s="121"/>
      <c r="V246" s="121"/>
      <c r="W246" s="121"/>
      <c r="X246" s="121"/>
    </row>
    <row r="247" spans="1:24" ht="15">
      <c r="A247" s="114"/>
      <c r="B247" s="122">
        <v>20331</v>
      </c>
      <c r="C247" s="116"/>
      <c r="D247" s="126" t="s">
        <v>420</v>
      </c>
      <c r="E247" s="118"/>
      <c r="F247" s="119" t="s">
        <v>418</v>
      </c>
      <c r="G247" s="120"/>
      <c r="H247" s="120"/>
      <c r="I247" s="120"/>
      <c r="J247" s="120"/>
      <c r="K247" s="120"/>
      <c r="L247" s="120"/>
      <c r="M247" s="120"/>
      <c r="N247" s="121"/>
      <c r="O247" s="121"/>
      <c r="P247" s="121"/>
      <c r="Q247" s="121"/>
      <c r="R247" s="121"/>
      <c r="S247" s="121"/>
      <c r="T247" s="121"/>
      <c r="U247" s="121"/>
      <c r="V247" s="121"/>
      <c r="W247" s="121"/>
      <c r="X247" s="121"/>
    </row>
    <row r="248" spans="1:24" ht="60">
      <c r="A248" s="143" t="s">
        <v>2935</v>
      </c>
      <c r="B248" s="144">
        <v>20332</v>
      </c>
      <c r="C248" s="147" t="s">
        <v>2936</v>
      </c>
      <c r="D248" s="147" t="s">
        <v>2937</v>
      </c>
      <c r="E248" s="148" t="s">
        <v>2938</v>
      </c>
      <c r="F248" s="148" t="s">
        <v>2939</v>
      </c>
      <c r="G248" s="120"/>
      <c r="H248" s="120"/>
      <c r="I248" s="120"/>
      <c r="J248" s="120"/>
      <c r="K248" s="120"/>
      <c r="L248" s="120"/>
      <c r="M248" s="120"/>
      <c r="N248" s="121"/>
      <c r="O248" s="121"/>
      <c r="P248" s="121"/>
      <c r="Q248" s="121"/>
      <c r="R248" s="121"/>
      <c r="S248" s="121"/>
      <c r="T248" s="121"/>
      <c r="U248" s="121"/>
      <c r="V248" s="121"/>
      <c r="W248" s="121"/>
      <c r="X248" s="121"/>
    </row>
    <row r="249" spans="1:24" ht="15">
      <c r="A249" s="114"/>
      <c r="B249" s="122">
        <v>20332</v>
      </c>
      <c r="C249" s="116"/>
      <c r="D249" s="117" t="s">
        <v>552</v>
      </c>
      <c r="E249" s="118"/>
      <c r="F249" s="119" t="s">
        <v>1128</v>
      </c>
      <c r="G249" s="120"/>
      <c r="H249" s="120"/>
      <c r="I249" s="120"/>
      <c r="J249" s="120"/>
      <c r="K249" s="120"/>
      <c r="L249" s="120"/>
      <c r="M249" s="120"/>
      <c r="N249" s="121"/>
      <c r="O249" s="121"/>
      <c r="P249" s="121"/>
      <c r="Q249" s="121"/>
      <c r="R249" s="121"/>
      <c r="S249" s="121"/>
      <c r="T249" s="121"/>
      <c r="U249" s="121"/>
      <c r="V249" s="121"/>
      <c r="W249" s="121"/>
      <c r="X249" s="121"/>
    </row>
    <row r="250" spans="1:24" ht="15">
      <c r="A250" s="114"/>
      <c r="B250" s="122">
        <v>20333</v>
      </c>
      <c r="C250" s="116"/>
      <c r="D250" s="117" t="s">
        <v>1131</v>
      </c>
      <c r="E250" s="118"/>
      <c r="F250" s="119" t="s">
        <v>1130</v>
      </c>
      <c r="G250" s="120"/>
      <c r="H250" s="120"/>
      <c r="I250" s="120"/>
      <c r="J250" s="120"/>
      <c r="K250" s="120"/>
      <c r="L250" s="120"/>
      <c r="M250" s="120"/>
      <c r="N250" s="121"/>
      <c r="O250" s="121"/>
      <c r="P250" s="121"/>
      <c r="Q250" s="121"/>
      <c r="R250" s="121"/>
      <c r="S250" s="121"/>
      <c r="T250" s="121"/>
      <c r="U250" s="121"/>
      <c r="V250" s="121"/>
      <c r="W250" s="121"/>
      <c r="X250" s="121"/>
    </row>
    <row r="251" spans="1:24" ht="15">
      <c r="A251" s="114"/>
      <c r="B251" s="122">
        <v>20335</v>
      </c>
      <c r="C251" s="116"/>
      <c r="D251" s="117" t="s">
        <v>447</v>
      </c>
      <c r="E251" s="118"/>
      <c r="F251" s="119" t="s">
        <v>1134</v>
      </c>
      <c r="G251" s="120"/>
      <c r="H251" s="120"/>
      <c r="I251" s="120"/>
      <c r="J251" s="120"/>
      <c r="K251" s="120"/>
      <c r="L251" s="120"/>
      <c r="M251" s="120"/>
      <c r="N251" s="121"/>
      <c r="O251" s="121"/>
      <c r="P251" s="121"/>
      <c r="Q251" s="121"/>
      <c r="R251" s="121"/>
      <c r="S251" s="121"/>
      <c r="T251" s="121"/>
      <c r="U251" s="121"/>
      <c r="V251" s="121"/>
      <c r="W251" s="121"/>
      <c r="X251" s="121"/>
    </row>
    <row r="252" spans="1:24" ht="15">
      <c r="A252" s="114"/>
      <c r="B252" s="122">
        <v>20339</v>
      </c>
      <c r="C252" s="116"/>
      <c r="D252" s="117" t="s">
        <v>1138</v>
      </c>
      <c r="E252" s="118"/>
      <c r="F252" s="119" t="s">
        <v>1137</v>
      </c>
      <c r="G252" s="120"/>
      <c r="H252" s="120"/>
      <c r="I252" s="120"/>
      <c r="J252" s="120"/>
      <c r="K252" s="120"/>
      <c r="L252" s="120"/>
      <c r="M252" s="120"/>
      <c r="N252" s="121"/>
      <c r="O252" s="121"/>
      <c r="P252" s="121"/>
      <c r="Q252" s="121"/>
      <c r="R252" s="121"/>
      <c r="S252" s="121"/>
      <c r="T252" s="121"/>
      <c r="U252" s="121"/>
      <c r="V252" s="121"/>
      <c r="W252" s="121"/>
      <c r="X252" s="121"/>
    </row>
    <row r="253" spans="1:24" ht="15">
      <c r="A253" s="114"/>
      <c r="B253" s="122">
        <v>20345</v>
      </c>
      <c r="C253" s="116"/>
      <c r="D253" s="117" t="s">
        <v>32</v>
      </c>
      <c r="E253" s="118"/>
      <c r="F253" s="119" t="s">
        <v>1139</v>
      </c>
      <c r="G253" s="120"/>
      <c r="H253" s="120"/>
      <c r="I253" s="120"/>
      <c r="J253" s="120"/>
      <c r="K253" s="120"/>
      <c r="L253" s="120"/>
      <c r="M253" s="120"/>
      <c r="N253" s="121"/>
      <c r="O253" s="121"/>
      <c r="P253" s="121"/>
      <c r="Q253" s="121"/>
      <c r="R253" s="121"/>
      <c r="S253" s="121"/>
      <c r="T253" s="121"/>
      <c r="U253" s="121"/>
      <c r="V253" s="121"/>
      <c r="W253" s="121"/>
      <c r="X253" s="121"/>
    </row>
    <row r="254" spans="1:24" ht="60">
      <c r="A254" s="143" t="s">
        <v>2942</v>
      </c>
      <c r="B254" s="144">
        <v>20354</v>
      </c>
      <c r="C254" s="147" t="s">
        <v>2943</v>
      </c>
      <c r="D254" s="147" t="s">
        <v>2945</v>
      </c>
      <c r="E254" s="146" t="s">
        <v>2946</v>
      </c>
      <c r="F254" s="148" t="s">
        <v>2947</v>
      </c>
      <c r="G254" s="120"/>
      <c r="H254" s="120"/>
      <c r="I254" s="120"/>
      <c r="J254" s="120"/>
      <c r="K254" s="120"/>
      <c r="L254" s="120"/>
      <c r="M254" s="120"/>
      <c r="N254" s="121"/>
      <c r="O254" s="121"/>
      <c r="P254" s="121"/>
      <c r="Q254" s="121"/>
      <c r="R254" s="121"/>
      <c r="S254" s="121"/>
      <c r="T254" s="121"/>
      <c r="U254" s="121"/>
      <c r="V254" s="121"/>
      <c r="W254" s="121"/>
      <c r="X254" s="121"/>
    </row>
    <row r="255" spans="1:24" ht="15">
      <c r="A255" s="114"/>
      <c r="B255" s="122">
        <v>20354</v>
      </c>
      <c r="C255" s="116"/>
      <c r="D255" s="117" t="s">
        <v>1142</v>
      </c>
      <c r="E255" s="118"/>
      <c r="F255" s="119" t="s">
        <v>1141</v>
      </c>
      <c r="G255" s="120"/>
      <c r="H255" s="120"/>
      <c r="I255" s="120"/>
      <c r="J255" s="120"/>
      <c r="K255" s="120"/>
      <c r="L255" s="120"/>
      <c r="M255" s="120"/>
      <c r="N255" s="121"/>
      <c r="O255" s="121"/>
      <c r="P255" s="121"/>
      <c r="Q255" s="121"/>
      <c r="R255" s="121"/>
      <c r="S255" s="121"/>
      <c r="T255" s="121"/>
      <c r="U255" s="121"/>
      <c r="V255" s="121"/>
      <c r="W255" s="121"/>
      <c r="X255" s="121"/>
    </row>
    <row r="256" spans="1:24" ht="15">
      <c r="A256" s="114"/>
      <c r="B256" s="122">
        <v>20359</v>
      </c>
      <c r="C256" s="116"/>
      <c r="D256" s="117" t="s">
        <v>1145</v>
      </c>
      <c r="E256" s="118"/>
      <c r="F256" s="119" t="s">
        <v>1144</v>
      </c>
      <c r="G256" s="120"/>
      <c r="H256" s="120"/>
      <c r="I256" s="120"/>
      <c r="J256" s="120"/>
      <c r="K256" s="120"/>
      <c r="L256" s="120"/>
      <c r="M256" s="120"/>
      <c r="N256" s="121"/>
      <c r="O256" s="121"/>
      <c r="P256" s="121"/>
      <c r="Q256" s="121"/>
      <c r="R256" s="121"/>
      <c r="S256" s="121"/>
      <c r="T256" s="121"/>
      <c r="U256" s="121"/>
      <c r="V256" s="121"/>
      <c r="W256" s="121"/>
      <c r="X256" s="121"/>
    </row>
    <row r="257" spans="1:24" ht="15">
      <c r="A257" s="114"/>
      <c r="B257" s="122">
        <v>20362</v>
      </c>
      <c r="C257" s="116"/>
      <c r="D257" s="117" t="s">
        <v>32</v>
      </c>
      <c r="E257" s="118"/>
      <c r="F257" s="119" t="s">
        <v>1147</v>
      </c>
      <c r="G257" s="120"/>
      <c r="H257" s="120"/>
      <c r="I257" s="120"/>
      <c r="J257" s="120"/>
      <c r="K257" s="120"/>
      <c r="L257" s="120"/>
      <c r="M257" s="120"/>
      <c r="N257" s="121"/>
      <c r="O257" s="121"/>
      <c r="P257" s="121"/>
      <c r="Q257" s="121"/>
      <c r="R257" s="121"/>
      <c r="S257" s="121"/>
      <c r="T257" s="121"/>
      <c r="U257" s="121"/>
      <c r="V257" s="121"/>
      <c r="W257" s="121"/>
      <c r="X257" s="121"/>
    </row>
    <row r="258" spans="1:24" ht="15">
      <c r="A258" s="114"/>
      <c r="B258" s="122">
        <v>20366</v>
      </c>
      <c r="C258" s="116"/>
      <c r="D258" s="117" t="s">
        <v>447</v>
      </c>
      <c r="E258" s="118"/>
      <c r="F258" s="119" t="s">
        <v>1148</v>
      </c>
      <c r="G258" s="120"/>
      <c r="H258" s="120"/>
      <c r="I258" s="120"/>
      <c r="J258" s="120"/>
      <c r="K258" s="120"/>
      <c r="L258" s="120"/>
      <c r="M258" s="120"/>
      <c r="N258" s="121"/>
      <c r="O258" s="121"/>
      <c r="P258" s="121"/>
      <c r="Q258" s="121"/>
      <c r="R258" s="121"/>
      <c r="S258" s="121"/>
      <c r="T258" s="121"/>
      <c r="U258" s="121"/>
      <c r="V258" s="121"/>
      <c r="W258" s="121"/>
      <c r="X258" s="121"/>
    </row>
    <row r="259" spans="1:24" ht="15">
      <c r="A259" s="114"/>
      <c r="B259" s="122">
        <v>20369</v>
      </c>
      <c r="C259" s="116"/>
      <c r="D259" s="117" t="s">
        <v>1154</v>
      </c>
      <c r="E259" s="118"/>
      <c r="F259" s="119" t="s">
        <v>1153</v>
      </c>
      <c r="G259" s="120"/>
      <c r="H259" s="120"/>
      <c r="I259" s="120"/>
      <c r="J259" s="120"/>
      <c r="K259" s="120"/>
      <c r="L259" s="120"/>
      <c r="M259" s="120"/>
      <c r="N259" s="121"/>
      <c r="O259" s="121"/>
      <c r="P259" s="121"/>
      <c r="Q259" s="121"/>
      <c r="R259" s="121"/>
      <c r="S259" s="121"/>
      <c r="T259" s="121"/>
      <c r="U259" s="121"/>
      <c r="V259" s="121"/>
      <c r="W259" s="121"/>
      <c r="X259" s="121"/>
    </row>
    <row r="260" spans="1:24" ht="15">
      <c r="A260" s="114"/>
      <c r="B260" s="122">
        <v>20372</v>
      </c>
      <c r="C260" s="116"/>
      <c r="D260" s="117" t="s">
        <v>1156</v>
      </c>
      <c r="E260" s="118"/>
      <c r="F260" s="119" t="s">
        <v>1155</v>
      </c>
      <c r="G260" s="120"/>
      <c r="H260" s="120"/>
      <c r="I260" s="120"/>
      <c r="J260" s="120"/>
      <c r="K260" s="120"/>
      <c r="L260" s="120"/>
      <c r="M260" s="120"/>
      <c r="N260" s="121"/>
      <c r="O260" s="121"/>
      <c r="P260" s="121"/>
      <c r="Q260" s="121"/>
      <c r="R260" s="121"/>
      <c r="S260" s="121"/>
      <c r="T260" s="121"/>
      <c r="U260" s="121"/>
      <c r="V260" s="121"/>
      <c r="W260" s="121"/>
      <c r="X260" s="121"/>
    </row>
    <row r="261" spans="1:24" ht="15">
      <c r="A261" s="114"/>
      <c r="B261" s="122">
        <v>20376</v>
      </c>
      <c r="C261" s="116"/>
      <c r="D261" s="117" t="s">
        <v>1160</v>
      </c>
      <c r="E261" s="118"/>
      <c r="F261" s="119" t="s">
        <v>1159</v>
      </c>
      <c r="G261" s="120"/>
      <c r="H261" s="120"/>
      <c r="I261" s="120"/>
      <c r="J261" s="120"/>
      <c r="K261" s="120"/>
      <c r="L261" s="120"/>
      <c r="M261" s="120"/>
      <c r="N261" s="121"/>
      <c r="O261" s="121"/>
      <c r="P261" s="121"/>
      <c r="Q261" s="121"/>
      <c r="R261" s="121"/>
      <c r="S261" s="121"/>
      <c r="T261" s="121"/>
      <c r="U261" s="121"/>
      <c r="V261" s="121"/>
      <c r="W261" s="121"/>
      <c r="X261" s="121"/>
    </row>
    <row r="262" spans="1:24" ht="15">
      <c r="A262" s="114"/>
      <c r="B262" s="122">
        <v>20377</v>
      </c>
      <c r="C262" s="116"/>
      <c r="D262" s="117" t="s">
        <v>32</v>
      </c>
      <c r="E262" s="118"/>
      <c r="F262" s="119" t="s">
        <v>1161</v>
      </c>
      <c r="G262" s="120"/>
      <c r="H262" s="120"/>
      <c r="I262" s="120"/>
      <c r="J262" s="120"/>
      <c r="K262" s="120"/>
      <c r="L262" s="120"/>
      <c r="M262" s="120"/>
      <c r="N262" s="121"/>
      <c r="O262" s="121"/>
      <c r="P262" s="121"/>
      <c r="Q262" s="121"/>
      <c r="R262" s="121"/>
      <c r="S262" s="121"/>
      <c r="T262" s="121"/>
      <c r="U262" s="121"/>
      <c r="V262" s="121"/>
      <c r="W262" s="121"/>
      <c r="X262" s="121"/>
    </row>
    <row r="263" spans="1:24" ht="15">
      <c r="A263" s="114"/>
      <c r="B263" s="122">
        <v>20378</v>
      </c>
      <c r="C263" s="116"/>
      <c r="D263" s="117" t="s">
        <v>1160</v>
      </c>
      <c r="E263" s="118"/>
      <c r="F263" s="119" t="s">
        <v>1163</v>
      </c>
      <c r="G263" s="120"/>
      <c r="H263" s="120"/>
      <c r="I263" s="120"/>
      <c r="J263" s="120"/>
      <c r="K263" s="120"/>
      <c r="L263" s="120"/>
      <c r="M263" s="120"/>
      <c r="N263" s="121"/>
      <c r="O263" s="121"/>
      <c r="P263" s="121"/>
      <c r="Q263" s="121"/>
      <c r="R263" s="121"/>
      <c r="S263" s="121"/>
      <c r="T263" s="121"/>
      <c r="U263" s="121"/>
      <c r="V263" s="121"/>
      <c r="W263" s="121"/>
      <c r="X263" s="121"/>
    </row>
    <row r="264" spans="1:24" ht="15">
      <c r="A264" s="114"/>
      <c r="B264" s="122">
        <v>20380</v>
      </c>
      <c r="C264" s="116"/>
      <c r="D264" s="126" t="s">
        <v>16</v>
      </c>
      <c r="E264" s="118"/>
      <c r="F264" s="119" t="s">
        <v>423</v>
      </c>
      <c r="G264" s="120"/>
      <c r="H264" s="120"/>
      <c r="I264" s="120"/>
      <c r="J264" s="120"/>
      <c r="K264" s="120"/>
      <c r="L264" s="120"/>
      <c r="M264" s="120"/>
      <c r="N264" s="121"/>
      <c r="O264" s="121"/>
      <c r="P264" s="121"/>
      <c r="Q264" s="121"/>
      <c r="R264" s="121"/>
      <c r="S264" s="121"/>
      <c r="T264" s="121"/>
      <c r="U264" s="121"/>
      <c r="V264" s="121"/>
      <c r="W264" s="121"/>
      <c r="X264" s="121"/>
    </row>
    <row r="265" spans="1:24" ht="15">
      <c r="A265" s="114"/>
      <c r="B265" s="122">
        <v>20380</v>
      </c>
      <c r="C265" s="116"/>
      <c r="D265" s="117" t="s">
        <v>1169</v>
      </c>
      <c r="E265" s="118"/>
      <c r="F265" s="119" t="s">
        <v>1168</v>
      </c>
      <c r="G265" s="120"/>
      <c r="H265" s="120"/>
      <c r="I265" s="120"/>
      <c r="J265" s="120"/>
      <c r="K265" s="120"/>
      <c r="L265" s="120"/>
      <c r="M265" s="120"/>
      <c r="N265" s="121"/>
      <c r="O265" s="121"/>
      <c r="P265" s="121"/>
      <c r="Q265" s="121"/>
      <c r="R265" s="121"/>
      <c r="S265" s="121"/>
      <c r="T265" s="121"/>
      <c r="U265" s="121"/>
      <c r="V265" s="121"/>
      <c r="W265" s="121"/>
      <c r="X265" s="121"/>
    </row>
    <row r="266" spans="1:24" ht="60">
      <c r="A266" s="143" t="s">
        <v>2954</v>
      </c>
      <c r="B266" s="144">
        <v>20384</v>
      </c>
      <c r="C266" s="147" t="s">
        <v>2955</v>
      </c>
      <c r="D266" s="147" t="s">
        <v>2956</v>
      </c>
      <c r="E266" s="148" t="s">
        <v>2957</v>
      </c>
      <c r="F266" s="148" t="s">
        <v>2958</v>
      </c>
      <c r="G266" s="120"/>
      <c r="H266" s="120"/>
      <c r="I266" s="120"/>
      <c r="J266" s="120"/>
      <c r="K266" s="120"/>
      <c r="L266" s="120"/>
      <c r="M266" s="120"/>
      <c r="N266" s="121"/>
      <c r="O266" s="121"/>
      <c r="P266" s="121"/>
      <c r="Q266" s="121"/>
      <c r="R266" s="121"/>
      <c r="S266" s="121"/>
      <c r="T266" s="121"/>
      <c r="U266" s="121"/>
      <c r="V266" s="121"/>
      <c r="W266" s="121"/>
      <c r="X266" s="121"/>
    </row>
    <row r="267" spans="1:24" ht="15">
      <c r="A267" s="114"/>
      <c r="B267" s="122">
        <v>20386</v>
      </c>
      <c r="C267" s="116"/>
      <c r="D267" s="117" t="s">
        <v>32</v>
      </c>
      <c r="E267" s="118"/>
      <c r="F267" s="119" t="s">
        <v>1170</v>
      </c>
      <c r="G267" s="120"/>
      <c r="H267" s="120"/>
      <c r="I267" s="120"/>
      <c r="J267" s="120"/>
      <c r="K267" s="120"/>
      <c r="L267" s="120"/>
      <c r="M267" s="120"/>
      <c r="N267" s="121"/>
      <c r="O267" s="121"/>
      <c r="P267" s="121"/>
      <c r="Q267" s="121"/>
      <c r="R267" s="121"/>
      <c r="S267" s="121"/>
      <c r="T267" s="121"/>
      <c r="U267" s="121"/>
      <c r="V267" s="121"/>
      <c r="W267" s="121"/>
      <c r="X267" s="121"/>
    </row>
    <row r="268" spans="1:24" ht="15">
      <c r="A268" s="114"/>
      <c r="B268" s="122">
        <v>20388</v>
      </c>
      <c r="C268" s="116"/>
      <c r="D268" s="117" t="s">
        <v>131</v>
      </c>
      <c r="E268" s="118"/>
      <c r="F268" s="119" t="s">
        <v>427</v>
      </c>
      <c r="G268" s="120"/>
      <c r="H268" s="120"/>
      <c r="I268" s="120"/>
      <c r="J268" s="120"/>
      <c r="K268" s="120"/>
      <c r="L268" s="120"/>
      <c r="M268" s="120"/>
      <c r="N268" s="121"/>
      <c r="O268" s="121"/>
      <c r="P268" s="121"/>
      <c r="Q268" s="121"/>
      <c r="R268" s="121"/>
      <c r="S268" s="121"/>
      <c r="T268" s="121"/>
      <c r="U268" s="121"/>
      <c r="V268" s="121"/>
      <c r="W268" s="121"/>
      <c r="X268" s="121"/>
    </row>
    <row r="269" spans="1:24" ht="45">
      <c r="A269" s="143" t="s">
        <v>2960</v>
      </c>
      <c r="B269" s="144">
        <v>20389</v>
      </c>
      <c r="C269" s="147" t="s">
        <v>2961</v>
      </c>
      <c r="D269" s="147" t="s">
        <v>2962</v>
      </c>
      <c r="E269" s="148" t="s">
        <v>2963</v>
      </c>
      <c r="F269" s="148" t="s">
        <v>2964</v>
      </c>
      <c r="G269" s="120"/>
      <c r="H269" s="120"/>
      <c r="I269" s="120"/>
      <c r="J269" s="120"/>
      <c r="K269" s="120"/>
      <c r="L269" s="120"/>
      <c r="M269" s="120"/>
      <c r="N269" s="121"/>
      <c r="O269" s="121"/>
      <c r="P269" s="121"/>
      <c r="Q269" s="121"/>
      <c r="R269" s="121"/>
      <c r="S269" s="121"/>
      <c r="T269" s="121"/>
      <c r="U269" s="121"/>
      <c r="V269" s="121"/>
      <c r="W269" s="121"/>
      <c r="X269" s="121"/>
    </row>
    <row r="270" spans="1:24" ht="15">
      <c r="A270" s="114"/>
      <c r="B270" s="122">
        <v>20391</v>
      </c>
      <c r="C270" s="116"/>
      <c r="D270" s="117" t="s">
        <v>131</v>
      </c>
      <c r="E270" s="118"/>
      <c r="F270" s="119" t="s">
        <v>437</v>
      </c>
      <c r="G270" s="120"/>
      <c r="H270" s="120"/>
      <c r="I270" s="120"/>
      <c r="J270" s="120"/>
      <c r="K270" s="120"/>
      <c r="L270" s="120"/>
      <c r="M270" s="120"/>
      <c r="N270" s="121"/>
      <c r="O270" s="121"/>
      <c r="P270" s="121"/>
      <c r="Q270" s="121"/>
      <c r="R270" s="121"/>
      <c r="S270" s="121"/>
      <c r="T270" s="121"/>
      <c r="U270" s="121"/>
      <c r="V270" s="121"/>
      <c r="W270" s="121"/>
      <c r="X270" s="121"/>
    </row>
    <row r="271" spans="1:24" ht="90">
      <c r="A271" s="143" t="s">
        <v>2966</v>
      </c>
      <c r="B271" s="144">
        <v>20395</v>
      </c>
      <c r="C271" s="147" t="s">
        <v>2967</v>
      </c>
      <c r="D271" s="147" t="s">
        <v>2968</v>
      </c>
      <c r="E271" s="146" t="s">
        <v>2969</v>
      </c>
      <c r="F271" s="148" t="s">
        <v>2970</v>
      </c>
      <c r="G271" s="120"/>
      <c r="H271" s="120"/>
      <c r="I271" s="120"/>
      <c r="J271" s="120"/>
      <c r="K271" s="120"/>
      <c r="L271" s="120"/>
      <c r="M271" s="120"/>
      <c r="N271" s="121"/>
      <c r="O271" s="121"/>
      <c r="P271" s="121"/>
      <c r="Q271" s="121"/>
      <c r="R271" s="121"/>
      <c r="S271" s="121"/>
      <c r="T271" s="121"/>
      <c r="U271" s="121"/>
      <c r="V271" s="121"/>
      <c r="W271" s="121"/>
      <c r="X271" s="121"/>
    </row>
    <row r="272" spans="1:24" ht="15">
      <c r="A272" s="114"/>
      <c r="B272" s="122">
        <v>20399</v>
      </c>
      <c r="C272" s="116"/>
      <c r="D272" s="117" t="s">
        <v>1177</v>
      </c>
      <c r="E272" s="118"/>
      <c r="F272" s="119" t="s">
        <v>1175</v>
      </c>
      <c r="G272" s="120"/>
      <c r="H272" s="120"/>
      <c r="I272" s="120"/>
      <c r="J272" s="120"/>
      <c r="K272" s="120"/>
      <c r="L272" s="120"/>
      <c r="M272" s="120"/>
      <c r="N272" s="121"/>
      <c r="O272" s="121"/>
      <c r="P272" s="121"/>
      <c r="Q272" s="121"/>
      <c r="R272" s="121"/>
      <c r="S272" s="121"/>
      <c r="T272" s="121"/>
      <c r="U272" s="121"/>
      <c r="V272" s="121"/>
      <c r="W272" s="121"/>
      <c r="X272" s="121"/>
    </row>
    <row r="273" spans="1:24" ht="15">
      <c r="A273" s="114"/>
      <c r="B273" s="122">
        <v>20399</v>
      </c>
      <c r="C273" s="116"/>
      <c r="D273" s="117" t="s">
        <v>447</v>
      </c>
      <c r="E273" s="118"/>
      <c r="F273" s="119" t="s">
        <v>1178</v>
      </c>
      <c r="G273" s="120"/>
      <c r="H273" s="120"/>
      <c r="I273" s="120"/>
      <c r="J273" s="120"/>
      <c r="K273" s="120"/>
      <c r="L273" s="120"/>
      <c r="M273" s="120"/>
      <c r="N273" s="121"/>
      <c r="O273" s="121"/>
      <c r="P273" s="121"/>
      <c r="Q273" s="121"/>
      <c r="R273" s="121"/>
      <c r="S273" s="121"/>
      <c r="T273" s="121"/>
      <c r="U273" s="121"/>
      <c r="V273" s="121"/>
      <c r="W273" s="121"/>
      <c r="X273" s="121"/>
    </row>
    <row r="274" spans="1:24" ht="15">
      <c r="A274" s="114"/>
      <c r="B274" s="122">
        <v>20401</v>
      </c>
      <c r="C274" s="116"/>
      <c r="D274" s="117" t="s">
        <v>1182</v>
      </c>
      <c r="E274" s="118"/>
      <c r="F274" s="119" t="s">
        <v>1181</v>
      </c>
      <c r="G274" s="120"/>
      <c r="H274" s="120"/>
      <c r="I274" s="120"/>
      <c r="J274" s="120"/>
      <c r="K274" s="120"/>
      <c r="L274" s="120"/>
      <c r="M274" s="120"/>
      <c r="N274" s="121"/>
      <c r="O274" s="121"/>
      <c r="P274" s="121"/>
      <c r="Q274" s="121"/>
      <c r="R274" s="121"/>
      <c r="S274" s="121"/>
      <c r="T274" s="121"/>
      <c r="U274" s="121"/>
      <c r="V274" s="121"/>
      <c r="W274" s="121"/>
      <c r="X274" s="121"/>
    </row>
    <row r="275" spans="1:24" ht="15">
      <c r="A275" s="114"/>
      <c r="B275" s="122">
        <v>20411</v>
      </c>
      <c r="C275" s="116"/>
      <c r="D275" s="117" t="s">
        <v>1186</v>
      </c>
      <c r="E275" s="118"/>
      <c r="F275" s="119" t="s">
        <v>1185</v>
      </c>
      <c r="G275" s="120"/>
      <c r="H275" s="120"/>
      <c r="I275" s="120"/>
      <c r="J275" s="120"/>
      <c r="K275" s="120"/>
      <c r="L275" s="120"/>
      <c r="M275" s="120"/>
      <c r="N275" s="121"/>
      <c r="O275" s="121"/>
      <c r="P275" s="121"/>
      <c r="Q275" s="121"/>
      <c r="R275" s="121"/>
      <c r="S275" s="121"/>
      <c r="T275" s="121"/>
      <c r="U275" s="121"/>
      <c r="V275" s="121"/>
      <c r="W275" s="121"/>
      <c r="X275" s="121"/>
    </row>
    <row r="276" spans="1:24" ht="15">
      <c r="A276" s="114"/>
      <c r="B276" s="122">
        <v>20411</v>
      </c>
      <c r="C276" s="116"/>
      <c r="D276" s="117" t="s">
        <v>711</v>
      </c>
      <c r="E276" s="118"/>
      <c r="F276" s="119" t="s">
        <v>1187</v>
      </c>
      <c r="G276" s="120"/>
      <c r="H276" s="120"/>
      <c r="I276" s="120"/>
      <c r="J276" s="120"/>
      <c r="K276" s="120"/>
      <c r="L276" s="120"/>
      <c r="M276" s="120"/>
      <c r="N276" s="121"/>
      <c r="O276" s="121"/>
      <c r="P276" s="121"/>
      <c r="Q276" s="121"/>
      <c r="R276" s="121"/>
      <c r="S276" s="121"/>
      <c r="T276" s="121"/>
      <c r="U276" s="121"/>
      <c r="V276" s="121"/>
      <c r="W276" s="121"/>
      <c r="X276" s="121"/>
    </row>
    <row r="277" spans="1:24" ht="15">
      <c r="A277" s="114"/>
      <c r="B277" s="122">
        <v>20411</v>
      </c>
      <c r="C277" s="116"/>
      <c r="D277" s="117" t="s">
        <v>1191</v>
      </c>
      <c r="E277" s="118"/>
      <c r="F277" s="119" t="s">
        <v>1190</v>
      </c>
      <c r="G277" s="120"/>
      <c r="H277" s="120"/>
      <c r="I277" s="120"/>
      <c r="J277" s="120"/>
      <c r="K277" s="120"/>
      <c r="L277" s="120"/>
      <c r="M277" s="120"/>
      <c r="N277" s="121"/>
      <c r="O277" s="121"/>
      <c r="P277" s="121"/>
      <c r="Q277" s="121"/>
      <c r="R277" s="121"/>
      <c r="S277" s="121"/>
      <c r="T277" s="121"/>
      <c r="U277" s="121"/>
      <c r="V277" s="121"/>
      <c r="W277" s="121"/>
      <c r="X277" s="121"/>
    </row>
    <row r="278" spans="1:24" ht="15">
      <c r="A278" s="114"/>
      <c r="B278" s="122">
        <v>20412</v>
      </c>
      <c r="C278" s="116"/>
      <c r="D278" s="117" t="s">
        <v>1196</v>
      </c>
      <c r="E278" s="118"/>
      <c r="F278" s="119" t="s">
        <v>1195</v>
      </c>
      <c r="G278" s="120"/>
      <c r="H278" s="120"/>
      <c r="I278" s="120"/>
      <c r="J278" s="120"/>
      <c r="K278" s="120"/>
      <c r="L278" s="120"/>
      <c r="M278" s="120"/>
      <c r="N278" s="121"/>
      <c r="O278" s="121"/>
      <c r="P278" s="121"/>
      <c r="Q278" s="121"/>
      <c r="R278" s="121"/>
      <c r="S278" s="121"/>
      <c r="T278" s="121"/>
      <c r="U278" s="121"/>
      <c r="V278" s="121"/>
      <c r="W278" s="121"/>
      <c r="X278" s="121"/>
    </row>
    <row r="279" spans="1:24" ht="15">
      <c r="A279" s="114"/>
      <c r="B279" s="122">
        <v>20412</v>
      </c>
      <c r="C279" s="116"/>
      <c r="D279" s="117" t="s">
        <v>1198</v>
      </c>
      <c r="E279" s="118"/>
      <c r="F279" s="119" t="s">
        <v>1197</v>
      </c>
      <c r="G279" s="120"/>
      <c r="H279" s="120"/>
      <c r="I279" s="120"/>
      <c r="J279" s="120"/>
      <c r="K279" s="120"/>
      <c r="L279" s="120"/>
      <c r="M279" s="120"/>
      <c r="N279" s="121"/>
      <c r="O279" s="121"/>
      <c r="P279" s="121"/>
      <c r="Q279" s="121"/>
      <c r="R279" s="121"/>
      <c r="S279" s="121"/>
      <c r="T279" s="121"/>
      <c r="U279" s="121"/>
      <c r="V279" s="121"/>
      <c r="W279" s="121"/>
      <c r="X279" s="121"/>
    </row>
    <row r="280" spans="1:24" ht="15">
      <c r="A280" s="114"/>
      <c r="B280" s="122">
        <v>20420</v>
      </c>
      <c r="C280" s="116"/>
      <c r="D280" s="117" t="s">
        <v>1200</v>
      </c>
      <c r="E280" s="118"/>
      <c r="F280" s="119" t="s">
        <v>1199</v>
      </c>
      <c r="G280" s="120"/>
      <c r="H280" s="120"/>
      <c r="I280" s="120"/>
      <c r="J280" s="120"/>
      <c r="K280" s="120"/>
      <c r="L280" s="120"/>
      <c r="M280" s="120"/>
      <c r="N280" s="121"/>
      <c r="O280" s="121"/>
      <c r="P280" s="121"/>
      <c r="Q280" s="121"/>
      <c r="R280" s="121"/>
      <c r="S280" s="121"/>
      <c r="T280" s="121"/>
      <c r="U280" s="121"/>
      <c r="V280" s="121"/>
      <c r="W280" s="121"/>
      <c r="X280" s="121"/>
    </row>
    <row r="281" spans="1:24" ht="15">
      <c r="A281" s="114"/>
      <c r="B281" s="122">
        <v>20420</v>
      </c>
      <c r="C281" s="116"/>
      <c r="D281" s="117" t="s">
        <v>1203</v>
      </c>
      <c r="E281" s="118"/>
      <c r="F281" s="119" t="s">
        <v>1202</v>
      </c>
      <c r="G281" s="120"/>
      <c r="H281" s="120"/>
      <c r="I281" s="120"/>
      <c r="J281" s="120"/>
      <c r="K281" s="120"/>
      <c r="L281" s="120"/>
      <c r="M281" s="120"/>
      <c r="N281" s="121"/>
      <c r="O281" s="121"/>
      <c r="P281" s="121"/>
      <c r="Q281" s="121"/>
      <c r="R281" s="121"/>
      <c r="S281" s="121"/>
      <c r="T281" s="121"/>
      <c r="U281" s="121"/>
      <c r="V281" s="121"/>
      <c r="W281" s="121"/>
      <c r="X281" s="121"/>
    </row>
    <row r="282" spans="1:24" ht="15">
      <c r="A282" s="114"/>
      <c r="B282" s="122">
        <v>20421</v>
      </c>
      <c r="C282" s="116"/>
      <c r="D282" s="117" t="s">
        <v>135</v>
      </c>
      <c r="E282" s="118"/>
      <c r="F282" s="119" t="s">
        <v>445</v>
      </c>
      <c r="G282" s="120"/>
      <c r="H282" s="120"/>
      <c r="I282" s="120"/>
      <c r="J282" s="120"/>
      <c r="K282" s="120"/>
      <c r="L282" s="120"/>
      <c r="M282" s="120"/>
      <c r="N282" s="121"/>
      <c r="O282" s="121"/>
      <c r="P282" s="121"/>
      <c r="Q282" s="121"/>
      <c r="R282" s="121"/>
      <c r="S282" s="121"/>
      <c r="T282" s="121"/>
      <c r="U282" s="121"/>
      <c r="V282" s="121"/>
      <c r="W282" s="121"/>
      <c r="X282" s="121"/>
    </row>
    <row r="283" spans="1:24" ht="15">
      <c r="A283" s="114"/>
      <c r="B283" s="122">
        <v>20423</v>
      </c>
      <c r="C283" s="116"/>
      <c r="D283" s="117" t="s">
        <v>1207</v>
      </c>
      <c r="E283" s="118"/>
      <c r="F283" s="119" t="s">
        <v>1205</v>
      </c>
      <c r="G283" s="120"/>
      <c r="H283" s="120"/>
      <c r="I283" s="120"/>
      <c r="J283" s="120"/>
      <c r="K283" s="120"/>
      <c r="L283" s="120"/>
      <c r="M283" s="120"/>
      <c r="N283" s="121"/>
      <c r="O283" s="121"/>
      <c r="P283" s="121"/>
      <c r="Q283" s="121"/>
      <c r="R283" s="121"/>
      <c r="S283" s="121"/>
      <c r="T283" s="121"/>
      <c r="U283" s="121"/>
      <c r="V283" s="121"/>
      <c r="W283" s="121"/>
      <c r="X283" s="121"/>
    </row>
    <row r="284" spans="1:24" ht="15">
      <c r="A284" s="114"/>
      <c r="B284" s="122">
        <v>20426</v>
      </c>
      <c r="C284" s="116"/>
      <c r="D284" s="117" t="s">
        <v>1210</v>
      </c>
      <c r="E284" s="118"/>
      <c r="F284" s="119" t="s">
        <v>1209</v>
      </c>
      <c r="G284" s="120"/>
      <c r="H284" s="120"/>
      <c r="I284" s="120"/>
      <c r="J284" s="120"/>
      <c r="K284" s="120"/>
      <c r="L284" s="120"/>
      <c r="M284" s="120"/>
      <c r="N284" s="121"/>
      <c r="O284" s="121"/>
      <c r="P284" s="121"/>
      <c r="Q284" s="121"/>
      <c r="R284" s="121"/>
      <c r="S284" s="121"/>
      <c r="T284" s="121"/>
      <c r="U284" s="121"/>
      <c r="V284" s="121"/>
      <c r="W284" s="121"/>
      <c r="X284" s="121"/>
    </row>
    <row r="285" spans="1:24" ht="15">
      <c r="A285" s="114"/>
      <c r="B285" s="122">
        <v>20429</v>
      </c>
      <c r="C285" s="116"/>
      <c r="D285" s="117" t="s">
        <v>1212</v>
      </c>
      <c r="E285" s="118"/>
      <c r="F285" s="119" t="s">
        <v>1211</v>
      </c>
      <c r="G285" s="120"/>
      <c r="H285" s="120"/>
      <c r="I285" s="120"/>
      <c r="J285" s="120"/>
      <c r="K285" s="120"/>
      <c r="L285" s="120"/>
      <c r="M285" s="120"/>
      <c r="N285" s="121"/>
      <c r="O285" s="121"/>
      <c r="P285" s="121"/>
      <c r="Q285" s="121"/>
      <c r="R285" s="121"/>
      <c r="S285" s="121"/>
      <c r="T285" s="121"/>
      <c r="U285" s="121"/>
      <c r="V285" s="121"/>
      <c r="W285" s="121"/>
      <c r="X285" s="121"/>
    </row>
    <row r="286" spans="1:24" ht="45">
      <c r="A286" s="143" t="s">
        <v>1213</v>
      </c>
      <c r="B286" s="144">
        <v>20434</v>
      </c>
      <c r="C286" s="147" t="s">
        <v>2981</v>
      </c>
      <c r="D286" s="147" t="s">
        <v>2982</v>
      </c>
      <c r="E286" s="148" t="s">
        <v>2984</v>
      </c>
      <c r="F286" s="148" t="s">
        <v>2985</v>
      </c>
      <c r="G286" s="120"/>
      <c r="H286" s="120"/>
      <c r="I286" s="120"/>
      <c r="J286" s="120"/>
      <c r="K286" s="120"/>
      <c r="L286" s="120"/>
      <c r="M286" s="120"/>
      <c r="N286" s="121"/>
      <c r="O286" s="121"/>
      <c r="P286" s="121"/>
      <c r="Q286" s="121"/>
      <c r="R286" s="121"/>
      <c r="S286" s="121"/>
      <c r="T286" s="121"/>
      <c r="U286" s="121"/>
      <c r="V286" s="121"/>
      <c r="W286" s="121"/>
      <c r="X286" s="121"/>
    </row>
    <row r="287" spans="1:24" ht="15">
      <c r="A287" s="114"/>
      <c r="B287" s="122">
        <v>20434</v>
      </c>
      <c r="C287" s="116"/>
      <c r="D287" s="117" t="s">
        <v>316</v>
      </c>
      <c r="E287" s="118"/>
      <c r="F287" s="119" t="s">
        <v>451</v>
      </c>
      <c r="G287" s="120"/>
      <c r="H287" s="120"/>
      <c r="I287" s="120"/>
      <c r="J287" s="120"/>
      <c r="K287" s="120"/>
      <c r="L287" s="120"/>
      <c r="M287" s="120"/>
      <c r="N287" s="121"/>
      <c r="O287" s="121"/>
      <c r="P287" s="121"/>
      <c r="Q287" s="121"/>
      <c r="R287" s="121"/>
      <c r="S287" s="121"/>
      <c r="T287" s="121"/>
      <c r="U287" s="121"/>
      <c r="V287" s="121"/>
      <c r="W287" s="121"/>
      <c r="X287" s="121"/>
    </row>
    <row r="288" spans="1:24" ht="15">
      <c r="A288" s="114"/>
      <c r="B288" s="122">
        <v>20436</v>
      </c>
      <c r="C288" s="116"/>
      <c r="D288" s="117" t="s">
        <v>1217</v>
      </c>
      <c r="E288" s="118"/>
      <c r="F288" s="119" t="s">
        <v>1216</v>
      </c>
      <c r="G288" s="120"/>
      <c r="H288" s="120"/>
      <c r="I288" s="120"/>
      <c r="J288" s="120"/>
      <c r="K288" s="120"/>
      <c r="L288" s="120"/>
      <c r="M288" s="120"/>
      <c r="N288" s="121"/>
      <c r="O288" s="121"/>
      <c r="P288" s="121"/>
      <c r="Q288" s="121"/>
      <c r="R288" s="121"/>
      <c r="S288" s="121"/>
      <c r="T288" s="121"/>
      <c r="U288" s="121"/>
      <c r="V288" s="121"/>
      <c r="W288" s="121"/>
      <c r="X288" s="121"/>
    </row>
    <row r="289" spans="1:24" ht="15">
      <c r="A289" s="114"/>
      <c r="B289" s="122">
        <v>20437</v>
      </c>
      <c r="C289" s="116"/>
      <c r="D289" s="117" t="s">
        <v>1220</v>
      </c>
      <c r="E289" s="118"/>
      <c r="F289" s="119" t="s">
        <v>1219</v>
      </c>
      <c r="G289" s="120"/>
      <c r="H289" s="120"/>
      <c r="I289" s="120"/>
      <c r="J289" s="120"/>
      <c r="K289" s="120"/>
      <c r="L289" s="120"/>
      <c r="M289" s="120"/>
      <c r="N289" s="121"/>
      <c r="O289" s="121"/>
      <c r="P289" s="121"/>
      <c r="Q289" s="121"/>
      <c r="R289" s="121"/>
      <c r="S289" s="121"/>
      <c r="T289" s="121"/>
      <c r="U289" s="121"/>
      <c r="V289" s="121"/>
      <c r="W289" s="121"/>
      <c r="X289" s="121"/>
    </row>
    <row r="290" spans="1:24" ht="15">
      <c r="A290" s="114"/>
      <c r="B290" s="122">
        <v>20453</v>
      </c>
      <c r="C290" s="116"/>
      <c r="D290" s="117" t="s">
        <v>447</v>
      </c>
      <c r="E290" s="118"/>
      <c r="F290" s="119" t="s">
        <v>1224</v>
      </c>
      <c r="G290" s="120"/>
      <c r="H290" s="120"/>
      <c r="I290" s="120"/>
      <c r="J290" s="120"/>
      <c r="K290" s="120"/>
      <c r="L290" s="120"/>
      <c r="M290" s="120"/>
      <c r="N290" s="121"/>
      <c r="O290" s="121"/>
      <c r="P290" s="121"/>
      <c r="Q290" s="121"/>
      <c r="R290" s="121"/>
      <c r="S290" s="121"/>
      <c r="T290" s="121"/>
      <c r="U290" s="121"/>
      <c r="V290" s="121"/>
      <c r="W290" s="121"/>
      <c r="X290" s="121"/>
    </row>
    <row r="291" spans="1:24" ht="15">
      <c r="A291" s="114"/>
      <c r="B291" s="122">
        <v>20468</v>
      </c>
      <c r="C291" s="116"/>
      <c r="D291" s="117" t="s">
        <v>1097</v>
      </c>
      <c r="E291" s="118"/>
      <c r="F291" s="119" t="s">
        <v>1226</v>
      </c>
      <c r="G291" s="120"/>
      <c r="H291" s="120"/>
      <c r="I291" s="120"/>
      <c r="J291" s="120"/>
      <c r="K291" s="120"/>
      <c r="L291" s="120"/>
      <c r="M291" s="120"/>
      <c r="N291" s="121"/>
      <c r="O291" s="121"/>
      <c r="P291" s="121"/>
      <c r="Q291" s="121"/>
      <c r="R291" s="121"/>
      <c r="S291" s="121"/>
      <c r="T291" s="121"/>
      <c r="U291" s="121"/>
      <c r="V291" s="121"/>
      <c r="W291" s="121"/>
      <c r="X291" s="121"/>
    </row>
    <row r="292" spans="1:24" ht="15">
      <c r="A292" s="114"/>
      <c r="B292" s="122">
        <v>20481</v>
      </c>
      <c r="C292" s="116"/>
      <c r="D292" s="117" t="s">
        <v>1097</v>
      </c>
      <c r="E292" s="118"/>
      <c r="F292" s="119" t="s">
        <v>1228</v>
      </c>
      <c r="G292" s="120"/>
      <c r="H292" s="120"/>
      <c r="I292" s="120"/>
      <c r="J292" s="120"/>
      <c r="K292" s="120"/>
      <c r="L292" s="120"/>
      <c r="M292" s="120"/>
      <c r="N292" s="121"/>
      <c r="O292" s="121"/>
      <c r="P292" s="121"/>
      <c r="Q292" s="121"/>
      <c r="R292" s="121"/>
      <c r="S292" s="121"/>
      <c r="T292" s="121"/>
      <c r="U292" s="121"/>
      <c r="V292" s="121"/>
      <c r="W292" s="121"/>
      <c r="X292" s="121"/>
    </row>
    <row r="293" spans="1:24" ht="15">
      <c r="A293" s="114"/>
      <c r="B293" s="122">
        <v>20507</v>
      </c>
      <c r="C293" s="116"/>
      <c r="D293" s="117" t="s">
        <v>1231</v>
      </c>
      <c r="E293" s="118"/>
      <c r="F293" s="119" t="s">
        <v>1229</v>
      </c>
      <c r="G293" s="120"/>
      <c r="H293" s="120"/>
      <c r="I293" s="120"/>
      <c r="J293" s="120"/>
      <c r="K293" s="120"/>
      <c r="L293" s="120"/>
      <c r="M293" s="120"/>
      <c r="N293" s="121"/>
      <c r="O293" s="121"/>
      <c r="P293" s="121"/>
      <c r="Q293" s="121"/>
      <c r="R293" s="121"/>
      <c r="S293" s="121"/>
      <c r="T293" s="121"/>
      <c r="U293" s="121"/>
      <c r="V293" s="121"/>
      <c r="W293" s="121"/>
      <c r="X293" s="121"/>
    </row>
    <row r="294" spans="1:24" ht="15">
      <c r="A294" s="114"/>
      <c r="B294" s="122">
        <v>20508</v>
      </c>
      <c r="C294" s="116"/>
      <c r="D294" s="117" t="s">
        <v>1233</v>
      </c>
      <c r="E294" s="118"/>
      <c r="F294" s="119" t="s">
        <v>1232</v>
      </c>
      <c r="G294" s="120"/>
      <c r="H294" s="120"/>
      <c r="I294" s="120"/>
      <c r="J294" s="120"/>
      <c r="K294" s="120"/>
      <c r="L294" s="120"/>
      <c r="M294" s="120"/>
      <c r="N294" s="121"/>
      <c r="O294" s="121"/>
      <c r="P294" s="121"/>
      <c r="Q294" s="121"/>
      <c r="R294" s="121"/>
      <c r="S294" s="121"/>
      <c r="T294" s="121"/>
      <c r="U294" s="121"/>
      <c r="V294" s="121"/>
      <c r="W294" s="121"/>
      <c r="X294" s="121"/>
    </row>
    <row r="295" spans="1:24" ht="15">
      <c r="A295" s="114"/>
      <c r="B295" s="122">
        <v>20508</v>
      </c>
      <c r="C295" s="116"/>
      <c r="D295" s="117" t="s">
        <v>1235</v>
      </c>
      <c r="E295" s="118"/>
      <c r="F295" s="119" t="s">
        <v>1234</v>
      </c>
      <c r="G295" s="120"/>
      <c r="H295" s="120"/>
      <c r="I295" s="120"/>
      <c r="J295" s="120"/>
      <c r="K295" s="120"/>
      <c r="L295" s="120"/>
      <c r="M295" s="120"/>
      <c r="N295" s="121"/>
      <c r="O295" s="121"/>
      <c r="P295" s="121"/>
      <c r="Q295" s="121"/>
      <c r="R295" s="121"/>
      <c r="S295" s="121"/>
      <c r="T295" s="121"/>
      <c r="U295" s="121"/>
      <c r="V295" s="121"/>
      <c r="W295" s="121"/>
      <c r="X295" s="121"/>
    </row>
    <row r="296" spans="1:24" ht="15">
      <c r="A296" s="114"/>
      <c r="B296" s="122">
        <v>20509</v>
      </c>
      <c r="C296" s="116"/>
      <c r="D296" s="117" t="s">
        <v>1238</v>
      </c>
      <c r="E296" s="118"/>
      <c r="F296" s="119" t="s">
        <v>1237</v>
      </c>
      <c r="G296" s="120"/>
      <c r="H296" s="120"/>
      <c r="I296" s="120"/>
      <c r="J296" s="120"/>
      <c r="K296" s="120"/>
      <c r="L296" s="120"/>
      <c r="M296" s="120"/>
      <c r="N296" s="121"/>
      <c r="O296" s="121"/>
      <c r="P296" s="121"/>
      <c r="Q296" s="121"/>
      <c r="R296" s="121"/>
      <c r="S296" s="121"/>
      <c r="T296" s="121"/>
      <c r="U296" s="121"/>
      <c r="V296" s="121"/>
      <c r="W296" s="121"/>
      <c r="X296" s="121"/>
    </row>
    <row r="297" spans="1:24" ht="15">
      <c r="A297" s="114"/>
      <c r="B297" s="122">
        <v>20519</v>
      </c>
      <c r="C297" s="116"/>
      <c r="D297" s="117" t="s">
        <v>1241</v>
      </c>
      <c r="E297" s="118"/>
      <c r="F297" s="119" t="s">
        <v>1240</v>
      </c>
      <c r="G297" s="120"/>
      <c r="H297" s="120"/>
      <c r="I297" s="120"/>
      <c r="J297" s="120"/>
      <c r="K297" s="120"/>
      <c r="L297" s="120"/>
      <c r="M297" s="120"/>
      <c r="N297" s="121"/>
      <c r="O297" s="121"/>
      <c r="P297" s="121"/>
      <c r="Q297" s="121"/>
      <c r="R297" s="121"/>
      <c r="S297" s="121"/>
      <c r="T297" s="121"/>
      <c r="U297" s="121"/>
      <c r="V297" s="121"/>
      <c r="W297" s="121"/>
      <c r="X297" s="121"/>
    </row>
    <row r="298" spans="1:24" ht="15">
      <c r="A298" s="114"/>
      <c r="B298" s="122">
        <v>20525</v>
      </c>
      <c r="C298" s="116"/>
      <c r="D298" s="117" t="s">
        <v>1244</v>
      </c>
      <c r="E298" s="118"/>
      <c r="F298" s="119" t="s">
        <v>1243</v>
      </c>
      <c r="G298" s="120"/>
      <c r="H298" s="120"/>
      <c r="I298" s="120"/>
      <c r="J298" s="120"/>
      <c r="K298" s="120"/>
      <c r="L298" s="120"/>
      <c r="M298" s="120"/>
      <c r="N298" s="121"/>
      <c r="O298" s="121"/>
      <c r="P298" s="121"/>
      <c r="Q298" s="121"/>
      <c r="R298" s="121"/>
      <c r="S298" s="121"/>
      <c r="T298" s="121"/>
      <c r="U298" s="121"/>
      <c r="V298" s="121"/>
      <c r="W298" s="121"/>
      <c r="X298" s="121"/>
    </row>
    <row r="299" spans="1:24" ht="15">
      <c r="A299" s="114"/>
      <c r="B299" s="122">
        <v>20526</v>
      </c>
      <c r="C299" s="116"/>
      <c r="D299" s="117" t="s">
        <v>1247</v>
      </c>
      <c r="E299" s="118"/>
      <c r="F299" s="119" t="s">
        <v>1246</v>
      </c>
      <c r="G299" s="120"/>
      <c r="H299" s="120"/>
      <c r="I299" s="120"/>
      <c r="J299" s="120"/>
      <c r="K299" s="120"/>
      <c r="L299" s="120"/>
      <c r="M299" s="120"/>
      <c r="N299" s="121"/>
      <c r="O299" s="121"/>
      <c r="P299" s="121"/>
      <c r="Q299" s="121"/>
      <c r="R299" s="121"/>
      <c r="S299" s="121"/>
      <c r="T299" s="121"/>
      <c r="U299" s="121"/>
      <c r="V299" s="121"/>
      <c r="W299" s="121"/>
      <c r="X299" s="121"/>
    </row>
    <row r="300" spans="1:24" ht="15">
      <c r="A300" s="114"/>
      <c r="B300" s="122">
        <v>20544</v>
      </c>
      <c r="C300" s="116"/>
      <c r="D300" s="117" t="s">
        <v>1249</v>
      </c>
      <c r="E300" s="118"/>
      <c r="F300" s="119" t="s">
        <v>1248</v>
      </c>
      <c r="G300" s="120"/>
      <c r="H300" s="120"/>
      <c r="I300" s="120"/>
      <c r="J300" s="120"/>
      <c r="K300" s="120"/>
      <c r="L300" s="120"/>
      <c r="M300" s="120"/>
      <c r="N300" s="121"/>
      <c r="O300" s="121"/>
      <c r="P300" s="121"/>
      <c r="Q300" s="121"/>
      <c r="R300" s="121"/>
      <c r="S300" s="121"/>
      <c r="T300" s="121"/>
      <c r="U300" s="121"/>
      <c r="V300" s="121"/>
      <c r="W300" s="121"/>
      <c r="X300" s="121"/>
    </row>
    <row r="301" spans="1:24" ht="15">
      <c r="A301" s="114"/>
      <c r="B301" s="122">
        <v>20552</v>
      </c>
      <c r="C301" s="116"/>
      <c r="D301" s="117" t="s">
        <v>447</v>
      </c>
      <c r="E301" s="118"/>
      <c r="F301" s="119" t="s">
        <v>1252</v>
      </c>
      <c r="G301" s="120"/>
      <c r="H301" s="120"/>
      <c r="I301" s="120"/>
      <c r="J301" s="120"/>
      <c r="K301" s="120"/>
      <c r="L301" s="120"/>
      <c r="M301" s="120"/>
      <c r="N301" s="121"/>
      <c r="O301" s="121"/>
      <c r="P301" s="121"/>
      <c r="Q301" s="121"/>
      <c r="R301" s="121"/>
      <c r="S301" s="121"/>
      <c r="T301" s="121"/>
      <c r="U301" s="121"/>
      <c r="V301" s="121"/>
      <c r="W301" s="121"/>
      <c r="X301" s="121"/>
    </row>
    <row r="302" spans="1:24" ht="15">
      <c r="A302" s="114"/>
      <c r="B302" s="122">
        <v>20552</v>
      </c>
      <c r="C302" s="116"/>
      <c r="D302" s="117" t="s">
        <v>281</v>
      </c>
      <c r="E302" s="118"/>
      <c r="F302" s="163" t="s">
        <v>456</v>
      </c>
      <c r="G302" s="120"/>
      <c r="H302" s="120"/>
      <c r="I302" s="120"/>
      <c r="J302" s="120"/>
      <c r="K302" s="120"/>
      <c r="L302" s="120"/>
      <c r="M302" s="120"/>
      <c r="N302" s="121"/>
      <c r="O302" s="121"/>
      <c r="P302" s="121"/>
      <c r="Q302" s="121"/>
      <c r="R302" s="121"/>
      <c r="S302" s="121"/>
      <c r="T302" s="121"/>
      <c r="U302" s="121"/>
      <c r="V302" s="121"/>
      <c r="W302" s="121"/>
      <c r="X302" s="121"/>
    </row>
    <row r="303" spans="1:24" ht="15">
      <c r="A303" s="114"/>
      <c r="B303" s="122">
        <v>20552</v>
      </c>
      <c r="C303" s="116"/>
      <c r="D303" s="126" t="s">
        <v>460</v>
      </c>
      <c r="E303" s="118"/>
      <c r="F303" s="119" t="s">
        <v>458</v>
      </c>
      <c r="G303" s="120"/>
      <c r="H303" s="120"/>
      <c r="I303" s="120"/>
      <c r="J303" s="120"/>
      <c r="K303" s="120"/>
      <c r="L303" s="120"/>
      <c r="M303" s="120"/>
      <c r="N303" s="121"/>
      <c r="O303" s="121"/>
      <c r="P303" s="121"/>
      <c r="Q303" s="121"/>
      <c r="R303" s="121"/>
      <c r="S303" s="121"/>
      <c r="T303" s="121"/>
      <c r="U303" s="121"/>
      <c r="V303" s="121"/>
      <c r="W303" s="121"/>
      <c r="X303" s="121"/>
    </row>
    <row r="304" spans="1:24" ht="15">
      <c r="A304" s="114"/>
      <c r="B304" s="122">
        <v>20553</v>
      </c>
      <c r="C304" s="116"/>
      <c r="D304" s="117" t="s">
        <v>447</v>
      </c>
      <c r="E304" s="118"/>
      <c r="F304" s="119" t="s">
        <v>1259</v>
      </c>
      <c r="G304" s="120"/>
      <c r="H304" s="120"/>
      <c r="I304" s="120"/>
      <c r="J304" s="120"/>
      <c r="K304" s="120"/>
      <c r="L304" s="120"/>
      <c r="M304" s="120"/>
      <c r="N304" s="121"/>
      <c r="O304" s="121"/>
      <c r="P304" s="121"/>
      <c r="Q304" s="121"/>
      <c r="R304" s="121"/>
      <c r="S304" s="121"/>
      <c r="T304" s="121"/>
      <c r="U304" s="121"/>
      <c r="V304" s="121"/>
      <c r="W304" s="121"/>
      <c r="X304" s="121"/>
    </row>
    <row r="305" spans="1:24" ht="15">
      <c r="A305" s="114"/>
      <c r="B305" s="122">
        <v>20554</v>
      </c>
      <c r="C305" s="116"/>
      <c r="D305" s="117" t="s">
        <v>447</v>
      </c>
      <c r="E305" s="118"/>
      <c r="F305" s="119" t="s">
        <v>1263</v>
      </c>
      <c r="G305" s="120"/>
      <c r="H305" s="120"/>
      <c r="I305" s="120"/>
      <c r="J305" s="120"/>
      <c r="K305" s="120"/>
      <c r="L305" s="120"/>
      <c r="M305" s="120"/>
      <c r="N305" s="121"/>
      <c r="O305" s="121"/>
      <c r="P305" s="121"/>
      <c r="Q305" s="121"/>
      <c r="R305" s="121"/>
      <c r="S305" s="121"/>
      <c r="T305" s="121"/>
      <c r="U305" s="121"/>
      <c r="V305" s="121"/>
      <c r="W305" s="121"/>
      <c r="X305" s="121"/>
    </row>
    <row r="306" spans="1:24" ht="15">
      <c r="A306" s="114"/>
      <c r="B306" s="122">
        <v>20556</v>
      </c>
      <c r="C306" s="116"/>
      <c r="D306" s="160"/>
      <c r="E306" s="118"/>
      <c r="F306" s="119" t="s">
        <v>1266</v>
      </c>
      <c r="G306" s="120"/>
      <c r="H306" s="120"/>
      <c r="I306" s="120"/>
      <c r="J306" s="120"/>
      <c r="K306" s="120"/>
      <c r="L306" s="120"/>
      <c r="M306" s="120"/>
      <c r="N306" s="121"/>
      <c r="O306" s="121"/>
      <c r="P306" s="121"/>
      <c r="Q306" s="121"/>
      <c r="R306" s="121"/>
      <c r="S306" s="121"/>
      <c r="T306" s="121"/>
      <c r="U306" s="121"/>
      <c r="V306" s="121"/>
      <c r="W306" s="121"/>
      <c r="X306" s="121"/>
    </row>
    <row r="307" spans="1:24" ht="15">
      <c r="A307" s="114"/>
      <c r="B307" s="122">
        <v>20556</v>
      </c>
      <c r="C307" s="116"/>
      <c r="D307" s="126" t="s">
        <v>468</v>
      </c>
      <c r="E307" s="118"/>
      <c r="F307" s="119" t="s">
        <v>466</v>
      </c>
      <c r="G307" s="120"/>
      <c r="H307" s="120"/>
      <c r="I307" s="120"/>
      <c r="J307" s="120"/>
      <c r="K307" s="120"/>
      <c r="L307" s="120"/>
      <c r="M307" s="120"/>
      <c r="N307" s="121"/>
      <c r="O307" s="121"/>
      <c r="P307" s="121"/>
      <c r="Q307" s="121"/>
      <c r="R307" s="121"/>
      <c r="S307" s="121"/>
      <c r="T307" s="121"/>
      <c r="U307" s="121"/>
      <c r="V307" s="121"/>
      <c r="W307" s="121"/>
      <c r="X307" s="121"/>
    </row>
    <row r="308" spans="1:24" ht="15">
      <c r="A308" s="114"/>
      <c r="B308" s="122">
        <v>20561</v>
      </c>
      <c r="C308" s="116"/>
      <c r="D308" s="117" t="s">
        <v>1270</v>
      </c>
      <c r="E308" s="118"/>
      <c r="F308" s="119" t="s">
        <v>1269</v>
      </c>
      <c r="G308" s="120"/>
      <c r="H308" s="120"/>
      <c r="I308" s="120"/>
      <c r="J308" s="120"/>
      <c r="K308" s="120"/>
      <c r="L308" s="120"/>
      <c r="M308" s="120"/>
      <c r="N308" s="121"/>
      <c r="O308" s="121"/>
      <c r="P308" s="121"/>
      <c r="Q308" s="121"/>
      <c r="R308" s="121"/>
      <c r="S308" s="121"/>
      <c r="T308" s="121"/>
      <c r="U308" s="121"/>
      <c r="V308" s="121"/>
      <c r="W308" s="121"/>
      <c r="X308" s="121"/>
    </row>
    <row r="309" spans="1:24" ht="15">
      <c r="A309" s="114"/>
      <c r="B309" s="122">
        <v>20563</v>
      </c>
      <c r="C309" s="116"/>
      <c r="D309" s="117" t="s">
        <v>447</v>
      </c>
      <c r="E309" s="118"/>
      <c r="F309" s="119" t="s">
        <v>1272</v>
      </c>
      <c r="G309" s="120"/>
      <c r="H309" s="120"/>
      <c r="I309" s="120"/>
      <c r="J309" s="120"/>
      <c r="K309" s="120"/>
      <c r="L309" s="120"/>
      <c r="M309" s="120"/>
      <c r="N309" s="121"/>
      <c r="O309" s="121"/>
      <c r="P309" s="121"/>
      <c r="Q309" s="121"/>
      <c r="R309" s="121"/>
      <c r="S309" s="121"/>
      <c r="T309" s="121"/>
      <c r="U309" s="121"/>
      <c r="V309" s="121"/>
      <c r="W309" s="121"/>
      <c r="X309" s="121"/>
    </row>
    <row r="310" spans="1:24" ht="15">
      <c r="A310" s="114"/>
      <c r="B310" s="122">
        <v>20565</v>
      </c>
      <c r="C310" s="116"/>
      <c r="D310" s="117" t="s">
        <v>1275</v>
      </c>
      <c r="E310" s="118"/>
      <c r="F310" s="119" t="s">
        <v>1273</v>
      </c>
      <c r="G310" s="120"/>
      <c r="H310" s="120"/>
      <c r="I310" s="120"/>
      <c r="J310" s="120"/>
      <c r="K310" s="120"/>
      <c r="L310" s="120"/>
      <c r="M310" s="120"/>
      <c r="N310" s="121"/>
      <c r="O310" s="121"/>
      <c r="P310" s="121"/>
      <c r="Q310" s="121"/>
      <c r="R310" s="121"/>
      <c r="S310" s="121"/>
      <c r="T310" s="121"/>
      <c r="U310" s="121"/>
      <c r="V310" s="121"/>
      <c r="W310" s="121"/>
      <c r="X310" s="121"/>
    </row>
    <row r="311" spans="1:24" ht="15">
      <c r="A311" s="114"/>
      <c r="B311" s="122">
        <v>20567</v>
      </c>
      <c r="C311" s="116"/>
      <c r="D311" s="117" t="s">
        <v>1278</v>
      </c>
      <c r="E311" s="118"/>
      <c r="F311" s="119" t="s">
        <v>1277</v>
      </c>
      <c r="G311" s="120"/>
      <c r="H311" s="120"/>
      <c r="I311" s="120"/>
      <c r="J311" s="120"/>
      <c r="K311" s="120"/>
      <c r="L311" s="120"/>
      <c r="M311" s="120"/>
      <c r="N311" s="121"/>
      <c r="O311" s="121"/>
      <c r="P311" s="121"/>
      <c r="Q311" s="121"/>
      <c r="R311" s="121"/>
      <c r="S311" s="121"/>
      <c r="T311" s="121"/>
      <c r="U311" s="121"/>
      <c r="V311" s="121"/>
      <c r="W311" s="121"/>
      <c r="X311" s="121"/>
    </row>
    <row r="312" spans="1:24" ht="15">
      <c r="A312" s="114"/>
      <c r="B312" s="122">
        <v>20574</v>
      </c>
      <c r="C312" s="116"/>
      <c r="D312" s="117" t="s">
        <v>447</v>
      </c>
      <c r="E312" s="118"/>
      <c r="F312" s="119" t="s">
        <v>1279</v>
      </c>
      <c r="G312" s="120"/>
      <c r="H312" s="120"/>
      <c r="I312" s="120"/>
      <c r="J312" s="120"/>
      <c r="K312" s="120"/>
      <c r="L312" s="120"/>
      <c r="M312" s="120"/>
      <c r="N312" s="121"/>
      <c r="O312" s="121"/>
      <c r="P312" s="121"/>
      <c r="Q312" s="121"/>
      <c r="R312" s="121"/>
      <c r="S312" s="121"/>
      <c r="T312" s="121"/>
      <c r="U312" s="121"/>
      <c r="V312" s="121"/>
      <c r="W312" s="121"/>
      <c r="X312" s="121"/>
    </row>
    <row r="313" spans="1:24" ht="15">
      <c r="A313" s="114"/>
      <c r="B313" s="122">
        <v>20581</v>
      </c>
      <c r="C313" s="116"/>
      <c r="D313" s="117" t="s">
        <v>1285</v>
      </c>
      <c r="E313" s="118"/>
      <c r="F313" s="119" t="s">
        <v>1284</v>
      </c>
      <c r="G313" s="120"/>
      <c r="H313" s="120"/>
      <c r="I313" s="120"/>
      <c r="J313" s="120"/>
      <c r="K313" s="120"/>
      <c r="L313" s="120"/>
      <c r="M313" s="120"/>
      <c r="N313" s="121"/>
      <c r="O313" s="121"/>
      <c r="P313" s="121"/>
      <c r="Q313" s="121"/>
      <c r="R313" s="121"/>
      <c r="S313" s="121"/>
      <c r="T313" s="121"/>
      <c r="U313" s="121"/>
      <c r="V313" s="121"/>
      <c r="W313" s="121"/>
      <c r="X313" s="121"/>
    </row>
    <row r="314" spans="1:24" ht="15">
      <c r="A314" s="114"/>
      <c r="B314" s="122">
        <v>20584</v>
      </c>
      <c r="C314" s="116"/>
      <c r="D314" s="117" t="s">
        <v>1289</v>
      </c>
      <c r="E314" s="118"/>
      <c r="F314" s="119" t="s">
        <v>1288</v>
      </c>
      <c r="G314" s="120"/>
      <c r="H314" s="120"/>
      <c r="I314" s="120"/>
      <c r="J314" s="120"/>
      <c r="K314" s="120"/>
      <c r="L314" s="120"/>
      <c r="M314" s="120"/>
      <c r="N314" s="121"/>
      <c r="O314" s="121"/>
      <c r="P314" s="121"/>
      <c r="Q314" s="121"/>
      <c r="R314" s="121"/>
      <c r="S314" s="121"/>
      <c r="T314" s="121"/>
      <c r="U314" s="121"/>
      <c r="V314" s="121"/>
      <c r="W314" s="121"/>
      <c r="X314" s="121"/>
    </row>
    <row r="315" spans="1:24" ht="15">
      <c r="A315" s="114"/>
      <c r="B315" s="122">
        <v>20587</v>
      </c>
      <c r="C315" s="116"/>
      <c r="D315" s="117" t="s">
        <v>1291</v>
      </c>
      <c r="E315" s="118"/>
      <c r="F315" s="119" t="s">
        <v>1290</v>
      </c>
      <c r="G315" s="120"/>
      <c r="H315" s="120"/>
      <c r="I315" s="120"/>
      <c r="J315" s="120"/>
      <c r="K315" s="120"/>
      <c r="L315" s="120"/>
      <c r="M315" s="120"/>
      <c r="N315" s="121"/>
      <c r="O315" s="121"/>
      <c r="P315" s="121"/>
      <c r="Q315" s="121"/>
      <c r="R315" s="121"/>
      <c r="S315" s="121"/>
      <c r="T315" s="121"/>
      <c r="U315" s="121"/>
      <c r="V315" s="121"/>
      <c r="W315" s="121"/>
      <c r="X315" s="121"/>
    </row>
    <row r="316" spans="1:24" ht="15">
      <c r="A316" s="114"/>
      <c r="B316" s="122">
        <v>20589</v>
      </c>
      <c r="C316" s="116"/>
      <c r="D316" s="117" t="s">
        <v>1293</v>
      </c>
      <c r="E316" s="118"/>
      <c r="F316" s="119" t="s">
        <v>1292</v>
      </c>
      <c r="G316" s="120"/>
      <c r="H316" s="120"/>
      <c r="I316" s="120"/>
      <c r="J316" s="120"/>
      <c r="K316" s="120"/>
      <c r="L316" s="120"/>
      <c r="M316" s="120"/>
      <c r="N316" s="121"/>
      <c r="O316" s="121"/>
      <c r="P316" s="121"/>
      <c r="Q316" s="121"/>
      <c r="R316" s="121"/>
      <c r="S316" s="121"/>
      <c r="T316" s="121"/>
      <c r="U316" s="121"/>
      <c r="V316" s="121"/>
      <c r="W316" s="121"/>
      <c r="X316" s="121"/>
    </row>
    <row r="317" spans="1:24" ht="15">
      <c r="A317" s="114"/>
      <c r="B317" s="122">
        <v>20591</v>
      </c>
      <c r="C317" s="116"/>
      <c r="D317" s="117" t="s">
        <v>447</v>
      </c>
      <c r="E317" s="118"/>
      <c r="F317" s="119" t="s">
        <v>1295</v>
      </c>
      <c r="G317" s="120"/>
      <c r="H317" s="120"/>
      <c r="I317" s="120"/>
      <c r="J317" s="120"/>
      <c r="K317" s="120"/>
      <c r="L317" s="120"/>
      <c r="M317" s="120"/>
      <c r="N317" s="121"/>
      <c r="O317" s="121"/>
      <c r="P317" s="121"/>
      <c r="Q317" s="121"/>
      <c r="R317" s="121"/>
      <c r="S317" s="121"/>
      <c r="T317" s="121"/>
      <c r="U317" s="121"/>
      <c r="V317" s="121"/>
      <c r="W317" s="121"/>
      <c r="X317" s="121"/>
    </row>
    <row r="318" spans="1:24" ht="15">
      <c r="A318" s="114"/>
      <c r="B318" s="122">
        <v>20609</v>
      </c>
      <c r="C318" s="116"/>
      <c r="D318" s="117" t="s">
        <v>1298</v>
      </c>
      <c r="E318" s="118"/>
      <c r="F318" s="119" t="s">
        <v>1297</v>
      </c>
      <c r="G318" s="120"/>
      <c r="H318" s="120"/>
      <c r="I318" s="120"/>
      <c r="J318" s="120"/>
      <c r="K318" s="120"/>
      <c r="L318" s="120"/>
      <c r="M318" s="120"/>
      <c r="N318" s="121"/>
      <c r="O318" s="121"/>
      <c r="P318" s="121"/>
      <c r="Q318" s="121"/>
      <c r="R318" s="121"/>
      <c r="S318" s="121"/>
      <c r="T318" s="121"/>
      <c r="U318" s="121"/>
      <c r="V318" s="121"/>
      <c r="W318" s="121"/>
      <c r="X318" s="121"/>
    </row>
    <row r="319" spans="1:24" ht="15">
      <c r="A319" s="114"/>
      <c r="B319" s="122">
        <v>20611</v>
      </c>
      <c r="C319" s="116"/>
      <c r="D319" s="117" t="s">
        <v>1300</v>
      </c>
      <c r="E319" s="118"/>
      <c r="F319" s="119" t="s">
        <v>1299</v>
      </c>
      <c r="G319" s="120"/>
      <c r="H319" s="120"/>
      <c r="I319" s="120"/>
      <c r="J319" s="120"/>
      <c r="K319" s="120"/>
      <c r="L319" s="120"/>
      <c r="M319" s="120"/>
      <c r="N319" s="121"/>
      <c r="O319" s="121"/>
      <c r="P319" s="121"/>
      <c r="Q319" s="121"/>
      <c r="R319" s="121"/>
      <c r="S319" s="121"/>
      <c r="T319" s="121"/>
      <c r="U319" s="121"/>
      <c r="V319" s="121"/>
      <c r="W319" s="121"/>
      <c r="X319" s="121"/>
    </row>
    <row r="320" spans="1:24" ht="15">
      <c r="A320" s="114"/>
      <c r="B320" s="122">
        <v>20612</v>
      </c>
      <c r="C320" s="116"/>
      <c r="D320" s="117" t="s">
        <v>1302</v>
      </c>
      <c r="E320" s="118"/>
      <c r="F320" s="119" t="s">
        <v>1301</v>
      </c>
      <c r="G320" s="120"/>
      <c r="H320" s="120"/>
      <c r="I320" s="120"/>
      <c r="J320" s="120"/>
      <c r="K320" s="120"/>
      <c r="L320" s="120"/>
      <c r="M320" s="120"/>
      <c r="N320" s="121"/>
      <c r="O320" s="121"/>
      <c r="P320" s="121"/>
      <c r="Q320" s="121"/>
      <c r="R320" s="121"/>
      <c r="S320" s="121"/>
      <c r="T320" s="121"/>
      <c r="U320" s="121"/>
      <c r="V320" s="121"/>
      <c r="W320" s="121"/>
      <c r="X320" s="121"/>
    </row>
    <row r="321" spans="1:24" ht="15">
      <c r="A321" s="114"/>
      <c r="B321" s="122">
        <v>20612</v>
      </c>
      <c r="C321" s="116"/>
      <c r="D321" s="117" t="s">
        <v>1305</v>
      </c>
      <c r="E321" s="118"/>
      <c r="F321" s="119" t="s">
        <v>1304</v>
      </c>
      <c r="G321" s="120"/>
      <c r="H321" s="120"/>
      <c r="I321" s="120"/>
      <c r="J321" s="120"/>
      <c r="K321" s="120"/>
      <c r="L321" s="120"/>
      <c r="M321" s="120"/>
      <c r="N321" s="121"/>
      <c r="O321" s="121"/>
      <c r="P321" s="121"/>
      <c r="Q321" s="121"/>
      <c r="R321" s="121"/>
      <c r="S321" s="121"/>
      <c r="T321" s="121"/>
      <c r="U321" s="121"/>
      <c r="V321" s="121"/>
      <c r="W321" s="121"/>
      <c r="X321" s="121"/>
    </row>
    <row r="322" spans="1:24" ht="15">
      <c r="A322" s="114"/>
      <c r="B322" s="122">
        <v>20621</v>
      </c>
      <c r="C322" s="116"/>
      <c r="D322" s="117" t="s">
        <v>1307</v>
      </c>
      <c r="E322" s="118"/>
      <c r="F322" s="119" t="s">
        <v>1306</v>
      </c>
      <c r="G322" s="120"/>
      <c r="H322" s="120"/>
      <c r="I322" s="120"/>
      <c r="J322" s="120"/>
      <c r="K322" s="120"/>
      <c r="L322" s="120"/>
      <c r="M322" s="120"/>
      <c r="N322" s="121"/>
      <c r="O322" s="121"/>
      <c r="P322" s="121"/>
      <c r="Q322" s="121"/>
      <c r="R322" s="121"/>
      <c r="S322" s="121"/>
      <c r="T322" s="121"/>
      <c r="U322" s="121"/>
      <c r="V322" s="121"/>
      <c r="W322" s="121"/>
      <c r="X322" s="121"/>
    </row>
    <row r="323" spans="1:24" ht="15">
      <c r="A323" s="114"/>
      <c r="B323" s="122">
        <v>20623</v>
      </c>
      <c r="C323" s="116"/>
      <c r="D323" s="117" t="s">
        <v>447</v>
      </c>
      <c r="E323" s="118"/>
      <c r="F323" s="119" t="s">
        <v>1308</v>
      </c>
      <c r="G323" s="120"/>
      <c r="H323" s="120"/>
      <c r="I323" s="120"/>
      <c r="J323" s="120"/>
      <c r="K323" s="120"/>
      <c r="L323" s="120"/>
      <c r="M323" s="120"/>
      <c r="N323" s="121"/>
      <c r="O323" s="121"/>
      <c r="P323" s="121"/>
      <c r="Q323" s="121"/>
      <c r="R323" s="121"/>
      <c r="S323" s="121"/>
      <c r="T323" s="121"/>
      <c r="U323" s="121"/>
      <c r="V323" s="121"/>
      <c r="W323" s="121"/>
      <c r="X323" s="121"/>
    </row>
    <row r="324" spans="1:24" ht="15">
      <c r="A324" s="114"/>
      <c r="B324" s="122">
        <v>20643</v>
      </c>
      <c r="C324" s="116"/>
      <c r="D324" s="117" t="s">
        <v>1244</v>
      </c>
      <c r="E324" s="118"/>
      <c r="F324" s="119" t="s">
        <v>1310</v>
      </c>
      <c r="G324" s="120"/>
      <c r="H324" s="120"/>
      <c r="I324" s="120"/>
      <c r="J324" s="120"/>
      <c r="K324" s="120"/>
      <c r="L324" s="120"/>
      <c r="M324" s="120"/>
      <c r="N324" s="121"/>
      <c r="O324" s="121"/>
      <c r="P324" s="121"/>
      <c r="Q324" s="121"/>
      <c r="R324" s="121"/>
      <c r="S324" s="121"/>
      <c r="T324" s="121"/>
      <c r="U324" s="121"/>
      <c r="V324" s="121"/>
      <c r="W324" s="121"/>
      <c r="X324" s="121"/>
    </row>
    <row r="325" spans="1:24" ht="15">
      <c r="A325" s="114"/>
      <c r="B325" s="122">
        <v>20645</v>
      </c>
      <c r="C325" s="116"/>
      <c r="D325" s="117" t="s">
        <v>447</v>
      </c>
      <c r="E325" s="118"/>
      <c r="F325" s="119" t="s">
        <v>1311</v>
      </c>
      <c r="G325" s="120"/>
      <c r="H325" s="120"/>
      <c r="I325" s="120"/>
      <c r="J325" s="120"/>
      <c r="K325" s="120"/>
      <c r="L325" s="120"/>
      <c r="M325" s="120"/>
      <c r="N325" s="121"/>
      <c r="O325" s="121"/>
      <c r="P325" s="121"/>
      <c r="Q325" s="121"/>
      <c r="R325" s="121"/>
      <c r="S325" s="121"/>
      <c r="T325" s="121"/>
      <c r="U325" s="121"/>
      <c r="V325" s="121"/>
      <c r="W325" s="121"/>
      <c r="X325" s="121"/>
    </row>
    <row r="326" spans="1:24" ht="15">
      <c r="A326" s="114"/>
      <c r="B326" s="122">
        <v>20649</v>
      </c>
      <c r="C326" s="116"/>
      <c r="D326" s="117" t="s">
        <v>848</v>
      </c>
      <c r="E326" s="118"/>
      <c r="F326" s="119" t="s">
        <v>1313</v>
      </c>
      <c r="G326" s="120"/>
      <c r="H326" s="120"/>
      <c r="I326" s="120"/>
      <c r="J326" s="120"/>
      <c r="K326" s="120"/>
      <c r="L326" s="120"/>
      <c r="M326" s="120"/>
      <c r="N326" s="121"/>
      <c r="O326" s="121"/>
      <c r="P326" s="121"/>
      <c r="Q326" s="121"/>
      <c r="R326" s="121"/>
      <c r="S326" s="121"/>
      <c r="T326" s="121"/>
      <c r="U326" s="121"/>
      <c r="V326" s="121"/>
      <c r="W326" s="121"/>
      <c r="X326" s="121"/>
    </row>
    <row r="327" spans="1:24" ht="15">
      <c r="A327" s="114"/>
      <c r="B327" s="122">
        <v>20651</v>
      </c>
      <c r="C327" s="116"/>
      <c r="D327" s="117" t="s">
        <v>1317</v>
      </c>
      <c r="E327" s="118"/>
      <c r="F327" s="119" t="s">
        <v>1316</v>
      </c>
      <c r="G327" s="120"/>
      <c r="H327" s="120"/>
      <c r="I327" s="120"/>
      <c r="J327" s="120"/>
      <c r="K327" s="120"/>
      <c r="L327" s="120"/>
      <c r="M327" s="120"/>
      <c r="N327" s="121"/>
      <c r="O327" s="121"/>
      <c r="P327" s="121"/>
      <c r="Q327" s="121"/>
      <c r="R327" s="121"/>
      <c r="S327" s="121"/>
      <c r="T327" s="121"/>
      <c r="U327" s="121"/>
      <c r="V327" s="121"/>
      <c r="W327" s="121"/>
      <c r="X327" s="121"/>
    </row>
    <row r="328" spans="1:24" ht="15">
      <c r="A328" s="114"/>
      <c r="B328" s="122">
        <v>20656</v>
      </c>
      <c r="C328" s="116"/>
      <c r="D328" s="117" t="s">
        <v>1319</v>
      </c>
      <c r="E328" s="118"/>
      <c r="F328" s="119" t="s">
        <v>1318</v>
      </c>
      <c r="G328" s="120"/>
      <c r="H328" s="120"/>
      <c r="I328" s="120"/>
      <c r="J328" s="120"/>
      <c r="K328" s="120"/>
      <c r="L328" s="120"/>
      <c r="M328" s="120"/>
      <c r="N328" s="121"/>
      <c r="O328" s="121"/>
      <c r="P328" s="121"/>
      <c r="Q328" s="121"/>
      <c r="R328" s="121"/>
      <c r="S328" s="121"/>
      <c r="T328" s="121"/>
      <c r="U328" s="121"/>
      <c r="V328" s="121"/>
      <c r="W328" s="121"/>
      <c r="X328" s="121"/>
    </row>
    <row r="329" spans="1:24" ht="15">
      <c r="A329" s="114"/>
      <c r="B329" s="122">
        <v>20657</v>
      </c>
      <c r="C329" s="116"/>
      <c r="D329" s="117" t="s">
        <v>1322</v>
      </c>
      <c r="E329" s="118"/>
      <c r="F329" s="119" t="s">
        <v>1320</v>
      </c>
      <c r="G329" s="120"/>
      <c r="H329" s="120"/>
      <c r="I329" s="120"/>
      <c r="J329" s="120"/>
      <c r="K329" s="120"/>
      <c r="L329" s="120"/>
      <c r="M329" s="120"/>
      <c r="N329" s="121"/>
      <c r="O329" s="121"/>
      <c r="P329" s="121"/>
      <c r="Q329" s="121"/>
      <c r="R329" s="121"/>
      <c r="S329" s="121"/>
      <c r="T329" s="121"/>
      <c r="U329" s="121"/>
      <c r="V329" s="121"/>
      <c r="W329" s="121"/>
      <c r="X329" s="121"/>
    </row>
    <row r="330" spans="1:24" ht="15">
      <c r="A330" s="114"/>
      <c r="B330" s="122">
        <v>20658</v>
      </c>
      <c r="C330" s="116"/>
      <c r="D330" s="117" t="s">
        <v>1244</v>
      </c>
      <c r="E330" s="118"/>
      <c r="F330" s="119" t="s">
        <v>1324</v>
      </c>
      <c r="G330" s="120"/>
      <c r="H330" s="120"/>
      <c r="I330" s="120"/>
      <c r="J330" s="120"/>
      <c r="K330" s="120"/>
      <c r="L330" s="120"/>
      <c r="M330" s="120"/>
      <c r="N330" s="121"/>
      <c r="O330" s="121"/>
      <c r="P330" s="121"/>
      <c r="Q330" s="121"/>
      <c r="R330" s="121"/>
      <c r="S330" s="121"/>
      <c r="T330" s="121"/>
      <c r="U330" s="121"/>
      <c r="V330" s="121"/>
      <c r="W330" s="121"/>
      <c r="X330" s="121"/>
    </row>
    <row r="331" spans="1:24" ht="15">
      <c r="A331" s="114"/>
      <c r="B331" s="122">
        <v>20659</v>
      </c>
      <c r="C331" s="116"/>
      <c r="D331" s="117" t="s">
        <v>1326</v>
      </c>
      <c r="E331" s="118"/>
      <c r="F331" s="119" t="s">
        <v>1325</v>
      </c>
      <c r="G331" s="120"/>
      <c r="H331" s="120"/>
      <c r="I331" s="120"/>
      <c r="J331" s="120"/>
      <c r="K331" s="120"/>
      <c r="L331" s="120"/>
      <c r="M331" s="120"/>
      <c r="N331" s="121"/>
      <c r="O331" s="121"/>
      <c r="P331" s="121"/>
      <c r="Q331" s="121"/>
      <c r="R331" s="121"/>
      <c r="S331" s="121"/>
      <c r="T331" s="121"/>
      <c r="U331" s="121"/>
      <c r="V331" s="121"/>
      <c r="W331" s="121"/>
      <c r="X331" s="121"/>
    </row>
    <row r="332" spans="1:24" ht="15">
      <c r="A332" s="114"/>
      <c r="B332" s="122">
        <v>20659</v>
      </c>
      <c r="C332" s="116"/>
      <c r="D332" s="117" t="s">
        <v>1329</v>
      </c>
      <c r="E332" s="118"/>
      <c r="F332" s="119" t="s">
        <v>1328</v>
      </c>
      <c r="G332" s="120"/>
      <c r="H332" s="120"/>
      <c r="I332" s="120"/>
      <c r="J332" s="120"/>
      <c r="K332" s="120"/>
      <c r="L332" s="120"/>
      <c r="M332" s="120"/>
      <c r="N332" s="121"/>
      <c r="O332" s="121"/>
      <c r="P332" s="121"/>
      <c r="Q332" s="121"/>
      <c r="R332" s="121"/>
      <c r="S332" s="121"/>
      <c r="T332" s="121"/>
      <c r="U332" s="121"/>
      <c r="V332" s="121"/>
      <c r="W332" s="121"/>
      <c r="X332" s="121"/>
    </row>
    <row r="333" spans="1:24" ht="15">
      <c r="A333" s="114"/>
      <c r="B333" s="122">
        <v>20682</v>
      </c>
      <c r="C333" s="116"/>
      <c r="D333" s="126" t="s">
        <v>478</v>
      </c>
      <c r="E333" s="118"/>
      <c r="F333" s="119" t="s">
        <v>476</v>
      </c>
      <c r="G333" s="120"/>
      <c r="H333" s="120"/>
      <c r="I333" s="120"/>
      <c r="J333" s="120"/>
      <c r="K333" s="120"/>
      <c r="L333" s="120"/>
      <c r="M333" s="120"/>
      <c r="N333" s="121"/>
      <c r="O333" s="121"/>
      <c r="P333" s="121"/>
      <c r="Q333" s="121"/>
      <c r="R333" s="121"/>
      <c r="S333" s="121"/>
      <c r="T333" s="121"/>
      <c r="U333" s="121"/>
      <c r="V333" s="121"/>
      <c r="W333" s="121"/>
      <c r="X333" s="121"/>
    </row>
    <row r="334" spans="1:24" ht="15">
      <c r="A334" s="114"/>
      <c r="B334" s="122">
        <v>20683</v>
      </c>
      <c r="C334" s="116"/>
      <c r="D334" s="117" t="s">
        <v>447</v>
      </c>
      <c r="E334" s="118"/>
      <c r="F334" s="119" t="s">
        <v>1333</v>
      </c>
      <c r="G334" s="120"/>
      <c r="H334" s="120"/>
      <c r="I334" s="120"/>
      <c r="J334" s="120"/>
      <c r="K334" s="120"/>
      <c r="L334" s="120"/>
      <c r="M334" s="120"/>
      <c r="N334" s="121"/>
      <c r="O334" s="121"/>
      <c r="P334" s="121"/>
      <c r="Q334" s="121"/>
      <c r="R334" s="121"/>
      <c r="S334" s="121"/>
      <c r="T334" s="121"/>
      <c r="U334" s="121"/>
      <c r="V334" s="121"/>
      <c r="W334" s="121"/>
      <c r="X334" s="121"/>
    </row>
    <row r="335" spans="1:24" ht="15">
      <c r="A335" s="114"/>
      <c r="B335" s="122">
        <v>20683</v>
      </c>
      <c r="C335" s="116"/>
      <c r="D335" s="117" t="s">
        <v>447</v>
      </c>
      <c r="E335" s="118"/>
      <c r="F335" s="119" t="s">
        <v>1336</v>
      </c>
      <c r="G335" s="120"/>
      <c r="H335" s="120"/>
      <c r="I335" s="120"/>
      <c r="J335" s="120"/>
      <c r="K335" s="120"/>
      <c r="L335" s="120"/>
      <c r="M335" s="120"/>
      <c r="N335" s="121"/>
      <c r="O335" s="121"/>
      <c r="P335" s="121"/>
      <c r="Q335" s="121"/>
      <c r="R335" s="121"/>
      <c r="S335" s="121"/>
      <c r="T335" s="121"/>
      <c r="U335" s="121"/>
      <c r="V335" s="121"/>
      <c r="W335" s="121"/>
      <c r="X335" s="121"/>
    </row>
    <row r="336" spans="1:24" ht="60">
      <c r="A336" s="159">
        <v>20697</v>
      </c>
      <c r="B336" s="144">
        <v>20697</v>
      </c>
      <c r="C336" s="145" t="s">
        <v>2557</v>
      </c>
      <c r="D336" s="145" t="s">
        <v>2560</v>
      </c>
      <c r="E336" s="145" t="s">
        <v>2561</v>
      </c>
      <c r="F336" s="147" t="s">
        <v>3011</v>
      </c>
      <c r="G336" s="120"/>
      <c r="H336" s="120"/>
      <c r="I336" s="120"/>
      <c r="J336" s="120"/>
      <c r="K336" s="120"/>
      <c r="L336" s="120"/>
      <c r="M336" s="120"/>
      <c r="N336" s="121"/>
      <c r="O336" s="121"/>
      <c r="P336" s="121"/>
      <c r="Q336" s="121"/>
      <c r="R336" s="121"/>
      <c r="S336" s="121"/>
      <c r="T336" s="121"/>
      <c r="U336" s="121"/>
      <c r="V336" s="121"/>
      <c r="W336" s="121"/>
      <c r="X336" s="121"/>
    </row>
    <row r="337" spans="1:24" ht="16">
      <c r="A337" s="143" t="s">
        <v>3012</v>
      </c>
      <c r="B337" s="144">
        <v>20697</v>
      </c>
      <c r="C337" s="145" t="s">
        <v>3013</v>
      </c>
      <c r="D337" s="145" t="s">
        <v>1042</v>
      </c>
      <c r="E337" s="146"/>
      <c r="F337" s="146"/>
      <c r="G337" s="120"/>
      <c r="H337" s="120"/>
      <c r="I337" s="120"/>
      <c r="J337" s="120"/>
      <c r="K337" s="120"/>
      <c r="L337" s="120"/>
      <c r="M337" s="120"/>
      <c r="N337" s="121"/>
      <c r="O337" s="121"/>
      <c r="P337" s="121"/>
      <c r="Q337" s="121"/>
      <c r="R337" s="121"/>
      <c r="S337" s="121"/>
      <c r="T337" s="121"/>
      <c r="U337" s="121"/>
      <c r="V337" s="121"/>
      <c r="W337" s="121"/>
      <c r="X337" s="121"/>
    </row>
    <row r="338" spans="1:24" ht="15">
      <c r="A338" s="114"/>
      <c r="B338" s="122">
        <v>20698</v>
      </c>
      <c r="C338" s="116"/>
      <c r="D338" s="126" t="s">
        <v>1409</v>
      </c>
      <c r="E338" s="118"/>
      <c r="F338" s="119" t="s">
        <v>481</v>
      </c>
      <c r="G338" s="120"/>
      <c r="H338" s="120"/>
      <c r="I338" s="120"/>
      <c r="J338" s="120"/>
      <c r="K338" s="120"/>
      <c r="L338" s="120"/>
      <c r="M338" s="120"/>
      <c r="N338" s="121"/>
      <c r="O338" s="121"/>
      <c r="P338" s="121"/>
      <c r="Q338" s="121"/>
      <c r="R338" s="121"/>
      <c r="S338" s="121"/>
      <c r="T338" s="121"/>
      <c r="U338" s="121"/>
      <c r="V338" s="121"/>
      <c r="W338" s="121"/>
      <c r="X338" s="121"/>
    </row>
    <row r="339" spans="1:24" ht="15">
      <c r="A339" s="114"/>
      <c r="B339" s="122">
        <v>20708</v>
      </c>
      <c r="C339" s="116"/>
      <c r="D339" s="117" t="s">
        <v>1342</v>
      </c>
      <c r="E339" s="118"/>
      <c r="F339" s="119" t="s">
        <v>1341</v>
      </c>
      <c r="G339" s="120"/>
      <c r="H339" s="120"/>
      <c r="I339" s="120"/>
      <c r="J339" s="120"/>
      <c r="K339" s="120"/>
      <c r="L339" s="120"/>
      <c r="M339" s="120"/>
      <c r="N339" s="121"/>
      <c r="O339" s="121"/>
      <c r="P339" s="121"/>
      <c r="Q339" s="121"/>
      <c r="R339" s="121"/>
      <c r="S339" s="121"/>
      <c r="T339" s="121"/>
      <c r="U339" s="121"/>
      <c r="V339" s="121"/>
      <c r="W339" s="121"/>
      <c r="X339" s="121"/>
    </row>
    <row r="340" spans="1:24" ht="60">
      <c r="A340" s="143" t="s">
        <v>1343</v>
      </c>
      <c r="B340" s="144">
        <v>20709</v>
      </c>
      <c r="C340" s="147" t="s">
        <v>3016</v>
      </c>
      <c r="D340" s="147" t="s">
        <v>3017</v>
      </c>
      <c r="E340" s="148" t="s">
        <v>3018</v>
      </c>
      <c r="F340" s="148" t="s">
        <v>3019</v>
      </c>
      <c r="G340" s="120"/>
      <c r="H340" s="120"/>
      <c r="I340" s="120"/>
      <c r="J340" s="120"/>
      <c r="K340" s="120"/>
      <c r="L340" s="120"/>
      <c r="M340" s="120"/>
      <c r="N340" s="121"/>
      <c r="O340" s="121"/>
      <c r="P340" s="121"/>
      <c r="Q340" s="121"/>
      <c r="R340" s="121"/>
      <c r="S340" s="121"/>
      <c r="T340" s="121"/>
      <c r="U340" s="121"/>
      <c r="V340" s="121"/>
      <c r="W340" s="121"/>
      <c r="X340" s="121"/>
    </row>
    <row r="341" spans="1:24" ht="15">
      <c r="A341" s="114"/>
      <c r="B341" s="122">
        <v>20709</v>
      </c>
      <c r="C341" s="116"/>
      <c r="D341" s="117" t="s">
        <v>347</v>
      </c>
      <c r="E341" s="118"/>
      <c r="F341" s="119" t="s">
        <v>485</v>
      </c>
      <c r="G341" s="120"/>
      <c r="H341" s="120"/>
      <c r="I341" s="120"/>
      <c r="J341" s="120"/>
      <c r="K341" s="120"/>
      <c r="L341" s="120"/>
      <c r="M341" s="120"/>
      <c r="N341" s="121"/>
      <c r="O341" s="121"/>
      <c r="P341" s="121"/>
      <c r="Q341" s="121"/>
      <c r="R341" s="121"/>
      <c r="S341" s="121"/>
      <c r="T341" s="121"/>
      <c r="U341" s="121"/>
      <c r="V341" s="121"/>
      <c r="W341" s="121"/>
      <c r="X341" s="121"/>
    </row>
    <row r="342" spans="1:24" ht="15">
      <c r="A342" s="114"/>
      <c r="B342" s="122">
        <v>20710</v>
      </c>
      <c r="C342" s="116"/>
      <c r="D342" s="117" t="s">
        <v>447</v>
      </c>
      <c r="E342" s="118"/>
      <c r="F342" s="119" t="s">
        <v>1415</v>
      </c>
      <c r="G342" s="120"/>
      <c r="H342" s="120"/>
      <c r="I342" s="120"/>
      <c r="J342" s="120"/>
      <c r="K342" s="120"/>
      <c r="L342" s="120"/>
      <c r="M342" s="120"/>
      <c r="N342" s="121"/>
      <c r="O342" s="121"/>
      <c r="P342" s="121"/>
      <c r="Q342" s="121"/>
      <c r="R342" s="121"/>
      <c r="S342" s="121"/>
      <c r="T342" s="121"/>
      <c r="U342" s="121"/>
      <c r="V342" s="121"/>
      <c r="W342" s="121"/>
      <c r="X342" s="121"/>
    </row>
    <row r="343" spans="1:24" ht="60">
      <c r="A343" s="143" t="s">
        <v>3021</v>
      </c>
      <c r="B343" s="144">
        <v>20711</v>
      </c>
      <c r="C343" s="147" t="s">
        <v>3022</v>
      </c>
      <c r="D343" s="147" t="s">
        <v>3023</v>
      </c>
      <c r="E343" s="148" t="s">
        <v>3024</v>
      </c>
      <c r="F343" s="148" t="s">
        <v>3025</v>
      </c>
      <c r="G343" s="120"/>
      <c r="H343" s="120"/>
      <c r="I343" s="120"/>
      <c r="J343" s="120"/>
      <c r="K343" s="120"/>
      <c r="L343" s="120"/>
      <c r="M343" s="120"/>
      <c r="N343" s="121"/>
      <c r="O343" s="121"/>
      <c r="P343" s="121"/>
      <c r="Q343" s="121"/>
      <c r="R343" s="121"/>
      <c r="S343" s="121"/>
      <c r="T343" s="121"/>
      <c r="U343" s="121"/>
      <c r="V343" s="121"/>
      <c r="W343" s="121"/>
      <c r="X343" s="121"/>
    </row>
    <row r="344" spans="1:24" ht="15">
      <c r="A344" s="114"/>
      <c r="B344" s="122">
        <v>20721</v>
      </c>
      <c r="C344" s="116"/>
      <c r="D344" s="117" t="s">
        <v>1317</v>
      </c>
      <c r="E344" s="118"/>
      <c r="F344" s="119" t="s">
        <v>1347</v>
      </c>
      <c r="G344" s="120"/>
      <c r="H344" s="120"/>
      <c r="I344" s="120"/>
      <c r="J344" s="120"/>
      <c r="K344" s="120"/>
      <c r="L344" s="120"/>
      <c r="M344" s="120"/>
      <c r="N344" s="121"/>
      <c r="O344" s="121"/>
      <c r="P344" s="121"/>
      <c r="Q344" s="121"/>
      <c r="R344" s="121"/>
      <c r="S344" s="121"/>
      <c r="T344" s="121"/>
      <c r="U344" s="121"/>
      <c r="V344" s="121"/>
      <c r="W344" s="121"/>
      <c r="X344" s="121"/>
    </row>
    <row r="345" spans="1:24" ht="15">
      <c r="A345" s="114"/>
      <c r="B345" s="122">
        <v>20721</v>
      </c>
      <c r="C345" s="116"/>
      <c r="D345" s="117" t="s">
        <v>353</v>
      </c>
      <c r="E345" s="118"/>
      <c r="F345" s="119" t="s">
        <v>492</v>
      </c>
      <c r="G345" s="120"/>
      <c r="H345" s="120"/>
      <c r="I345" s="120"/>
      <c r="J345" s="120"/>
      <c r="K345" s="120"/>
      <c r="L345" s="120"/>
      <c r="M345" s="120"/>
      <c r="N345" s="121"/>
      <c r="O345" s="121"/>
      <c r="P345" s="121"/>
      <c r="Q345" s="121"/>
      <c r="R345" s="121"/>
      <c r="S345" s="121"/>
      <c r="T345" s="121"/>
      <c r="U345" s="121"/>
      <c r="V345" s="121"/>
      <c r="W345" s="121"/>
      <c r="X345" s="121"/>
    </row>
    <row r="346" spans="1:24" ht="15">
      <c r="A346" s="114"/>
      <c r="B346" s="122">
        <v>20722</v>
      </c>
      <c r="C346" s="116"/>
      <c r="D346" s="117" t="s">
        <v>357</v>
      </c>
      <c r="E346" s="118"/>
      <c r="F346" s="119" t="s">
        <v>496</v>
      </c>
      <c r="G346" s="120"/>
      <c r="H346" s="120"/>
      <c r="I346" s="120"/>
      <c r="J346" s="120"/>
      <c r="K346" s="120"/>
      <c r="L346" s="120"/>
      <c r="M346" s="120"/>
      <c r="N346" s="121"/>
      <c r="O346" s="121"/>
      <c r="P346" s="121"/>
      <c r="Q346" s="121"/>
      <c r="R346" s="121"/>
      <c r="S346" s="121"/>
      <c r="T346" s="121"/>
      <c r="U346" s="121"/>
      <c r="V346" s="121"/>
      <c r="W346" s="121"/>
      <c r="X346" s="121"/>
    </row>
    <row r="347" spans="1:24" ht="15">
      <c r="A347" s="114"/>
      <c r="B347" s="122">
        <v>20722</v>
      </c>
      <c r="C347" s="116"/>
      <c r="D347" s="117" t="s">
        <v>362</v>
      </c>
      <c r="E347" s="118"/>
      <c r="F347" s="119" t="s">
        <v>501</v>
      </c>
      <c r="G347" s="120"/>
      <c r="H347" s="120"/>
      <c r="I347" s="120"/>
      <c r="J347" s="120"/>
      <c r="K347" s="120"/>
      <c r="L347" s="120"/>
      <c r="M347" s="120"/>
      <c r="N347" s="121"/>
      <c r="O347" s="121"/>
      <c r="P347" s="121"/>
      <c r="Q347" s="121"/>
      <c r="R347" s="121"/>
      <c r="S347" s="121"/>
      <c r="T347" s="121"/>
      <c r="U347" s="121"/>
      <c r="V347" s="121"/>
      <c r="W347" s="121"/>
      <c r="X347" s="121"/>
    </row>
    <row r="348" spans="1:24" ht="60">
      <c r="A348" s="143" t="s">
        <v>3027</v>
      </c>
      <c r="B348" s="144">
        <v>20723</v>
      </c>
      <c r="C348" s="147" t="s">
        <v>3028</v>
      </c>
      <c r="D348" s="147" t="s">
        <v>3029</v>
      </c>
      <c r="E348" s="148" t="s">
        <v>3030</v>
      </c>
      <c r="F348" s="148" t="s">
        <v>3031</v>
      </c>
      <c r="G348" s="120"/>
      <c r="H348" s="120"/>
      <c r="I348" s="120"/>
      <c r="J348" s="120"/>
      <c r="K348" s="120"/>
      <c r="L348" s="120"/>
      <c r="M348" s="120"/>
      <c r="N348" s="121"/>
      <c r="O348" s="121"/>
      <c r="P348" s="121"/>
      <c r="Q348" s="121"/>
      <c r="R348" s="121"/>
      <c r="S348" s="121"/>
      <c r="T348" s="121"/>
      <c r="U348" s="121"/>
      <c r="V348" s="121"/>
      <c r="W348" s="121"/>
      <c r="X348" s="121"/>
    </row>
    <row r="349" spans="1:24" ht="15">
      <c r="A349" s="114"/>
      <c r="B349" s="122">
        <v>20732</v>
      </c>
      <c r="C349" s="116"/>
      <c r="D349" s="117" t="s">
        <v>447</v>
      </c>
      <c r="E349" s="118"/>
      <c r="F349" s="119" t="s">
        <v>1430</v>
      </c>
      <c r="G349" s="120"/>
      <c r="H349" s="120"/>
      <c r="I349" s="120"/>
      <c r="J349" s="120"/>
      <c r="K349" s="120"/>
      <c r="L349" s="120"/>
      <c r="M349" s="120"/>
      <c r="N349" s="121"/>
      <c r="O349" s="121"/>
      <c r="P349" s="121"/>
      <c r="Q349" s="121"/>
      <c r="R349" s="121"/>
      <c r="S349" s="121"/>
      <c r="T349" s="121"/>
      <c r="U349" s="121"/>
      <c r="V349" s="121"/>
      <c r="W349" s="121"/>
      <c r="X349" s="121"/>
    </row>
    <row r="350" spans="1:24" ht="15">
      <c r="A350" s="114"/>
      <c r="B350" s="122">
        <v>20737</v>
      </c>
      <c r="C350" s="116"/>
      <c r="D350" s="117" t="s">
        <v>1356</v>
      </c>
      <c r="E350" s="118"/>
      <c r="F350" s="119" t="s">
        <v>1431</v>
      </c>
      <c r="G350" s="120"/>
      <c r="H350" s="120"/>
      <c r="I350" s="120"/>
      <c r="J350" s="120"/>
      <c r="K350" s="120"/>
      <c r="L350" s="120"/>
      <c r="M350" s="120"/>
      <c r="N350" s="121"/>
      <c r="O350" s="121"/>
      <c r="P350" s="121"/>
      <c r="Q350" s="121"/>
      <c r="R350" s="121"/>
      <c r="S350" s="121"/>
      <c r="T350" s="121"/>
      <c r="U350" s="121"/>
      <c r="V350" s="121"/>
      <c r="W350" s="121"/>
      <c r="X350" s="121"/>
    </row>
    <row r="351" spans="1:24" ht="45">
      <c r="A351" s="143" t="s">
        <v>3033</v>
      </c>
      <c r="B351" s="144">
        <v>20738</v>
      </c>
      <c r="C351" s="147" t="s">
        <v>3034</v>
      </c>
      <c r="D351" s="147" t="s">
        <v>3035</v>
      </c>
      <c r="E351" s="148" t="s">
        <v>3036</v>
      </c>
      <c r="F351" s="148" t="s">
        <v>3038</v>
      </c>
      <c r="G351" s="120"/>
      <c r="H351" s="120"/>
      <c r="I351" s="120"/>
      <c r="J351" s="120"/>
      <c r="K351" s="120"/>
      <c r="L351" s="120"/>
      <c r="M351" s="120"/>
      <c r="N351" s="121"/>
      <c r="O351" s="121"/>
      <c r="P351" s="121"/>
      <c r="Q351" s="121"/>
      <c r="R351" s="121"/>
      <c r="S351" s="121"/>
      <c r="T351" s="121"/>
      <c r="U351" s="121"/>
      <c r="V351" s="121"/>
      <c r="W351" s="121"/>
      <c r="X351" s="121"/>
    </row>
    <row r="352" spans="1:24" ht="15">
      <c r="A352" s="114"/>
      <c r="B352" s="122">
        <v>20748</v>
      </c>
      <c r="C352" s="116"/>
      <c r="D352" s="126" t="s">
        <v>1409</v>
      </c>
      <c r="E352" s="118"/>
      <c r="F352" s="119" t="s">
        <v>515</v>
      </c>
      <c r="G352" s="120"/>
      <c r="H352" s="120"/>
      <c r="I352" s="120"/>
      <c r="J352" s="120"/>
      <c r="K352" s="120"/>
      <c r="L352" s="120"/>
      <c r="M352" s="120"/>
      <c r="N352" s="121"/>
      <c r="O352" s="121"/>
      <c r="P352" s="121"/>
      <c r="Q352" s="121"/>
      <c r="R352" s="121"/>
      <c r="S352" s="121"/>
      <c r="T352" s="121"/>
      <c r="U352" s="121"/>
      <c r="V352" s="121"/>
      <c r="W352" s="121"/>
      <c r="X352" s="121"/>
    </row>
    <row r="353" spans="1:24" ht="15">
      <c r="A353" s="114"/>
      <c r="B353" s="122">
        <v>20760</v>
      </c>
      <c r="C353" s="116"/>
      <c r="D353" s="117" t="s">
        <v>447</v>
      </c>
      <c r="E353" s="118"/>
      <c r="F353" s="119" t="s">
        <v>1360</v>
      </c>
      <c r="G353" s="120"/>
      <c r="H353" s="120"/>
      <c r="I353" s="120"/>
      <c r="J353" s="120"/>
      <c r="K353" s="120"/>
      <c r="L353" s="120"/>
      <c r="M353" s="120"/>
      <c r="N353" s="121"/>
      <c r="O353" s="121"/>
      <c r="P353" s="121"/>
      <c r="Q353" s="121"/>
      <c r="R353" s="121"/>
      <c r="S353" s="121"/>
      <c r="T353" s="121"/>
      <c r="U353" s="121"/>
      <c r="V353" s="121"/>
      <c r="W353" s="121"/>
      <c r="X353" s="121"/>
    </row>
    <row r="354" spans="1:24" ht="15">
      <c r="A354" s="114"/>
      <c r="B354" s="122">
        <v>20768</v>
      </c>
      <c r="C354" s="116"/>
      <c r="D354" s="117" t="s">
        <v>1362</v>
      </c>
      <c r="E354" s="118"/>
      <c r="F354" s="119" t="s">
        <v>1361</v>
      </c>
      <c r="G354" s="120"/>
      <c r="H354" s="120"/>
      <c r="I354" s="120"/>
      <c r="J354" s="120"/>
      <c r="K354" s="120"/>
      <c r="L354" s="120"/>
      <c r="M354" s="120"/>
      <c r="N354" s="121"/>
      <c r="O354" s="121"/>
      <c r="P354" s="121"/>
      <c r="Q354" s="121"/>
      <c r="R354" s="121"/>
      <c r="S354" s="121"/>
      <c r="T354" s="121"/>
      <c r="U354" s="121"/>
      <c r="V354" s="121"/>
      <c r="W354" s="121"/>
      <c r="X354" s="121"/>
    </row>
    <row r="355" spans="1:24" ht="15">
      <c r="A355" s="114"/>
      <c r="B355" s="122">
        <v>20770</v>
      </c>
      <c r="C355" s="116"/>
      <c r="D355" s="117" t="s">
        <v>1317</v>
      </c>
      <c r="E355" s="118"/>
      <c r="F355" s="119" t="s">
        <v>1365</v>
      </c>
      <c r="G355" s="120"/>
      <c r="H355" s="120"/>
      <c r="I355" s="120"/>
      <c r="J355" s="120"/>
      <c r="K355" s="120"/>
      <c r="L355" s="120"/>
      <c r="M355" s="120"/>
      <c r="N355" s="121"/>
      <c r="O355" s="121"/>
      <c r="P355" s="121"/>
      <c r="Q355" s="121"/>
      <c r="R355" s="121"/>
      <c r="S355" s="121"/>
      <c r="T355" s="121"/>
      <c r="U355" s="121"/>
      <c r="V355" s="121"/>
      <c r="W355" s="121"/>
      <c r="X355" s="121"/>
    </row>
    <row r="356" spans="1:24" ht="15">
      <c r="A356" s="114"/>
      <c r="B356" s="122">
        <v>20780</v>
      </c>
      <c r="C356" s="116"/>
      <c r="D356" s="117" t="s">
        <v>447</v>
      </c>
      <c r="E356" s="118"/>
      <c r="F356" s="119" t="s">
        <v>1367</v>
      </c>
      <c r="G356" s="120"/>
      <c r="H356" s="120"/>
      <c r="I356" s="120"/>
      <c r="J356" s="120"/>
      <c r="K356" s="120"/>
      <c r="L356" s="120"/>
      <c r="M356" s="120"/>
      <c r="N356" s="121"/>
      <c r="O356" s="121"/>
      <c r="P356" s="121"/>
      <c r="Q356" s="121"/>
      <c r="R356" s="121"/>
      <c r="S356" s="121"/>
      <c r="T356" s="121"/>
      <c r="U356" s="121"/>
      <c r="V356" s="121"/>
      <c r="W356" s="121"/>
      <c r="X356" s="121"/>
    </row>
    <row r="357" spans="1:24" ht="15">
      <c r="A357" s="114"/>
      <c r="B357" s="122">
        <v>20789</v>
      </c>
      <c r="C357" s="116"/>
      <c r="D357" s="117" t="s">
        <v>1369</v>
      </c>
      <c r="E357" s="118"/>
      <c r="F357" s="119" t="s">
        <v>1368</v>
      </c>
      <c r="G357" s="120"/>
      <c r="H357" s="120"/>
      <c r="I357" s="120"/>
      <c r="J357" s="120"/>
      <c r="K357" s="120"/>
      <c r="L357" s="120"/>
      <c r="M357" s="120"/>
      <c r="N357" s="121"/>
      <c r="O357" s="121"/>
      <c r="P357" s="121"/>
      <c r="Q357" s="121"/>
      <c r="R357" s="121"/>
      <c r="S357" s="121"/>
      <c r="T357" s="121"/>
      <c r="U357" s="121"/>
      <c r="V357" s="121"/>
      <c r="W357" s="121"/>
      <c r="X357" s="121"/>
    </row>
    <row r="358" spans="1:24" ht="15">
      <c r="A358" s="114"/>
      <c r="B358" s="122">
        <v>20804</v>
      </c>
      <c r="C358" s="116"/>
      <c r="D358" s="117" t="s">
        <v>1371</v>
      </c>
      <c r="E358" s="118"/>
      <c r="F358" s="119" t="s">
        <v>1370</v>
      </c>
      <c r="G358" s="120"/>
      <c r="H358" s="120"/>
      <c r="I358" s="120"/>
      <c r="J358" s="120"/>
      <c r="K358" s="120"/>
      <c r="L358" s="120"/>
      <c r="M358" s="120"/>
      <c r="N358" s="121"/>
      <c r="O358" s="121"/>
      <c r="P358" s="121"/>
      <c r="Q358" s="121"/>
      <c r="R358" s="121"/>
      <c r="S358" s="121"/>
      <c r="T358" s="121"/>
      <c r="U358" s="121"/>
      <c r="V358" s="121"/>
      <c r="W358" s="121"/>
      <c r="X358" s="121"/>
    </row>
    <row r="359" spans="1:24" ht="15">
      <c r="A359" s="114"/>
      <c r="B359" s="122">
        <v>20804</v>
      </c>
      <c r="C359" s="116"/>
      <c r="D359" s="117" t="s">
        <v>848</v>
      </c>
      <c r="E359" s="118"/>
      <c r="F359" s="119" t="s">
        <v>1372</v>
      </c>
      <c r="G359" s="120"/>
      <c r="H359" s="120"/>
      <c r="I359" s="120"/>
      <c r="J359" s="120"/>
      <c r="K359" s="120"/>
      <c r="L359" s="120"/>
      <c r="M359" s="120"/>
      <c r="N359" s="121"/>
      <c r="O359" s="121"/>
      <c r="P359" s="121"/>
      <c r="Q359" s="121"/>
      <c r="R359" s="121"/>
      <c r="S359" s="121"/>
      <c r="T359" s="121"/>
      <c r="U359" s="121"/>
      <c r="V359" s="121"/>
      <c r="W359" s="121"/>
      <c r="X359" s="121"/>
    </row>
    <row r="360" spans="1:24" ht="15">
      <c r="A360" s="114"/>
      <c r="B360" s="122">
        <v>20812</v>
      </c>
      <c r="C360" s="116"/>
      <c r="D360" s="117" t="s">
        <v>1375</v>
      </c>
      <c r="E360" s="118"/>
      <c r="F360" s="119" t="s">
        <v>1374</v>
      </c>
      <c r="G360" s="120"/>
      <c r="H360" s="120"/>
      <c r="I360" s="120"/>
      <c r="J360" s="120"/>
      <c r="K360" s="120"/>
      <c r="L360" s="120"/>
      <c r="M360" s="120"/>
      <c r="N360" s="121"/>
      <c r="O360" s="121"/>
      <c r="P360" s="121"/>
      <c r="Q360" s="121"/>
      <c r="R360" s="121"/>
      <c r="S360" s="121"/>
      <c r="T360" s="121"/>
      <c r="U360" s="121"/>
      <c r="V360" s="121"/>
      <c r="W360" s="121"/>
      <c r="X360" s="121"/>
    </row>
    <row r="361" spans="1:24" ht="15">
      <c r="A361" s="114"/>
      <c r="B361" s="122">
        <v>20816</v>
      </c>
      <c r="C361" s="116"/>
      <c r="D361" s="117" t="s">
        <v>1377</v>
      </c>
      <c r="E361" s="118"/>
      <c r="F361" s="119" t="s">
        <v>1376</v>
      </c>
      <c r="G361" s="120"/>
      <c r="H361" s="120"/>
      <c r="I361" s="120"/>
      <c r="J361" s="120"/>
      <c r="K361" s="120"/>
      <c r="L361" s="120"/>
      <c r="M361" s="120"/>
      <c r="N361" s="121"/>
      <c r="O361" s="121"/>
      <c r="P361" s="121"/>
      <c r="Q361" s="121"/>
      <c r="R361" s="121"/>
      <c r="S361" s="121"/>
      <c r="T361" s="121"/>
      <c r="U361" s="121"/>
      <c r="V361" s="121"/>
      <c r="W361" s="121"/>
      <c r="X361" s="121"/>
    </row>
    <row r="362" spans="1:24" ht="15">
      <c r="A362" s="114"/>
      <c r="B362" s="122">
        <v>20824</v>
      </c>
      <c r="C362" s="116"/>
      <c r="D362" s="117" t="s">
        <v>1379</v>
      </c>
      <c r="E362" s="118"/>
      <c r="F362" s="119" t="s">
        <v>1378</v>
      </c>
      <c r="G362" s="120"/>
      <c r="H362" s="120"/>
      <c r="I362" s="120"/>
      <c r="J362" s="120"/>
      <c r="K362" s="120"/>
      <c r="L362" s="120"/>
      <c r="M362" s="120"/>
      <c r="N362" s="121"/>
      <c r="O362" s="121"/>
      <c r="P362" s="121"/>
      <c r="Q362" s="121"/>
      <c r="R362" s="121"/>
      <c r="S362" s="121"/>
      <c r="T362" s="121"/>
      <c r="U362" s="121"/>
      <c r="V362" s="121"/>
      <c r="W362" s="121"/>
      <c r="X362" s="121"/>
    </row>
    <row r="363" spans="1:24" ht="15">
      <c r="A363" s="114"/>
      <c r="B363" s="122">
        <v>20829</v>
      </c>
      <c r="C363" s="116"/>
      <c r="D363" s="117" t="s">
        <v>838</v>
      </c>
      <c r="E363" s="118"/>
      <c r="F363" s="119" t="s">
        <v>1381</v>
      </c>
      <c r="G363" s="120"/>
      <c r="H363" s="120"/>
      <c r="I363" s="120"/>
      <c r="J363" s="120"/>
      <c r="K363" s="120"/>
      <c r="L363" s="120"/>
      <c r="M363" s="120"/>
      <c r="N363" s="121"/>
      <c r="O363" s="121"/>
      <c r="P363" s="121"/>
      <c r="Q363" s="121"/>
      <c r="R363" s="121"/>
      <c r="S363" s="121"/>
      <c r="T363" s="121"/>
      <c r="U363" s="121"/>
      <c r="V363" s="121"/>
      <c r="W363" s="121"/>
      <c r="X363" s="121"/>
    </row>
    <row r="364" spans="1:24" ht="15">
      <c r="A364" s="114"/>
      <c r="B364" s="122">
        <v>20831</v>
      </c>
      <c r="C364" s="116"/>
      <c r="D364" s="117" t="s">
        <v>1386</v>
      </c>
      <c r="E364" s="118"/>
      <c r="F364" s="119" t="s">
        <v>1384</v>
      </c>
      <c r="G364" s="120"/>
      <c r="H364" s="120"/>
      <c r="I364" s="120"/>
      <c r="J364" s="120"/>
      <c r="K364" s="120"/>
      <c r="L364" s="120"/>
      <c r="M364" s="120"/>
      <c r="N364" s="121"/>
      <c r="O364" s="121"/>
      <c r="P364" s="121"/>
      <c r="Q364" s="121"/>
      <c r="R364" s="121"/>
      <c r="S364" s="121"/>
      <c r="T364" s="121"/>
      <c r="U364" s="121"/>
      <c r="V364" s="121"/>
      <c r="W364" s="121"/>
      <c r="X364" s="121"/>
    </row>
    <row r="365" spans="1:24" ht="15">
      <c r="A365" s="114"/>
      <c r="B365" s="122">
        <v>20846</v>
      </c>
      <c r="C365" s="116"/>
      <c r="D365" s="117" t="s">
        <v>1390</v>
      </c>
      <c r="E365" s="118"/>
      <c r="F365" s="119" t="s">
        <v>1389</v>
      </c>
      <c r="G365" s="120"/>
      <c r="H365" s="120"/>
      <c r="I365" s="120"/>
      <c r="J365" s="120"/>
      <c r="K365" s="120"/>
      <c r="L365" s="120"/>
      <c r="M365" s="120"/>
      <c r="N365" s="121"/>
      <c r="O365" s="121"/>
      <c r="P365" s="121"/>
      <c r="Q365" s="121"/>
      <c r="R365" s="121"/>
      <c r="S365" s="121"/>
      <c r="T365" s="121"/>
      <c r="U365" s="121"/>
      <c r="V365" s="121"/>
      <c r="W365" s="121"/>
      <c r="X365" s="121"/>
    </row>
    <row r="366" spans="1:24" ht="15">
      <c r="A366" s="114"/>
      <c r="B366" s="122">
        <v>20848</v>
      </c>
      <c r="C366" s="116"/>
      <c r="D366" s="117" t="s">
        <v>215</v>
      </c>
      <c r="E366" s="118"/>
      <c r="F366" s="119" t="s">
        <v>1391</v>
      </c>
      <c r="G366" s="120"/>
      <c r="H366" s="120"/>
      <c r="I366" s="120"/>
      <c r="J366" s="120"/>
      <c r="K366" s="120"/>
      <c r="L366" s="120"/>
      <c r="M366" s="120"/>
      <c r="N366" s="121"/>
      <c r="O366" s="121"/>
      <c r="P366" s="121"/>
      <c r="Q366" s="121"/>
      <c r="R366" s="121"/>
      <c r="S366" s="121"/>
      <c r="T366" s="121"/>
      <c r="U366" s="121"/>
      <c r="V366" s="121"/>
      <c r="W366" s="121"/>
      <c r="X366" s="121"/>
    </row>
    <row r="367" spans="1:24" ht="15">
      <c r="A367" s="114"/>
      <c r="B367" s="122">
        <v>20857</v>
      </c>
      <c r="C367" s="116"/>
      <c r="D367" s="117" t="s">
        <v>1042</v>
      </c>
      <c r="E367" s="118"/>
      <c r="F367" s="119" t="s">
        <v>1394</v>
      </c>
      <c r="G367" s="120"/>
      <c r="H367" s="120"/>
      <c r="I367" s="120"/>
      <c r="J367" s="120"/>
      <c r="K367" s="120"/>
      <c r="L367" s="120"/>
      <c r="M367" s="120"/>
      <c r="N367" s="121"/>
      <c r="O367" s="121"/>
      <c r="P367" s="121"/>
      <c r="Q367" s="121"/>
      <c r="R367" s="121"/>
      <c r="S367" s="121"/>
      <c r="T367" s="121"/>
      <c r="U367" s="121"/>
      <c r="V367" s="121"/>
      <c r="W367" s="121"/>
      <c r="X367" s="121"/>
    </row>
    <row r="368" spans="1:24" ht="15">
      <c r="A368" s="114"/>
      <c r="B368" s="122">
        <v>20887</v>
      </c>
      <c r="C368" s="116"/>
      <c r="D368" s="117" t="s">
        <v>1397</v>
      </c>
      <c r="E368" s="118"/>
      <c r="F368" s="119" t="s">
        <v>1396</v>
      </c>
      <c r="G368" s="120"/>
      <c r="H368" s="120"/>
      <c r="I368" s="120"/>
      <c r="J368" s="120"/>
      <c r="K368" s="120"/>
      <c r="L368" s="120"/>
      <c r="M368" s="120"/>
      <c r="N368" s="121"/>
      <c r="O368" s="121"/>
      <c r="P368" s="121"/>
      <c r="Q368" s="121"/>
      <c r="R368" s="121"/>
      <c r="S368" s="121"/>
      <c r="T368" s="121"/>
      <c r="U368" s="121"/>
      <c r="V368" s="121"/>
      <c r="W368" s="121"/>
      <c r="X368" s="121"/>
    </row>
    <row r="369" spans="1:24" ht="15">
      <c r="A369" s="114"/>
      <c r="B369" s="122">
        <v>20921</v>
      </c>
      <c r="C369" s="116"/>
      <c r="D369" s="117" t="s">
        <v>32</v>
      </c>
      <c r="E369" s="118"/>
      <c r="F369" s="119" t="s">
        <v>1401</v>
      </c>
      <c r="G369" s="120"/>
      <c r="H369" s="120"/>
      <c r="I369" s="120"/>
      <c r="J369" s="120"/>
      <c r="K369" s="120"/>
      <c r="L369" s="120"/>
      <c r="M369" s="120"/>
      <c r="N369" s="121"/>
      <c r="O369" s="121"/>
      <c r="P369" s="121"/>
      <c r="Q369" s="121"/>
      <c r="R369" s="121"/>
      <c r="S369" s="121"/>
      <c r="T369" s="121"/>
      <c r="U369" s="121"/>
      <c r="V369" s="121"/>
      <c r="W369" s="121"/>
      <c r="X369" s="121"/>
    </row>
    <row r="370" spans="1:24" ht="15">
      <c r="A370" s="114"/>
      <c r="B370" s="122">
        <v>20922</v>
      </c>
      <c r="C370" s="116"/>
      <c r="D370" s="117" t="s">
        <v>1405</v>
      </c>
      <c r="E370" s="118"/>
      <c r="F370" s="119" t="s">
        <v>1404</v>
      </c>
      <c r="G370" s="120"/>
      <c r="H370" s="120"/>
      <c r="I370" s="120"/>
      <c r="J370" s="120"/>
      <c r="K370" s="120"/>
      <c r="L370" s="120"/>
      <c r="M370" s="120"/>
      <c r="N370" s="121"/>
      <c r="O370" s="121"/>
      <c r="P370" s="121"/>
      <c r="Q370" s="121"/>
      <c r="R370" s="121"/>
      <c r="S370" s="121"/>
      <c r="T370" s="121"/>
      <c r="U370" s="121"/>
      <c r="V370" s="121"/>
      <c r="W370" s="121"/>
      <c r="X370" s="121"/>
    </row>
    <row r="371" spans="1:24" ht="15">
      <c r="A371" s="114"/>
      <c r="B371" s="122">
        <v>20935</v>
      </c>
      <c r="C371" s="116"/>
      <c r="D371" s="117" t="s">
        <v>1042</v>
      </c>
      <c r="E371" s="118"/>
      <c r="F371" s="119" t="s">
        <v>1407</v>
      </c>
      <c r="G371" s="120"/>
      <c r="H371" s="120"/>
      <c r="I371" s="120"/>
      <c r="J371" s="120"/>
      <c r="K371" s="120"/>
      <c r="L371" s="120"/>
      <c r="M371" s="120"/>
      <c r="N371" s="121"/>
      <c r="O371" s="121"/>
      <c r="P371" s="121"/>
      <c r="Q371" s="121"/>
      <c r="R371" s="121"/>
      <c r="S371" s="121"/>
      <c r="T371" s="121"/>
      <c r="U371" s="121"/>
      <c r="V371" s="121"/>
      <c r="W371" s="121"/>
      <c r="X371" s="121"/>
    </row>
    <row r="372" spans="1:24" ht="15">
      <c r="A372" s="114"/>
      <c r="B372" s="122">
        <v>20961</v>
      </c>
      <c r="C372" s="116"/>
      <c r="D372" s="117" t="s">
        <v>447</v>
      </c>
      <c r="E372" s="118"/>
      <c r="F372" s="119" t="s">
        <v>1410</v>
      </c>
      <c r="G372" s="120"/>
      <c r="H372" s="120"/>
      <c r="I372" s="120"/>
      <c r="J372" s="120"/>
      <c r="K372" s="120"/>
      <c r="L372" s="120"/>
      <c r="M372" s="120"/>
      <c r="N372" s="121"/>
      <c r="O372" s="121"/>
      <c r="P372" s="121"/>
      <c r="Q372" s="121"/>
      <c r="R372" s="121"/>
      <c r="S372" s="121"/>
      <c r="T372" s="121"/>
      <c r="U372" s="121"/>
      <c r="V372" s="121"/>
      <c r="W372" s="121"/>
      <c r="X372" s="121"/>
    </row>
    <row r="373" spans="1:24" ht="15">
      <c r="A373" s="114"/>
      <c r="B373" s="122">
        <v>20985</v>
      </c>
      <c r="C373" s="116"/>
      <c r="D373" s="117" t="s">
        <v>32</v>
      </c>
      <c r="E373" s="118"/>
      <c r="F373" s="119" t="s">
        <v>1414</v>
      </c>
      <c r="G373" s="120"/>
      <c r="H373" s="120"/>
      <c r="I373" s="120"/>
      <c r="J373" s="120"/>
      <c r="K373" s="120"/>
      <c r="L373" s="120"/>
      <c r="M373" s="120"/>
      <c r="N373" s="121"/>
      <c r="O373" s="121"/>
      <c r="P373" s="121"/>
      <c r="Q373" s="121"/>
      <c r="R373" s="121"/>
      <c r="S373" s="121"/>
      <c r="T373" s="121"/>
      <c r="U373" s="121"/>
      <c r="V373" s="121"/>
      <c r="W373" s="121"/>
      <c r="X373" s="121"/>
    </row>
    <row r="374" spans="1:24" ht="15">
      <c r="A374" s="114"/>
      <c r="B374" s="122">
        <v>20987</v>
      </c>
      <c r="C374" s="116"/>
      <c r="D374" s="117" t="s">
        <v>1417</v>
      </c>
      <c r="E374" s="118"/>
      <c r="F374" s="119" t="s">
        <v>1416</v>
      </c>
      <c r="G374" s="120"/>
      <c r="H374" s="120"/>
      <c r="I374" s="120"/>
      <c r="J374" s="120"/>
      <c r="K374" s="120"/>
      <c r="L374" s="120"/>
      <c r="M374" s="120"/>
      <c r="N374" s="121"/>
      <c r="O374" s="121"/>
      <c r="P374" s="121"/>
      <c r="Q374" s="121"/>
      <c r="R374" s="121"/>
      <c r="S374" s="121"/>
      <c r="T374" s="121"/>
      <c r="U374" s="121"/>
      <c r="V374" s="121"/>
      <c r="W374" s="121"/>
      <c r="X374" s="121"/>
    </row>
    <row r="375" spans="1:24" ht="15">
      <c r="A375" s="114"/>
      <c r="B375" s="122">
        <v>20990</v>
      </c>
      <c r="C375" s="116"/>
      <c r="D375" s="160"/>
      <c r="E375" s="118"/>
      <c r="F375" s="119" t="s">
        <v>1418</v>
      </c>
      <c r="G375" s="120"/>
      <c r="H375" s="120"/>
      <c r="I375" s="120"/>
      <c r="J375" s="120"/>
      <c r="K375" s="120"/>
      <c r="L375" s="120"/>
      <c r="M375" s="120"/>
      <c r="N375" s="121"/>
      <c r="O375" s="121"/>
      <c r="P375" s="121"/>
      <c r="Q375" s="121"/>
      <c r="R375" s="121"/>
      <c r="S375" s="121"/>
      <c r="T375" s="121"/>
      <c r="U375" s="121"/>
      <c r="V375" s="121"/>
      <c r="W375" s="121"/>
      <c r="X375" s="121"/>
    </row>
    <row r="376" spans="1:24" ht="15">
      <c r="A376" s="114"/>
      <c r="B376" s="122">
        <v>20991</v>
      </c>
      <c r="C376" s="116"/>
      <c r="D376" s="117" t="s">
        <v>32</v>
      </c>
      <c r="E376" s="118"/>
      <c r="F376" s="119" t="s">
        <v>1421</v>
      </c>
      <c r="G376" s="120"/>
      <c r="H376" s="120"/>
      <c r="I376" s="120"/>
      <c r="J376" s="120"/>
      <c r="K376" s="120"/>
      <c r="L376" s="120"/>
      <c r="M376" s="120"/>
      <c r="N376" s="121"/>
      <c r="O376" s="121"/>
      <c r="P376" s="121"/>
      <c r="Q376" s="121"/>
      <c r="R376" s="121"/>
      <c r="S376" s="121"/>
      <c r="T376" s="121"/>
      <c r="U376" s="121"/>
      <c r="V376" s="121"/>
      <c r="W376" s="121"/>
      <c r="X376" s="121"/>
    </row>
    <row r="377" spans="1:24" ht="15">
      <c r="A377" s="114"/>
      <c r="B377" s="122">
        <v>20995</v>
      </c>
      <c r="C377" s="116"/>
      <c r="D377" s="117" t="s">
        <v>800</v>
      </c>
      <c r="E377" s="118"/>
      <c r="F377" s="119" t="s">
        <v>1422</v>
      </c>
      <c r="G377" s="120"/>
      <c r="H377" s="120"/>
      <c r="I377" s="120"/>
      <c r="J377" s="120"/>
      <c r="K377" s="120"/>
      <c r="L377" s="120"/>
      <c r="M377" s="120"/>
      <c r="N377" s="121"/>
      <c r="O377" s="121"/>
      <c r="P377" s="121"/>
      <c r="Q377" s="121"/>
      <c r="R377" s="121"/>
      <c r="S377" s="121"/>
      <c r="T377" s="121"/>
      <c r="U377" s="121"/>
      <c r="V377" s="121"/>
      <c r="W377" s="121"/>
      <c r="X377" s="121"/>
    </row>
    <row r="378" spans="1:24" ht="15">
      <c r="A378" s="114"/>
      <c r="B378" s="122">
        <v>21010</v>
      </c>
      <c r="C378" s="116"/>
      <c r="D378" s="117" t="s">
        <v>1426</v>
      </c>
      <c r="E378" s="118"/>
      <c r="F378" s="119" t="s">
        <v>1425</v>
      </c>
      <c r="G378" s="120"/>
      <c r="H378" s="120"/>
      <c r="I378" s="120"/>
      <c r="J378" s="120"/>
      <c r="K378" s="120"/>
      <c r="L378" s="120"/>
      <c r="M378" s="120"/>
      <c r="N378" s="121"/>
      <c r="O378" s="121"/>
      <c r="P378" s="121"/>
      <c r="Q378" s="121"/>
      <c r="R378" s="121"/>
      <c r="S378" s="121"/>
      <c r="T378" s="121"/>
      <c r="U378" s="121"/>
      <c r="V378" s="121"/>
      <c r="W378" s="121"/>
      <c r="X378" s="121"/>
    </row>
    <row r="379" spans="1:24" ht="15">
      <c r="A379" s="114"/>
      <c r="B379" s="122">
        <v>21012</v>
      </c>
      <c r="C379" s="116"/>
      <c r="D379" s="117" t="s">
        <v>1428</v>
      </c>
      <c r="E379" s="118"/>
      <c r="F379" s="119" t="s">
        <v>1427</v>
      </c>
      <c r="G379" s="120"/>
      <c r="H379" s="120"/>
      <c r="I379" s="120"/>
      <c r="J379" s="120"/>
      <c r="K379" s="120"/>
      <c r="L379" s="120"/>
      <c r="M379" s="120"/>
      <c r="N379" s="121"/>
      <c r="O379" s="121"/>
      <c r="P379" s="121"/>
      <c r="Q379" s="121"/>
      <c r="R379" s="121"/>
      <c r="S379" s="121"/>
      <c r="T379" s="121"/>
      <c r="U379" s="121"/>
      <c r="V379" s="121"/>
      <c r="W379" s="121"/>
      <c r="X379" s="121"/>
    </row>
    <row r="380" spans="1:24" ht="15">
      <c r="A380" s="114"/>
      <c r="B380" s="122">
        <v>21028</v>
      </c>
      <c r="C380" s="116"/>
      <c r="D380" s="117" t="s">
        <v>1433</v>
      </c>
      <c r="E380" s="118"/>
      <c r="F380" s="119" t="s">
        <v>1432</v>
      </c>
      <c r="G380" s="120"/>
      <c r="H380" s="120"/>
      <c r="I380" s="120"/>
      <c r="J380" s="120"/>
      <c r="K380" s="120"/>
      <c r="L380" s="120"/>
      <c r="M380" s="120"/>
      <c r="N380" s="121"/>
      <c r="O380" s="121"/>
      <c r="P380" s="121"/>
      <c r="Q380" s="121"/>
      <c r="R380" s="121"/>
      <c r="S380" s="121"/>
      <c r="T380" s="121"/>
      <c r="U380" s="121"/>
      <c r="V380" s="121"/>
      <c r="W380" s="121"/>
      <c r="X380" s="121"/>
    </row>
    <row r="381" spans="1:24" ht="15">
      <c r="A381" s="114"/>
      <c r="B381" s="122">
        <v>21029</v>
      </c>
      <c r="C381" s="116"/>
      <c r="D381" s="117" t="s">
        <v>1438</v>
      </c>
      <c r="E381" s="118"/>
      <c r="F381" s="119" t="s">
        <v>1437</v>
      </c>
      <c r="G381" s="120"/>
      <c r="H381" s="120"/>
      <c r="I381" s="120"/>
      <c r="J381" s="120"/>
      <c r="K381" s="120"/>
      <c r="L381" s="120"/>
      <c r="M381" s="120"/>
      <c r="N381" s="121"/>
      <c r="O381" s="121"/>
      <c r="P381" s="121"/>
      <c r="Q381" s="121"/>
      <c r="R381" s="121"/>
      <c r="S381" s="121"/>
      <c r="T381" s="121"/>
      <c r="U381" s="121"/>
      <c r="V381" s="121"/>
      <c r="W381" s="121"/>
      <c r="X381" s="121"/>
    </row>
    <row r="382" spans="1:24" ht="15">
      <c r="A382" s="114"/>
      <c r="B382" s="122">
        <v>21070</v>
      </c>
      <c r="C382" s="116"/>
      <c r="D382" s="117" t="s">
        <v>430</v>
      </c>
      <c r="E382" s="118"/>
      <c r="F382" s="119" t="s">
        <v>1440</v>
      </c>
      <c r="G382" s="120"/>
      <c r="H382" s="120"/>
      <c r="I382" s="120"/>
      <c r="J382" s="120"/>
      <c r="K382" s="120"/>
      <c r="L382" s="120"/>
      <c r="M382" s="120"/>
      <c r="N382" s="121"/>
      <c r="O382" s="121"/>
      <c r="P382" s="121"/>
      <c r="Q382" s="121"/>
      <c r="R382" s="121"/>
      <c r="S382" s="121"/>
      <c r="T382" s="121"/>
      <c r="U382" s="121"/>
      <c r="V382" s="121"/>
      <c r="W382" s="121"/>
      <c r="X382" s="121"/>
    </row>
    <row r="383" spans="1:24" ht="15">
      <c r="A383" s="114"/>
      <c r="B383" s="122">
        <v>21073</v>
      </c>
      <c r="C383" s="116"/>
      <c r="D383" s="117" t="s">
        <v>1443</v>
      </c>
      <c r="E383" s="118"/>
      <c r="F383" s="119" t="s">
        <v>1442</v>
      </c>
      <c r="G383" s="120"/>
      <c r="H383" s="120"/>
      <c r="I383" s="120"/>
      <c r="J383" s="120"/>
      <c r="K383" s="120"/>
      <c r="L383" s="120"/>
      <c r="M383" s="120"/>
      <c r="N383" s="121"/>
      <c r="O383" s="121"/>
      <c r="P383" s="121"/>
      <c r="Q383" s="121"/>
      <c r="R383" s="121"/>
      <c r="S383" s="121"/>
      <c r="T383" s="121"/>
      <c r="U383" s="121"/>
      <c r="V383" s="121"/>
      <c r="W383" s="121"/>
      <c r="X383" s="121"/>
    </row>
    <row r="384" spans="1:24" ht="15">
      <c r="A384" s="114"/>
      <c r="B384" s="122">
        <v>21085</v>
      </c>
      <c r="C384" s="116"/>
      <c r="D384" s="117" t="s">
        <v>1445</v>
      </c>
      <c r="E384" s="118"/>
      <c r="F384" s="119" t="s">
        <v>1444</v>
      </c>
      <c r="G384" s="120"/>
      <c r="H384" s="120"/>
      <c r="I384" s="120"/>
      <c r="J384" s="120"/>
      <c r="K384" s="120"/>
      <c r="L384" s="120"/>
      <c r="M384" s="120"/>
      <c r="N384" s="121"/>
      <c r="O384" s="121"/>
      <c r="P384" s="121"/>
      <c r="Q384" s="121"/>
      <c r="R384" s="121"/>
      <c r="S384" s="121"/>
      <c r="T384" s="121"/>
      <c r="U384" s="121"/>
      <c r="V384" s="121"/>
      <c r="W384" s="121"/>
      <c r="X384" s="121"/>
    </row>
    <row r="385" spans="1:24" ht="15">
      <c r="A385" s="114"/>
      <c r="B385" s="122">
        <v>21115</v>
      </c>
      <c r="C385" s="116"/>
      <c r="D385" s="117" t="s">
        <v>1448</v>
      </c>
      <c r="E385" s="118"/>
      <c r="F385" s="119" t="s">
        <v>1447</v>
      </c>
      <c r="G385" s="120"/>
      <c r="H385" s="120"/>
      <c r="I385" s="120"/>
      <c r="J385" s="120"/>
      <c r="K385" s="120"/>
      <c r="L385" s="120"/>
      <c r="M385" s="120"/>
      <c r="N385" s="121"/>
      <c r="O385" s="121"/>
      <c r="P385" s="121"/>
      <c r="Q385" s="121"/>
      <c r="R385" s="121"/>
      <c r="S385" s="121"/>
      <c r="T385" s="121"/>
      <c r="U385" s="121"/>
      <c r="V385" s="121"/>
      <c r="W385" s="121"/>
      <c r="X385" s="121"/>
    </row>
    <row r="386" spans="1:24" ht="15">
      <c r="A386" s="114"/>
      <c r="B386" s="122">
        <v>21120</v>
      </c>
      <c r="C386" s="116"/>
      <c r="D386" s="117" t="s">
        <v>1451</v>
      </c>
      <c r="E386" s="118"/>
      <c r="F386" s="119" t="s">
        <v>1450</v>
      </c>
      <c r="G386" s="120"/>
      <c r="H386" s="120"/>
      <c r="I386" s="120"/>
      <c r="J386" s="120"/>
      <c r="K386" s="120"/>
      <c r="L386" s="120"/>
      <c r="M386" s="120"/>
      <c r="N386" s="121"/>
      <c r="O386" s="121"/>
      <c r="P386" s="121"/>
      <c r="Q386" s="121"/>
      <c r="R386" s="121"/>
      <c r="S386" s="121"/>
      <c r="T386" s="121"/>
      <c r="U386" s="121"/>
      <c r="V386" s="121"/>
      <c r="W386" s="121"/>
      <c r="X386" s="121"/>
    </row>
    <row r="387" spans="1:24" ht="15">
      <c r="A387" s="114"/>
      <c r="B387" s="122">
        <v>21130</v>
      </c>
      <c r="C387" s="116"/>
      <c r="D387" s="117" t="s">
        <v>1453</v>
      </c>
      <c r="E387" s="118"/>
      <c r="F387" s="119" t="s">
        <v>1452</v>
      </c>
      <c r="G387" s="120"/>
      <c r="H387" s="120"/>
      <c r="I387" s="120"/>
      <c r="J387" s="120"/>
      <c r="K387" s="120"/>
      <c r="L387" s="120"/>
      <c r="M387" s="120"/>
      <c r="N387" s="121"/>
      <c r="O387" s="121"/>
      <c r="P387" s="121"/>
      <c r="Q387" s="121"/>
      <c r="R387" s="121"/>
      <c r="S387" s="121"/>
      <c r="T387" s="121"/>
      <c r="U387" s="121"/>
      <c r="V387" s="121"/>
      <c r="W387" s="121"/>
      <c r="X387" s="121"/>
    </row>
    <row r="388" spans="1:24" ht="15">
      <c r="A388" s="114"/>
      <c r="B388" s="122">
        <v>21147</v>
      </c>
      <c r="C388" s="116"/>
      <c r="D388" s="117" t="s">
        <v>1458</v>
      </c>
      <c r="E388" s="118"/>
      <c r="F388" s="119" t="s">
        <v>1549</v>
      </c>
      <c r="G388" s="120"/>
      <c r="H388" s="120"/>
      <c r="I388" s="120"/>
      <c r="J388" s="120"/>
      <c r="K388" s="120"/>
      <c r="L388" s="120"/>
      <c r="M388" s="120"/>
      <c r="N388" s="121"/>
      <c r="O388" s="121"/>
      <c r="P388" s="121"/>
      <c r="Q388" s="121"/>
      <c r="R388" s="121"/>
      <c r="S388" s="121"/>
      <c r="T388" s="121"/>
      <c r="U388" s="121"/>
      <c r="V388" s="121"/>
      <c r="W388" s="121"/>
      <c r="X388" s="121"/>
    </row>
    <row r="389" spans="1:24" ht="15">
      <c r="A389" s="114"/>
      <c r="B389" s="122">
        <v>21148</v>
      </c>
      <c r="C389" s="116"/>
      <c r="D389" s="117" t="s">
        <v>32</v>
      </c>
      <c r="E389" s="118"/>
      <c r="F389" s="119" t="s">
        <v>1460</v>
      </c>
      <c r="G389" s="120"/>
      <c r="H389" s="120"/>
      <c r="I389" s="120"/>
      <c r="J389" s="120"/>
      <c r="K389" s="120"/>
      <c r="L389" s="120"/>
      <c r="M389" s="120"/>
      <c r="N389" s="121"/>
      <c r="O389" s="121"/>
      <c r="P389" s="121"/>
      <c r="Q389" s="121"/>
      <c r="R389" s="121"/>
      <c r="S389" s="121"/>
      <c r="T389" s="121"/>
      <c r="U389" s="121"/>
      <c r="V389" s="121"/>
      <c r="W389" s="121"/>
      <c r="X389" s="121"/>
    </row>
    <row r="390" spans="1:24" ht="15">
      <c r="A390" s="114"/>
      <c r="B390" s="122">
        <v>21150</v>
      </c>
      <c r="C390" s="116"/>
      <c r="D390" s="117" t="s">
        <v>1463</v>
      </c>
      <c r="E390" s="118"/>
      <c r="F390" s="119" t="s">
        <v>1462</v>
      </c>
      <c r="G390" s="120"/>
      <c r="H390" s="120"/>
      <c r="I390" s="120"/>
      <c r="J390" s="120"/>
      <c r="K390" s="120"/>
      <c r="L390" s="120"/>
      <c r="M390" s="120"/>
      <c r="N390" s="121"/>
      <c r="O390" s="121"/>
      <c r="P390" s="121"/>
      <c r="Q390" s="121"/>
      <c r="R390" s="121"/>
      <c r="S390" s="121"/>
      <c r="T390" s="121"/>
      <c r="U390" s="121"/>
      <c r="V390" s="121"/>
      <c r="W390" s="121"/>
      <c r="X390" s="121"/>
    </row>
    <row r="391" spans="1:24" ht="15">
      <c r="A391" s="114"/>
      <c r="B391" s="122">
        <v>21152</v>
      </c>
      <c r="C391" s="116"/>
      <c r="D391" s="117" t="s">
        <v>1466</v>
      </c>
      <c r="E391" s="118"/>
      <c r="F391" s="119" t="s">
        <v>1465</v>
      </c>
      <c r="G391" s="120"/>
      <c r="H391" s="120"/>
      <c r="I391" s="120"/>
      <c r="J391" s="120"/>
      <c r="K391" s="120"/>
      <c r="L391" s="120"/>
      <c r="M391" s="120"/>
      <c r="N391" s="121"/>
      <c r="O391" s="121"/>
      <c r="P391" s="121"/>
      <c r="Q391" s="121"/>
      <c r="R391" s="121"/>
      <c r="S391" s="121"/>
      <c r="T391" s="121"/>
      <c r="U391" s="121"/>
      <c r="V391" s="121"/>
      <c r="W391" s="121"/>
      <c r="X391" s="121"/>
    </row>
    <row r="392" spans="1:24" ht="15">
      <c r="A392" s="114"/>
      <c r="B392" s="122">
        <v>21154</v>
      </c>
      <c r="C392" s="116"/>
      <c r="D392" s="117" t="s">
        <v>563</v>
      </c>
      <c r="E392" s="118"/>
      <c r="F392" s="119" t="s">
        <v>1468</v>
      </c>
      <c r="G392" s="120"/>
      <c r="H392" s="120"/>
      <c r="I392" s="120"/>
      <c r="J392" s="120"/>
      <c r="K392" s="120"/>
      <c r="L392" s="120"/>
      <c r="M392" s="120"/>
      <c r="N392" s="121"/>
      <c r="O392" s="121"/>
      <c r="P392" s="121"/>
      <c r="Q392" s="121"/>
      <c r="R392" s="121"/>
      <c r="S392" s="121"/>
      <c r="T392" s="121"/>
      <c r="U392" s="121"/>
      <c r="V392" s="121"/>
      <c r="W392" s="121"/>
      <c r="X392" s="121"/>
    </row>
    <row r="393" spans="1:24" ht="15">
      <c r="A393" s="114"/>
      <c r="B393" s="122">
        <v>21165</v>
      </c>
      <c r="C393" s="116"/>
      <c r="D393" s="117" t="s">
        <v>889</v>
      </c>
      <c r="E393" s="118"/>
      <c r="F393" s="119" t="s">
        <v>1470</v>
      </c>
      <c r="G393" s="120"/>
      <c r="H393" s="120"/>
      <c r="I393" s="120"/>
      <c r="J393" s="120"/>
      <c r="K393" s="120"/>
      <c r="L393" s="120"/>
      <c r="M393" s="120"/>
      <c r="N393" s="121"/>
      <c r="O393" s="121"/>
      <c r="P393" s="121"/>
      <c r="Q393" s="121"/>
      <c r="R393" s="121"/>
      <c r="S393" s="121"/>
      <c r="T393" s="121"/>
      <c r="U393" s="121"/>
      <c r="V393" s="121"/>
      <c r="W393" s="121"/>
      <c r="X393" s="121"/>
    </row>
    <row r="394" spans="1:24" ht="15">
      <c r="A394" s="114"/>
      <c r="B394" s="122">
        <v>21193</v>
      </c>
      <c r="C394" s="116"/>
      <c r="D394" s="117" t="s">
        <v>1473</v>
      </c>
      <c r="E394" s="118"/>
      <c r="F394" s="119" t="s">
        <v>1472</v>
      </c>
      <c r="G394" s="120"/>
      <c r="H394" s="120"/>
      <c r="I394" s="120"/>
      <c r="J394" s="120"/>
      <c r="K394" s="120"/>
      <c r="L394" s="120"/>
      <c r="M394" s="120"/>
      <c r="N394" s="121"/>
      <c r="O394" s="121"/>
      <c r="P394" s="121"/>
      <c r="Q394" s="121"/>
      <c r="R394" s="121"/>
      <c r="S394" s="121"/>
      <c r="T394" s="121"/>
      <c r="U394" s="121"/>
      <c r="V394" s="121"/>
      <c r="W394" s="121"/>
      <c r="X394" s="121"/>
    </row>
    <row r="395" spans="1:24" ht="15">
      <c r="A395" s="114"/>
      <c r="B395" s="122">
        <v>21203</v>
      </c>
      <c r="C395" s="116"/>
      <c r="D395" s="117" t="s">
        <v>1478</v>
      </c>
      <c r="E395" s="118"/>
      <c r="F395" s="119" t="s">
        <v>1477</v>
      </c>
      <c r="G395" s="120"/>
      <c r="H395" s="120"/>
      <c r="I395" s="120"/>
      <c r="J395" s="120"/>
      <c r="K395" s="120"/>
      <c r="L395" s="120"/>
      <c r="M395" s="120"/>
      <c r="N395" s="121"/>
      <c r="O395" s="121"/>
      <c r="P395" s="121"/>
      <c r="Q395" s="121"/>
      <c r="R395" s="121"/>
      <c r="S395" s="121"/>
      <c r="T395" s="121"/>
      <c r="U395" s="121"/>
      <c r="V395" s="121"/>
      <c r="W395" s="121"/>
      <c r="X395" s="121"/>
    </row>
    <row r="396" spans="1:24" ht="15">
      <c r="A396" s="114"/>
      <c r="B396" s="122">
        <v>21207</v>
      </c>
      <c r="C396" s="116"/>
      <c r="D396" s="117" t="s">
        <v>1481</v>
      </c>
      <c r="E396" s="118"/>
      <c r="F396" s="119" t="s">
        <v>1480</v>
      </c>
      <c r="G396" s="120"/>
      <c r="H396" s="120"/>
      <c r="I396" s="120"/>
      <c r="J396" s="120"/>
      <c r="K396" s="120"/>
      <c r="L396" s="120"/>
      <c r="M396" s="120"/>
      <c r="N396" s="121"/>
      <c r="O396" s="121"/>
      <c r="P396" s="121"/>
      <c r="Q396" s="121"/>
      <c r="R396" s="121"/>
      <c r="S396" s="121"/>
      <c r="T396" s="121"/>
      <c r="U396" s="121"/>
      <c r="V396" s="121"/>
      <c r="W396" s="121"/>
      <c r="X396" s="121"/>
    </row>
    <row r="397" spans="1:24" ht="15">
      <c r="A397" s="114"/>
      <c r="B397" s="122">
        <v>21213</v>
      </c>
      <c r="C397" s="116"/>
      <c r="D397" s="117" t="s">
        <v>1483</v>
      </c>
      <c r="E397" s="118"/>
      <c r="F397" s="119" t="s">
        <v>1482</v>
      </c>
      <c r="G397" s="120"/>
      <c r="H397" s="120"/>
      <c r="I397" s="120"/>
      <c r="J397" s="120"/>
      <c r="K397" s="120"/>
      <c r="L397" s="120"/>
      <c r="M397" s="120"/>
      <c r="N397" s="121"/>
      <c r="O397" s="121"/>
      <c r="P397" s="121"/>
      <c r="Q397" s="121"/>
      <c r="R397" s="121"/>
      <c r="S397" s="121"/>
      <c r="T397" s="121"/>
      <c r="U397" s="121"/>
      <c r="V397" s="121"/>
      <c r="W397" s="121"/>
      <c r="X397" s="121"/>
    </row>
    <row r="398" spans="1:24" ht="15">
      <c r="A398" s="114"/>
      <c r="B398" s="122">
        <v>21220</v>
      </c>
      <c r="C398" s="116"/>
      <c r="D398" s="117" t="s">
        <v>1487</v>
      </c>
      <c r="E398" s="118"/>
      <c r="F398" s="119" t="s">
        <v>1486</v>
      </c>
      <c r="G398" s="120"/>
      <c r="H398" s="120"/>
      <c r="I398" s="120"/>
      <c r="J398" s="120"/>
      <c r="K398" s="120"/>
      <c r="L398" s="120"/>
      <c r="M398" s="120"/>
      <c r="N398" s="121"/>
      <c r="O398" s="121"/>
      <c r="P398" s="121"/>
      <c r="Q398" s="121"/>
      <c r="R398" s="121"/>
      <c r="S398" s="121"/>
      <c r="T398" s="121"/>
      <c r="U398" s="121"/>
      <c r="V398" s="121"/>
      <c r="W398" s="121"/>
      <c r="X398" s="121"/>
    </row>
    <row r="399" spans="1:24" ht="15">
      <c r="A399" s="114"/>
      <c r="B399" s="122">
        <v>21224</v>
      </c>
      <c r="C399" s="116"/>
      <c r="D399" s="117" t="s">
        <v>1489</v>
      </c>
      <c r="E399" s="118"/>
      <c r="F399" s="119" t="s">
        <v>1488</v>
      </c>
      <c r="G399" s="120"/>
      <c r="H399" s="120"/>
      <c r="I399" s="120"/>
      <c r="J399" s="120"/>
      <c r="K399" s="120"/>
      <c r="L399" s="120"/>
      <c r="M399" s="120"/>
      <c r="N399" s="121"/>
      <c r="O399" s="121"/>
      <c r="P399" s="121"/>
      <c r="Q399" s="121"/>
      <c r="R399" s="121"/>
      <c r="S399" s="121"/>
      <c r="T399" s="121"/>
      <c r="U399" s="121"/>
      <c r="V399" s="121"/>
      <c r="W399" s="121"/>
      <c r="X399" s="121"/>
    </row>
    <row r="400" spans="1:24" ht="15">
      <c r="A400" s="114"/>
      <c r="B400" s="122">
        <v>21227</v>
      </c>
      <c r="C400" s="116"/>
      <c r="D400" s="117" t="s">
        <v>1492</v>
      </c>
      <c r="E400" s="118"/>
      <c r="F400" s="119" t="s">
        <v>1491</v>
      </c>
      <c r="G400" s="120"/>
      <c r="H400" s="120"/>
      <c r="I400" s="120"/>
      <c r="J400" s="120"/>
      <c r="K400" s="120"/>
      <c r="L400" s="120"/>
      <c r="M400" s="120"/>
      <c r="N400" s="121"/>
      <c r="O400" s="121"/>
      <c r="P400" s="121"/>
      <c r="Q400" s="121"/>
      <c r="R400" s="121"/>
      <c r="S400" s="121"/>
      <c r="T400" s="121"/>
      <c r="U400" s="121"/>
      <c r="V400" s="121"/>
      <c r="W400" s="121"/>
      <c r="X400" s="121"/>
    </row>
    <row r="401" spans="1:24" ht="15">
      <c r="A401" s="114"/>
      <c r="B401" s="122">
        <v>21228</v>
      </c>
      <c r="C401" s="116"/>
      <c r="D401" s="117" t="s">
        <v>1494</v>
      </c>
      <c r="E401" s="118"/>
      <c r="F401" s="119" t="s">
        <v>1493</v>
      </c>
      <c r="G401" s="120"/>
      <c r="H401" s="120"/>
      <c r="I401" s="120"/>
      <c r="J401" s="120"/>
      <c r="K401" s="120"/>
      <c r="L401" s="120"/>
      <c r="M401" s="120"/>
      <c r="N401" s="121"/>
      <c r="O401" s="121"/>
      <c r="P401" s="121"/>
      <c r="Q401" s="121"/>
      <c r="R401" s="121"/>
      <c r="S401" s="121"/>
      <c r="T401" s="121"/>
      <c r="U401" s="121"/>
      <c r="V401" s="121"/>
      <c r="W401" s="121"/>
      <c r="X401" s="121"/>
    </row>
    <row r="402" spans="1:24" ht="15">
      <c r="A402" s="114"/>
      <c r="B402" s="122">
        <v>21234</v>
      </c>
      <c r="C402" s="116"/>
      <c r="D402" s="117" t="s">
        <v>1497</v>
      </c>
      <c r="E402" s="118"/>
      <c r="F402" s="119" t="s">
        <v>1496</v>
      </c>
      <c r="G402" s="120"/>
      <c r="H402" s="120"/>
      <c r="I402" s="120"/>
      <c r="J402" s="120"/>
      <c r="K402" s="120"/>
      <c r="L402" s="120"/>
      <c r="M402" s="120"/>
      <c r="N402" s="121"/>
      <c r="O402" s="121"/>
      <c r="P402" s="121"/>
      <c r="Q402" s="121"/>
      <c r="R402" s="121"/>
      <c r="S402" s="121"/>
      <c r="T402" s="121"/>
      <c r="U402" s="121"/>
      <c r="V402" s="121"/>
      <c r="W402" s="121"/>
      <c r="X402" s="121"/>
    </row>
    <row r="403" spans="1:24" ht="15">
      <c r="A403" s="114"/>
      <c r="B403" s="122">
        <v>21260</v>
      </c>
      <c r="C403" s="116"/>
      <c r="D403" s="117" t="s">
        <v>1500</v>
      </c>
      <c r="E403" s="118"/>
      <c r="F403" s="119" t="s">
        <v>1499</v>
      </c>
      <c r="G403" s="120"/>
      <c r="H403" s="120"/>
      <c r="I403" s="120"/>
      <c r="J403" s="120"/>
      <c r="K403" s="120"/>
      <c r="L403" s="120"/>
      <c r="M403" s="120"/>
      <c r="N403" s="121"/>
      <c r="O403" s="121"/>
      <c r="P403" s="121"/>
      <c r="Q403" s="121"/>
      <c r="R403" s="121"/>
      <c r="S403" s="121"/>
      <c r="T403" s="121"/>
      <c r="U403" s="121"/>
      <c r="V403" s="121"/>
      <c r="W403" s="121"/>
      <c r="X403" s="121"/>
    </row>
    <row r="404" spans="1:24" ht="15">
      <c r="A404" s="114"/>
      <c r="B404" s="122">
        <v>21268</v>
      </c>
      <c r="C404" s="116"/>
      <c r="D404" s="117" t="s">
        <v>1502</v>
      </c>
      <c r="E404" s="118"/>
      <c r="F404" s="119" t="s">
        <v>1501</v>
      </c>
      <c r="G404" s="120"/>
      <c r="H404" s="120"/>
      <c r="I404" s="120"/>
      <c r="J404" s="120"/>
      <c r="K404" s="120"/>
      <c r="L404" s="120"/>
      <c r="M404" s="120"/>
      <c r="N404" s="121"/>
      <c r="O404" s="121"/>
      <c r="P404" s="121"/>
      <c r="Q404" s="121"/>
      <c r="R404" s="121"/>
      <c r="S404" s="121"/>
      <c r="T404" s="121"/>
      <c r="U404" s="121"/>
      <c r="V404" s="121"/>
      <c r="W404" s="121"/>
      <c r="X404" s="121"/>
    </row>
    <row r="405" spans="1:24" ht="15">
      <c r="A405" s="114"/>
      <c r="B405" s="122">
        <v>21270</v>
      </c>
      <c r="C405" s="116"/>
      <c r="D405" s="117" t="s">
        <v>949</v>
      </c>
      <c r="E405" s="118"/>
      <c r="F405" s="119" t="s">
        <v>1504</v>
      </c>
      <c r="G405" s="120"/>
      <c r="H405" s="120"/>
      <c r="I405" s="120"/>
      <c r="J405" s="120"/>
      <c r="K405" s="120"/>
      <c r="L405" s="120"/>
      <c r="M405" s="120"/>
      <c r="N405" s="121"/>
      <c r="O405" s="121"/>
      <c r="P405" s="121"/>
      <c r="Q405" s="121"/>
      <c r="R405" s="121"/>
      <c r="S405" s="121"/>
      <c r="T405" s="121"/>
      <c r="U405" s="121"/>
      <c r="V405" s="121"/>
      <c r="W405" s="121"/>
      <c r="X405" s="121"/>
    </row>
    <row r="406" spans="1:24" ht="15">
      <c r="A406" s="114"/>
      <c r="B406" s="122">
        <v>21275</v>
      </c>
      <c r="C406" s="116"/>
      <c r="D406" s="117" t="s">
        <v>838</v>
      </c>
      <c r="E406" s="118"/>
      <c r="F406" s="119" t="s">
        <v>1505</v>
      </c>
      <c r="G406" s="120"/>
      <c r="H406" s="120"/>
      <c r="I406" s="120"/>
      <c r="J406" s="120"/>
      <c r="K406" s="120"/>
      <c r="L406" s="120"/>
      <c r="M406" s="120"/>
      <c r="N406" s="121"/>
      <c r="O406" s="121"/>
      <c r="P406" s="121"/>
      <c r="Q406" s="121"/>
      <c r="R406" s="121"/>
      <c r="S406" s="121"/>
      <c r="T406" s="121"/>
      <c r="U406" s="121"/>
      <c r="V406" s="121"/>
      <c r="W406" s="121"/>
      <c r="X406" s="121"/>
    </row>
    <row r="407" spans="1:24" ht="15">
      <c r="A407" s="114"/>
      <c r="B407" s="122">
        <v>21279</v>
      </c>
      <c r="C407" s="116"/>
      <c r="D407" s="117" t="s">
        <v>447</v>
      </c>
      <c r="E407" s="118"/>
      <c r="F407" s="119" t="s">
        <v>1508</v>
      </c>
      <c r="G407" s="120"/>
      <c r="H407" s="120"/>
      <c r="I407" s="120"/>
      <c r="J407" s="120"/>
      <c r="K407" s="120"/>
      <c r="L407" s="120"/>
      <c r="M407" s="120"/>
      <c r="N407" s="121"/>
      <c r="O407" s="121"/>
      <c r="P407" s="121"/>
      <c r="Q407" s="121"/>
      <c r="R407" s="121"/>
      <c r="S407" s="121"/>
      <c r="T407" s="121"/>
      <c r="U407" s="121"/>
      <c r="V407" s="121"/>
      <c r="W407" s="121"/>
      <c r="X407" s="121"/>
    </row>
    <row r="408" spans="1:24" ht="15">
      <c r="A408" s="114"/>
      <c r="B408" s="122">
        <v>21297</v>
      </c>
      <c r="C408" s="116"/>
      <c r="D408" s="117" t="s">
        <v>711</v>
      </c>
      <c r="E408" s="118"/>
      <c r="F408" s="119" t="s">
        <v>1509</v>
      </c>
      <c r="G408" s="120"/>
      <c r="H408" s="120"/>
      <c r="I408" s="120"/>
      <c r="J408" s="120"/>
      <c r="K408" s="120"/>
      <c r="L408" s="120"/>
      <c r="M408" s="120"/>
      <c r="N408" s="121"/>
      <c r="O408" s="121"/>
      <c r="P408" s="121"/>
      <c r="Q408" s="121"/>
      <c r="R408" s="121"/>
      <c r="S408" s="121"/>
      <c r="T408" s="121"/>
      <c r="U408" s="121"/>
      <c r="V408" s="121"/>
      <c r="W408" s="121"/>
      <c r="X408" s="121"/>
    </row>
    <row r="409" spans="1:24" ht="15">
      <c r="A409" s="114"/>
      <c r="B409" s="122">
        <v>21332</v>
      </c>
      <c r="C409" s="116"/>
      <c r="D409" s="117" t="s">
        <v>1511</v>
      </c>
      <c r="E409" s="118"/>
      <c r="F409" s="119" t="s">
        <v>1510</v>
      </c>
      <c r="G409" s="120"/>
      <c r="H409" s="120"/>
      <c r="I409" s="120"/>
      <c r="J409" s="120"/>
      <c r="K409" s="120"/>
      <c r="L409" s="120"/>
      <c r="M409" s="120"/>
      <c r="N409" s="121"/>
      <c r="O409" s="121"/>
      <c r="P409" s="121"/>
      <c r="Q409" s="121"/>
      <c r="R409" s="121"/>
      <c r="S409" s="121"/>
      <c r="T409" s="121"/>
      <c r="U409" s="121"/>
      <c r="V409" s="121"/>
      <c r="W409" s="121"/>
      <c r="X409" s="121"/>
    </row>
    <row r="410" spans="1:24" ht="15">
      <c r="A410" s="114"/>
      <c r="B410" s="122">
        <v>21336</v>
      </c>
      <c r="C410" s="116"/>
      <c r="D410" s="117" t="s">
        <v>1513</v>
      </c>
      <c r="E410" s="118"/>
      <c r="F410" s="119" t="s">
        <v>1512</v>
      </c>
      <c r="G410" s="120"/>
      <c r="H410" s="120"/>
      <c r="I410" s="120"/>
      <c r="J410" s="120"/>
      <c r="K410" s="120"/>
      <c r="L410" s="120"/>
      <c r="M410" s="120"/>
      <c r="N410" s="121"/>
      <c r="O410" s="121"/>
      <c r="P410" s="121"/>
      <c r="Q410" s="121"/>
      <c r="R410" s="121"/>
      <c r="S410" s="121"/>
      <c r="T410" s="121"/>
      <c r="U410" s="121"/>
      <c r="V410" s="121"/>
      <c r="W410" s="121"/>
      <c r="X410" s="121"/>
    </row>
    <row r="411" spans="1:24" ht="15">
      <c r="A411" s="114"/>
      <c r="B411" s="122">
        <v>21369</v>
      </c>
      <c r="C411" s="116"/>
      <c r="D411" s="117" t="s">
        <v>1517</v>
      </c>
      <c r="E411" s="118"/>
      <c r="F411" s="119" t="s">
        <v>1516</v>
      </c>
      <c r="G411" s="120"/>
      <c r="H411" s="120"/>
      <c r="I411" s="120"/>
      <c r="J411" s="120"/>
      <c r="K411" s="120"/>
      <c r="L411" s="120"/>
      <c r="M411" s="120"/>
      <c r="N411" s="121"/>
      <c r="O411" s="121"/>
      <c r="P411" s="121"/>
      <c r="Q411" s="121"/>
      <c r="R411" s="121"/>
      <c r="S411" s="121"/>
      <c r="T411" s="121"/>
      <c r="U411" s="121"/>
      <c r="V411" s="121"/>
      <c r="W411" s="121"/>
      <c r="X411" s="121"/>
    </row>
    <row r="412" spans="1:24" ht="15">
      <c r="A412" s="159">
        <v>21375</v>
      </c>
      <c r="B412" s="144">
        <v>21375</v>
      </c>
      <c r="C412" s="145" t="s">
        <v>2644</v>
      </c>
      <c r="D412" s="145" t="s">
        <v>2647</v>
      </c>
      <c r="E412" s="145" t="s">
        <v>2647</v>
      </c>
      <c r="F412" s="147" t="s">
        <v>3070</v>
      </c>
      <c r="G412" s="120"/>
      <c r="H412" s="120"/>
      <c r="I412" s="120"/>
      <c r="J412" s="120"/>
      <c r="K412" s="120"/>
      <c r="L412" s="120"/>
      <c r="M412" s="120"/>
      <c r="N412" s="121"/>
      <c r="O412" s="121"/>
      <c r="P412" s="121"/>
      <c r="Q412" s="121"/>
      <c r="R412" s="121"/>
      <c r="S412" s="121"/>
      <c r="T412" s="121"/>
      <c r="U412" s="121"/>
      <c r="V412" s="121"/>
      <c r="W412" s="121"/>
      <c r="X412" s="121"/>
    </row>
    <row r="413" spans="1:24" ht="15">
      <c r="A413" s="114"/>
      <c r="B413" s="122">
        <v>21397</v>
      </c>
      <c r="C413" s="116"/>
      <c r="D413" s="117" t="s">
        <v>1520</v>
      </c>
      <c r="E413" s="118"/>
      <c r="F413" s="119" t="s">
        <v>1519</v>
      </c>
      <c r="G413" s="120"/>
      <c r="H413" s="120"/>
      <c r="I413" s="120"/>
      <c r="J413" s="120"/>
      <c r="K413" s="120"/>
      <c r="L413" s="120"/>
      <c r="M413" s="120"/>
      <c r="N413" s="121"/>
      <c r="O413" s="121"/>
      <c r="P413" s="121"/>
      <c r="Q413" s="121"/>
      <c r="R413" s="121"/>
      <c r="S413" s="121"/>
      <c r="T413" s="121"/>
      <c r="U413" s="121"/>
      <c r="V413" s="121"/>
      <c r="W413" s="121"/>
      <c r="X413" s="121"/>
    </row>
    <row r="414" spans="1:24" ht="15">
      <c r="A414" s="114"/>
      <c r="B414" s="122">
        <v>21432</v>
      </c>
      <c r="C414" s="116"/>
      <c r="D414" s="117" t="s">
        <v>1522</v>
      </c>
      <c r="E414" s="118"/>
      <c r="F414" s="119" t="s">
        <v>1521</v>
      </c>
      <c r="G414" s="120"/>
      <c r="H414" s="120"/>
      <c r="I414" s="120"/>
      <c r="J414" s="120"/>
      <c r="K414" s="120"/>
      <c r="L414" s="120"/>
      <c r="M414" s="120"/>
      <c r="N414" s="121"/>
      <c r="O414" s="121"/>
      <c r="P414" s="121"/>
      <c r="Q414" s="121"/>
      <c r="R414" s="121"/>
      <c r="S414" s="121"/>
      <c r="T414" s="121"/>
      <c r="U414" s="121"/>
      <c r="V414" s="121"/>
      <c r="W414" s="121"/>
      <c r="X414" s="121"/>
    </row>
    <row r="415" spans="1:24" ht="15">
      <c r="A415" s="114"/>
      <c r="B415" s="122">
        <v>21441</v>
      </c>
      <c r="C415" s="116"/>
      <c r="D415" s="117" t="s">
        <v>1525</v>
      </c>
      <c r="E415" s="118"/>
      <c r="F415" s="119" t="s">
        <v>1524</v>
      </c>
      <c r="G415" s="120"/>
      <c r="H415" s="120"/>
      <c r="I415" s="120"/>
      <c r="J415" s="120"/>
      <c r="K415" s="120"/>
      <c r="L415" s="120"/>
      <c r="M415" s="120"/>
      <c r="N415" s="121"/>
      <c r="O415" s="121"/>
      <c r="P415" s="121"/>
      <c r="Q415" s="121"/>
      <c r="R415" s="121"/>
      <c r="S415" s="121"/>
      <c r="T415" s="121"/>
      <c r="U415" s="121"/>
      <c r="V415" s="121"/>
      <c r="W415" s="121"/>
      <c r="X415" s="121"/>
    </row>
    <row r="416" spans="1:24" ht="15">
      <c r="A416" s="114"/>
      <c r="B416" s="122">
        <v>21473</v>
      </c>
      <c r="C416" s="116"/>
      <c r="D416" s="117" t="s">
        <v>1529</v>
      </c>
      <c r="E416" s="118"/>
      <c r="F416" s="119" t="s">
        <v>1528</v>
      </c>
      <c r="G416" s="120"/>
      <c r="H416" s="120"/>
      <c r="I416" s="120"/>
      <c r="J416" s="120"/>
      <c r="K416" s="120"/>
      <c r="L416" s="120"/>
      <c r="M416" s="120"/>
      <c r="N416" s="121"/>
      <c r="O416" s="121"/>
      <c r="P416" s="121"/>
      <c r="Q416" s="121"/>
      <c r="R416" s="121"/>
      <c r="S416" s="121"/>
      <c r="T416" s="121"/>
      <c r="U416" s="121"/>
      <c r="V416" s="121"/>
      <c r="W416" s="121"/>
      <c r="X416" s="121"/>
    </row>
    <row r="417" spans="1:24" ht="15">
      <c r="A417" s="114"/>
      <c r="B417" s="122">
        <v>21476</v>
      </c>
      <c r="C417" s="116"/>
      <c r="D417" s="117" t="s">
        <v>838</v>
      </c>
      <c r="E417" s="118"/>
      <c r="F417" s="119" t="s">
        <v>1530</v>
      </c>
      <c r="G417" s="120"/>
      <c r="H417" s="120"/>
      <c r="I417" s="120"/>
      <c r="J417" s="120"/>
      <c r="K417" s="120"/>
      <c r="L417" s="120"/>
      <c r="M417" s="120"/>
      <c r="N417" s="121"/>
      <c r="O417" s="121"/>
      <c r="P417" s="121"/>
      <c r="Q417" s="121"/>
      <c r="R417" s="121"/>
      <c r="S417" s="121"/>
      <c r="T417" s="121"/>
      <c r="U417" s="121"/>
      <c r="V417" s="121"/>
      <c r="W417" s="121"/>
      <c r="X417" s="121"/>
    </row>
    <row r="418" spans="1:24" ht="15">
      <c r="A418" s="114"/>
      <c r="B418" s="122">
        <v>21495</v>
      </c>
      <c r="C418" s="116"/>
      <c r="D418" s="117" t="s">
        <v>1535</v>
      </c>
      <c r="E418" s="118"/>
      <c r="F418" s="119" t="s">
        <v>1533</v>
      </c>
      <c r="G418" s="120"/>
      <c r="H418" s="120"/>
      <c r="I418" s="120"/>
      <c r="J418" s="120"/>
      <c r="K418" s="120"/>
      <c r="L418" s="120"/>
      <c r="M418" s="120"/>
      <c r="N418" s="121"/>
      <c r="O418" s="121"/>
      <c r="P418" s="121"/>
      <c r="Q418" s="121"/>
      <c r="R418" s="121"/>
      <c r="S418" s="121"/>
      <c r="T418" s="121"/>
      <c r="U418" s="121"/>
      <c r="V418" s="121"/>
      <c r="W418" s="121"/>
      <c r="X418" s="121"/>
    </row>
    <row r="419" spans="1:24" ht="15">
      <c r="A419" s="114"/>
      <c r="B419" s="122">
        <v>21509</v>
      </c>
      <c r="C419" s="116"/>
      <c r="D419" s="117" t="s">
        <v>949</v>
      </c>
      <c r="E419" s="118"/>
      <c r="F419" s="119" t="s">
        <v>1542</v>
      </c>
      <c r="G419" s="120"/>
      <c r="H419" s="120"/>
      <c r="I419" s="120"/>
      <c r="J419" s="120"/>
      <c r="K419" s="120"/>
      <c r="L419" s="120"/>
      <c r="M419" s="120"/>
      <c r="N419" s="121"/>
      <c r="O419" s="121"/>
      <c r="P419" s="121"/>
      <c r="Q419" s="121"/>
      <c r="R419" s="121"/>
      <c r="S419" s="121"/>
      <c r="T419" s="121"/>
      <c r="U419" s="121"/>
      <c r="V419" s="121"/>
      <c r="W419" s="121"/>
      <c r="X419" s="121"/>
    </row>
    <row r="420" spans="1:24" ht="15">
      <c r="A420" s="114"/>
      <c r="B420" s="122">
        <v>21510</v>
      </c>
      <c r="C420" s="116"/>
      <c r="D420" s="117" t="s">
        <v>547</v>
      </c>
      <c r="E420" s="118"/>
      <c r="F420" s="119" t="s">
        <v>1544</v>
      </c>
      <c r="G420" s="120"/>
      <c r="H420" s="120"/>
      <c r="I420" s="120"/>
      <c r="J420" s="120"/>
      <c r="K420" s="120"/>
      <c r="L420" s="120"/>
      <c r="M420" s="120"/>
      <c r="N420" s="121"/>
      <c r="O420" s="121"/>
      <c r="P420" s="121"/>
      <c r="Q420" s="121"/>
      <c r="R420" s="121"/>
      <c r="S420" s="121"/>
      <c r="T420" s="121"/>
      <c r="U420" s="121"/>
      <c r="V420" s="121"/>
      <c r="W420" s="121"/>
      <c r="X420" s="121"/>
    </row>
    <row r="421" spans="1:24" ht="15">
      <c r="A421" s="114"/>
      <c r="B421" s="122">
        <v>21522</v>
      </c>
      <c r="C421" s="116"/>
      <c r="D421" s="117" t="s">
        <v>32</v>
      </c>
      <c r="E421" s="118"/>
      <c r="F421" s="119" t="s">
        <v>1546</v>
      </c>
      <c r="G421" s="120"/>
      <c r="H421" s="120"/>
      <c r="I421" s="120"/>
      <c r="J421" s="120"/>
      <c r="K421" s="120"/>
      <c r="L421" s="120"/>
      <c r="M421" s="120"/>
      <c r="N421" s="121"/>
      <c r="O421" s="121"/>
      <c r="P421" s="121"/>
      <c r="Q421" s="121"/>
      <c r="R421" s="121"/>
      <c r="S421" s="121"/>
      <c r="T421" s="121"/>
      <c r="U421" s="121"/>
      <c r="V421" s="121"/>
      <c r="W421" s="121"/>
      <c r="X421" s="121"/>
    </row>
    <row r="422" spans="1:24" ht="15">
      <c r="A422" s="114"/>
      <c r="B422" s="122">
        <v>21525</v>
      </c>
      <c r="C422" s="116"/>
      <c r="D422" s="117" t="s">
        <v>1548</v>
      </c>
      <c r="E422" s="118"/>
      <c r="F422" s="119" t="s">
        <v>1547</v>
      </c>
      <c r="G422" s="120"/>
      <c r="H422" s="120"/>
      <c r="I422" s="120"/>
      <c r="J422" s="120"/>
      <c r="K422" s="120"/>
      <c r="L422" s="120"/>
      <c r="M422" s="120"/>
      <c r="N422" s="121"/>
      <c r="O422" s="121"/>
      <c r="P422" s="121"/>
      <c r="Q422" s="121"/>
      <c r="R422" s="121"/>
      <c r="S422" s="121"/>
      <c r="T422" s="121"/>
      <c r="U422" s="121"/>
      <c r="V422" s="121"/>
      <c r="W422" s="121"/>
      <c r="X422" s="121"/>
    </row>
    <row r="423" spans="1:24" ht="15">
      <c r="A423" s="114"/>
      <c r="B423" s="122">
        <v>21562</v>
      </c>
      <c r="C423" s="116"/>
      <c r="D423" s="117" t="s">
        <v>1551</v>
      </c>
      <c r="E423" s="118"/>
      <c r="F423" s="119" t="s">
        <v>1550</v>
      </c>
      <c r="G423" s="120"/>
      <c r="H423" s="120"/>
      <c r="I423" s="120"/>
      <c r="J423" s="120"/>
      <c r="K423" s="120"/>
      <c r="L423" s="120"/>
      <c r="M423" s="120"/>
      <c r="N423" s="121"/>
      <c r="O423" s="121"/>
      <c r="P423" s="121"/>
      <c r="Q423" s="121"/>
      <c r="R423" s="121"/>
      <c r="S423" s="121"/>
      <c r="T423" s="121"/>
      <c r="U423" s="121"/>
      <c r="V423" s="121"/>
      <c r="W423" s="121"/>
      <c r="X423" s="121"/>
    </row>
    <row r="424" spans="1:24" ht="15">
      <c r="A424" s="114"/>
      <c r="B424" s="122">
        <v>21563</v>
      </c>
      <c r="C424" s="116"/>
      <c r="D424" s="117" t="s">
        <v>1492</v>
      </c>
      <c r="E424" s="118"/>
      <c r="F424" s="119" t="s">
        <v>1556</v>
      </c>
      <c r="G424" s="120"/>
      <c r="H424" s="120"/>
      <c r="I424" s="120"/>
      <c r="J424" s="120"/>
      <c r="K424" s="120"/>
      <c r="L424" s="120"/>
      <c r="M424" s="120"/>
      <c r="N424" s="121"/>
      <c r="O424" s="121"/>
      <c r="P424" s="121"/>
      <c r="Q424" s="121"/>
      <c r="R424" s="121"/>
      <c r="S424" s="121"/>
      <c r="T424" s="121"/>
      <c r="U424" s="121"/>
      <c r="V424" s="121"/>
      <c r="W424" s="121"/>
      <c r="X424" s="121"/>
    </row>
    <row r="425" spans="1:24" ht="15">
      <c r="A425" s="114"/>
      <c r="B425" s="122">
        <v>21563</v>
      </c>
      <c r="C425" s="116"/>
      <c r="D425" s="117" t="s">
        <v>1558</v>
      </c>
      <c r="E425" s="118"/>
      <c r="F425" s="119" t="s">
        <v>1557</v>
      </c>
      <c r="G425" s="120"/>
      <c r="H425" s="120"/>
      <c r="I425" s="120"/>
      <c r="J425" s="120"/>
      <c r="K425" s="120"/>
      <c r="L425" s="120"/>
      <c r="M425" s="120"/>
      <c r="N425" s="121"/>
      <c r="O425" s="121"/>
      <c r="P425" s="121"/>
      <c r="Q425" s="121"/>
      <c r="R425" s="121"/>
      <c r="S425" s="121"/>
      <c r="T425" s="121"/>
      <c r="U425" s="121"/>
      <c r="V425" s="121"/>
      <c r="W425" s="121"/>
      <c r="X425" s="121"/>
    </row>
    <row r="426" spans="1:24" ht="15">
      <c r="A426" s="114"/>
      <c r="B426" s="122">
        <v>21573</v>
      </c>
      <c r="C426" s="116"/>
      <c r="D426" s="117" t="s">
        <v>1285</v>
      </c>
      <c r="E426" s="118"/>
      <c r="F426" s="119" t="s">
        <v>1559</v>
      </c>
      <c r="G426" s="120"/>
      <c r="H426" s="120"/>
      <c r="I426" s="120"/>
      <c r="J426" s="120"/>
      <c r="K426" s="120"/>
      <c r="L426" s="120"/>
      <c r="M426" s="120"/>
      <c r="N426" s="121"/>
      <c r="O426" s="121"/>
      <c r="P426" s="121"/>
      <c r="Q426" s="121"/>
      <c r="R426" s="121"/>
      <c r="S426" s="121"/>
      <c r="T426" s="121"/>
      <c r="U426" s="121"/>
      <c r="V426" s="121"/>
      <c r="W426" s="121"/>
      <c r="X426" s="121"/>
    </row>
    <row r="427" spans="1:24" ht="15">
      <c r="A427" s="114"/>
      <c r="B427" s="122">
        <v>21943</v>
      </c>
      <c r="C427" s="116"/>
      <c r="D427" s="117" t="s">
        <v>1566</v>
      </c>
      <c r="E427" s="118"/>
      <c r="F427" s="119" t="s">
        <v>1565</v>
      </c>
      <c r="G427" s="120"/>
      <c r="H427" s="120"/>
      <c r="I427" s="120"/>
      <c r="J427" s="120"/>
      <c r="K427" s="120"/>
      <c r="L427" s="120"/>
      <c r="M427" s="120"/>
      <c r="N427" s="121"/>
      <c r="O427" s="121"/>
      <c r="P427" s="121"/>
      <c r="Q427" s="121"/>
      <c r="R427" s="121"/>
      <c r="S427" s="121"/>
      <c r="T427" s="121"/>
      <c r="U427" s="121"/>
      <c r="V427" s="121"/>
      <c r="W427" s="121"/>
      <c r="X427" s="121"/>
    </row>
    <row r="428" spans="1:24" ht="15">
      <c r="A428" s="114"/>
      <c r="B428" s="122">
        <v>21976</v>
      </c>
      <c r="C428" s="116"/>
      <c r="D428" s="117" t="s">
        <v>1569</v>
      </c>
      <c r="E428" s="118"/>
      <c r="F428" s="119" t="s">
        <v>1568</v>
      </c>
      <c r="G428" s="120"/>
      <c r="H428" s="120"/>
      <c r="I428" s="120"/>
      <c r="J428" s="120"/>
      <c r="K428" s="120"/>
      <c r="L428" s="120"/>
      <c r="M428" s="120"/>
      <c r="N428" s="121"/>
      <c r="O428" s="121"/>
      <c r="P428" s="121"/>
      <c r="Q428" s="121"/>
      <c r="R428" s="121"/>
      <c r="S428" s="121"/>
      <c r="T428" s="121"/>
      <c r="U428" s="121"/>
      <c r="V428" s="121"/>
      <c r="W428" s="121"/>
      <c r="X428" s="121"/>
    </row>
    <row r="429" spans="1:24" ht="15">
      <c r="A429" s="114"/>
      <c r="B429" s="122">
        <v>22018</v>
      </c>
      <c r="C429" s="116"/>
      <c r="D429" s="117" t="s">
        <v>1571</v>
      </c>
      <c r="E429" s="118"/>
      <c r="F429" s="119" t="s">
        <v>1570</v>
      </c>
      <c r="G429" s="120"/>
      <c r="H429" s="120"/>
      <c r="I429" s="120"/>
      <c r="J429" s="120"/>
      <c r="K429" s="120"/>
      <c r="L429" s="120"/>
      <c r="M429" s="120"/>
      <c r="N429" s="121"/>
      <c r="O429" s="121"/>
      <c r="P429" s="121"/>
      <c r="Q429" s="121"/>
      <c r="R429" s="121"/>
      <c r="S429" s="121"/>
      <c r="T429" s="121"/>
      <c r="U429" s="121"/>
      <c r="V429" s="121"/>
      <c r="W429" s="121"/>
      <c r="X429" s="121"/>
    </row>
    <row r="430" spans="1:24" ht="15">
      <c r="A430" s="114"/>
      <c r="B430" s="122">
        <v>22078</v>
      </c>
      <c r="C430" s="116"/>
      <c r="D430" s="117" t="s">
        <v>716</v>
      </c>
      <c r="E430" s="118"/>
      <c r="F430" s="119" t="s">
        <v>1572</v>
      </c>
      <c r="G430" s="120"/>
      <c r="H430" s="120"/>
      <c r="I430" s="120"/>
      <c r="J430" s="120"/>
      <c r="K430" s="120"/>
      <c r="L430" s="120"/>
      <c r="M430" s="120"/>
      <c r="N430" s="121"/>
      <c r="O430" s="121"/>
      <c r="P430" s="121"/>
      <c r="Q430" s="121"/>
      <c r="R430" s="121"/>
      <c r="S430" s="121"/>
      <c r="T430" s="121"/>
      <c r="U430" s="121"/>
      <c r="V430" s="121"/>
      <c r="W430" s="121"/>
      <c r="X430" s="121"/>
    </row>
    <row r="431" spans="1:24" ht="15">
      <c r="A431" s="114"/>
      <c r="B431" s="122">
        <v>22086</v>
      </c>
      <c r="C431" s="116"/>
      <c r="D431" s="117" t="s">
        <v>1575</v>
      </c>
      <c r="E431" s="118"/>
      <c r="F431" s="119" t="s">
        <v>1573</v>
      </c>
      <c r="G431" s="120"/>
      <c r="H431" s="120"/>
      <c r="I431" s="120"/>
      <c r="J431" s="120"/>
      <c r="K431" s="120"/>
      <c r="L431" s="120"/>
      <c r="M431" s="120"/>
      <c r="N431" s="121"/>
      <c r="O431" s="121"/>
      <c r="P431" s="121"/>
      <c r="Q431" s="121"/>
      <c r="R431" s="121"/>
      <c r="S431" s="121"/>
      <c r="T431" s="121"/>
      <c r="U431" s="121"/>
      <c r="V431" s="121"/>
      <c r="W431" s="121"/>
      <c r="X431" s="121"/>
    </row>
    <row r="432" spans="1:24" ht="15">
      <c r="A432" s="114"/>
      <c r="B432" s="122">
        <v>22107</v>
      </c>
      <c r="C432" s="116"/>
      <c r="D432" s="117" t="s">
        <v>1577</v>
      </c>
      <c r="E432" s="118"/>
      <c r="F432" s="119" t="s">
        <v>1576</v>
      </c>
      <c r="G432" s="120"/>
      <c r="H432" s="120"/>
      <c r="I432" s="120"/>
      <c r="J432" s="120"/>
      <c r="K432" s="120"/>
      <c r="L432" s="120"/>
      <c r="M432" s="120"/>
      <c r="N432" s="121"/>
      <c r="O432" s="121"/>
      <c r="P432" s="121"/>
      <c r="Q432" s="121"/>
      <c r="R432" s="121"/>
      <c r="S432" s="121"/>
      <c r="T432" s="121"/>
      <c r="U432" s="121"/>
      <c r="V432" s="121"/>
      <c r="W432" s="121"/>
      <c r="X432" s="121"/>
    </row>
    <row r="433" spans="1:24" ht="15">
      <c r="A433" s="114"/>
      <c r="B433" s="122">
        <v>22108</v>
      </c>
      <c r="C433" s="116"/>
      <c r="D433" s="117" t="s">
        <v>1579</v>
      </c>
      <c r="E433" s="118"/>
      <c r="F433" s="119" t="s">
        <v>1578</v>
      </c>
      <c r="G433" s="120"/>
      <c r="H433" s="120"/>
      <c r="I433" s="120"/>
      <c r="J433" s="120"/>
      <c r="K433" s="120"/>
      <c r="L433" s="120"/>
      <c r="M433" s="120"/>
      <c r="N433" s="121"/>
      <c r="O433" s="121"/>
      <c r="P433" s="121"/>
      <c r="Q433" s="121"/>
      <c r="R433" s="121"/>
      <c r="S433" s="121"/>
      <c r="T433" s="121"/>
      <c r="U433" s="121"/>
      <c r="V433" s="121"/>
      <c r="W433" s="121"/>
      <c r="X433" s="121"/>
    </row>
    <row r="434" spans="1:24" ht="15">
      <c r="A434" s="114"/>
      <c r="B434" s="122">
        <v>22214</v>
      </c>
      <c r="C434" s="116"/>
      <c r="D434" s="117" t="s">
        <v>1582</v>
      </c>
      <c r="E434" s="118"/>
      <c r="F434" s="119" t="s">
        <v>1581</v>
      </c>
      <c r="G434" s="120"/>
      <c r="H434" s="120"/>
      <c r="I434" s="120"/>
      <c r="J434" s="120"/>
      <c r="K434" s="120"/>
      <c r="L434" s="120"/>
      <c r="M434" s="120"/>
      <c r="N434" s="121"/>
      <c r="O434" s="121"/>
      <c r="P434" s="121"/>
      <c r="Q434" s="121"/>
      <c r="R434" s="121"/>
      <c r="S434" s="121"/>
      <c r="T434" s="121"/>
      <c r="U434" s="121"/>
      <c r="V434" s="121"/>
      <c r="W434" s="121"/>
      <c r="X434" s="121"/>
    </row>
    <row r="435" spans="1:24" ht="15">
      <c r="A435" s="114"/>
      <c r="B435" s="122">
        <v>22243</v>
      </c>
      <c r="C435" s="116"/>
      <c r="D435" s="117" t="s">
        <v>1586</v>
      </c>
      <c r="E435" s="118"/>
      <c r="F435" s="119" t="s">
        <v>1585</v>
      </c>
      <c r="G435" s="120"/>
      <c r="H435" s="120"/>
      <c r="I435" s="120"/>
      <c r="J435" s="120"/>
      <c r="K435" s="120"/>
      <c r="L435" s="120"/>
      <c r="M435" s="120"/>
      <c r="N435" s="121"/>
      <c r="O435" s="121"/>
      <c r="P435" s="121"/>
      <c r="Q435" s="121"/>
      <c r="R435" s="121"/>
      <c r="S435" s="121"/>
      <c r="T435" s="121"/>
      <c r="U435" s="121"/>
      <c r="V435" s="121"/>
      <c r="W435" s="121"/>
      <c r="X435" s="121"/>
    </row>
    <row r="436" spans="1:24" ht="15">
      <c r="A436" s="114"/>
      <c r="B436" s="122">
        <v>22249</v>
      </c>
      <c r="C436" s="116"/>
      <c r="D436" s="117" t="s">
        <v>1589</v>
      </c>
      <c r="E436" s="118"/>
      <c r="F436" s="119" t="s">
        <v>1587</v>
      </c>
      <c r="G436" s="120"/>
      <c r="H436" s="120"/>
      <c r="I436" s="120"/>
      <c r="J436" s="120"/>
      <c r="K436" s="120"/>
      <c r="L436" s="120"/>
      <c r="M436" s="120"/>
      <c r="N436" s="121"/>
      <c r="O436" s="121"/>
      <c r="P436" s="121"/>
      <c r="Q436" s="121"/>
      <c r="R436" s="121"/>
      <c r="S436" s="121"/>
      <c r="T436" s="121"/>
      <c r="U436" s="121"/>
      <c r="V436" s="121"/>
      <c r="W436" s="121"/>
      <c r="X436" s="121"/>
    </row>
    <row r="437" spans="1:24" ht="15">
      <c r="A437" s="114"/>
      <c r="B437" s="122">
        <v>22253</v>
      </c>
      <c r="C437" s="116"/>
      <c r="D437" s="117" t="s">
        <v>1591</v>
      </c>
      <c r="E437" s="118"/>
      <c r="F437" s="119" t="s">
        <v>1590</v>
      </c>
      <c r="G437" s="120"/>
      <c r="H437" s="120"/>
      <c r="I437" s="120"/>
      <c r="J437" s="120"/>
      <c r="K437" s="120"/>
      <c r="L437" s="120"/>
      <c r="M437" s="120"/>
      <c r="N437" s="121"/>
      <c r="O437" s="121"/>
      <c r="P437" s="121"/>
      <c r="Q437" s="121"/>
      <c r="R437" s="121"/>
      <c r="S437" s="121"/>
      <c r="T437" s="121"/>
      <c r="U437" s="121"/>
      <c r="V437" s="121"/>
      <c r="W437" s="121"/>
      <c r="X437" s="121"/>
    </row>
    <row r="438" spans="1:24" ht="15">
      <c r="A438" s="114"/>
      <c r="B438" s="122">
        <v>22286</v>
      </c>
      <c r="C438" s="116"/>
      <c r="D438" s="117" t="s">
        <v>1593</v>
      </c>
      <c r="E438" s="118"/>
      <c r="F438" s="119" t="s">
        <v>1592</v>
      </c>
      <c r="G438" s="120"/>
      <c r="H438" s="120"/>
      <c r="I438" s="120"/>
      <c r="J438" s="120"/>
      <c r="K438" s="120"/>
      <c r="L438" s="120"/>
      <c r="M438" s="120"/>
      <c r="N438" s="121"/>
      <c r="O438" s="121"/>
      <c r="P438" s="121"/>
      <c r="Q438" s="121"/>
      <c r="R438" s="121"/>
      <c r="S438" s="121"/>
      <c r="T438" s="121"/>
      <c r="U438" s="121"/>
      <c r="V438" s="121"/>
      <c r="W438" s="121"/>
      <c r="X438" s="121"/>
    </row>
    <row r="439" spans="1:24" ht="15">
      <c r="A439" s="114"/>
      <c r="B439" s="122">
        <v>22287</v>
      </c>
      <c r="C439" s="116"/>
      <c r="D439" s="117" t="s">
        <v>447</v>
      </c>
      <c r="E439" s="118"/>
      <c r="F439" s="119" t="s">
        <v>1595</v>
      </c>
      <c r="G439" s="120"/>
      <c r="H439" s="120"/>
      <c r="I439" s="120"/>
      <c r="J439" s="120"/>
      <c r="K439" s="120"/>
      <c r="L439" s="120"/>
      <c r="M439" s="120"/>
      <c r="N439" s="121"/>
      <c r="O439" s="121"/>
      <c r="P439" s="121"/>
      <c r="Q439" s="121"/>
      <c r="R439" s="121"/>
      <c r="S439" s="121"/>
      <c r="T439" s="121"/>
      <c r="U439" s="121"/>
      <c r="V439" s="121"/>
      <c r="W439" s="121"/>
      <c r="X439" s="121"/>
    </row>
    <row r="440" spans="1:24" ht="15">
      <c r="A440" s="114"/>
      <c r="B440" s="122">
        <v>22336</v>
      </c>
      <c r="C440" s="116"/>
      <c r="D440" s="117" t="s">
        <v>838</v>
      </c>
      <c r="E440" s="118"/>
      <c r="F440" s="119" t="s">
        <v>1596</v>
      </c>
      <c r="G440" s="120"/>
      <c r="H440" s="120"/>
      <c r="I440" s="120"/>
      <c r="J440" s="120"/>
      <c r="K440" s="120"/>
      <c r="L440" s="120"/>
      <c r="M440" s="120"/>
      <c r="N440" s="121"/>
      <c r="O440" s="121"/>
      <c r="P440" s="121"/>
      <c r="Q440" s="121"/>
      <c r="R440" s="121"/>
      <c r="S440" s="121"/>
      <c r="T440" s="121"/>
      <c r="U440" s="121"/>
      <c r="V440" s="121"/>
      <c r="W440" s="121"/>
      <c r="X440" s="121"/>
    </row>
    <row r="441" spans="1:24" ht="15">
      <c r="A441" s="114"/>
      <c r="B441" s="122">
        <v>22348</v>
      </c>
      <c r="C441" s="116"/>
      <c r="D441" s="117" t="s">
        <v>1599</v>
      </c>
      <c r="E441" s="118"/>
      <c r="F441" s="119" t="s">
        <v>1598</v>
      </c>
      <c r="G441" s="120"/>
      <c r="H441" s="120"/>
      <c r="I441" s="120"/>
      <c r="J441" s="120"/>
      <c r="K441" s="120"/>
      <c r="L441" s="120"/>
      <c r="M441" s="120"/>
      <c r="N441" s="121"/>
      <c r="O441" s="121"/>
      <c r="P441" s="121"/>
      <c r="Q441" s="121"/>
      <c r="R441" s="121"/>
      <c r="S441" s="121"/>
      <c r="T441" s="121"/>
      <c r="U441" s="121"/>
      <c r="V441" s="121"/>
      <c r="W441" s="121"/>
      <c r="X441" s="121"/>
    </row>
    <row r="442" spans="1:24" ht="15">
      <c r="A442" s="114"/>
      <c r="B442" s="122">
        <v>22374</v>
      </c>
      <c r="C442" s="116"/>
      <c r="D442" s="117" t="s">
        <v>447</v>
      </c>
      <c r="E442" s="118"/>
      <c r="F442" s="119" t="s">
        <v>1600</v>
      </c>
      <c r="G442" s="120"/>
      <c r="H442" s="120"/>
      <c r="I442" s="120"/>
      <c r="J442" s="120"/>
      <c r="K442" s="120"/>
      <c r="L442" s="120"/>
      <c r="M442" s="120"/>
      <c r="N442" s="121"/>
      <c r="O442" s="121"/>
      <c r="P442" s="121"/>
      <c r="Q442" s="121"/>
      <c r="R442" s="121"/>
      <c r="S442" s="121"/>
      <c r="T442" s="121"/>
      <c r="U442" s="121"/>
      <c r="V442" s="121"/>
      <c r="W442" s="121"/>
      <c r="X442" s="121"/>
    </row>
    <row r="443" spans="1:24" ht="15">
      <c r="A443" s="114"/>
      <c r="B443" s="122">
        <v>22451</v>
      </c>
      <c r="C443" s="116"/>
      <c r="D443" s="117" t="s">
        <v>1605</v>
      </c>
      <c r="E443" s="118"/>
      <c r="F443" s="119" t="s">
        <v>1604</v>
      </c>
      <c r="G443" s="120"/>
      <c r="H443" s="120"/>
      <c r="I443" s="120"/>
      <c r="J443" s="120"/>
      <c r="K443" s="120"/>
      <c r="L443" s="120"/>
      <c r="M443" s="120"/>
      <c r="N443" s="121"/>
      <c r="O443" s="121"/>
      <c r="P443" s="121"/>
      <c r="Q443" s="121"/>
      <c r="R443" s="121"/>
      <c r="S443" s="121"/>
      <c r="T443" s="121"/>
      <c r="U443" s="121"/>
      <c r="V443" s="121"/>
      <c r="W443" s="121"/>
      <c r="X443" s="121"/>
    </row>
    <row r="444" spans="1:24" ht="15">
      <c r="A444" s="114"/>
      <c r="B444" s="122">
        <v>22452</v>
      </c>
      <c r="C444" s="116"/>
      <c r="D444" s="117" t="s">
        <v>1607</v>
      </c>
      <c r="E444" s="118"/>
      <c r="F444" s="119" t="s">
        <v>1606</v>
      </c>
      <c r="G444" s="120"/>
      <c r="H444" s="120"/>
      <c r="I444" s="120"/>
      <c r="J444" s="120"/>
      <c r="K444" s="120"/>
      <c r="L444" s="120"/>
      <c r="M444" s="120"/>
      <c r="N444" s="121"/>
      <c r="O444" s="121"/>
      <c r="P444" s="121"/>
      <c r="Q444" s="121"/>
      <c r="R444" s="121"/>
      <c r="S444" s="121"/>
      <c r="T444" s="121"/>
      <c r="U444" s="121"/>
      <c r="V444" s="121"/>
      <c r="W444" s="121"/>
      <c r="X444" s="121"/>
    </row>
    <row r="445" spans="1:24" ht="15">
      <c r="A445" s="114"/>
      <c r="B445" s="122">
        <v>22453</v>
      </c>
      <c r="C445" s="116"/>
      <c r="D445" s="117" t="s">
        <v>1042</v>
      </c>
      <c r="E445" s="118"/>
      <c r="F445" s="119" t="s">
        <v>1609</v>
      </c>
      <c r="G445" s="120"/>
      <c r="H445" s="120"/>
      <c r="I445" s="120"/>
      <c r="J445" s="120"/>
      <c r="K445" s="120"/>
      <c r="L445" s="120"/>
      <c r="M445" s="120"/>
      <c r="N445" s="121"/>
      <c r="O445" s="121"/>
      <c r="P445" s="121"/>
      <c r="Q445" s="121"/>
      <c r="R445" s="121"/>
      <c r="S445" s="121"/>
      <c r="T445" s="121"/>
      <c r="U445" s="121"/>
      <c r="V445" s="121"/>
      <c r="W445" s="121"/>
      <c r="X445" s="121"/>
    </row>
    <row r="446" spans="1:24" ht="15">
      <c r="A446" s="114"/>
      <c r="B446" s="122">
        <v>22454</v>
      </c>
      <c r="C446" s="116"/>
      <c r="D446" s="117" t="s">
        <v>264</v>
      </c>
      <c r="E446" s="118"/>
      <c r="F446" s="119" t="s">
        <v>1611</v>
      </c>
      <c r="G446" s="120"/>
      <c r="H446" s="120"/>
      <c r="I446" s="120"/>
      <c r="J446" s="120"/>
      <c r="K446" s="120"/>
      <c r="L446" s="120"/>
      <c r="M446" s="120"/>
      <c r="N446" s="121"/>
      <c r="O446" s="121"/>
      <c r="P446" s="121"/>
      <c r="Q446" s="121"/>
      <c r="R446" s="121"/>
      <c r="S446" s="121"/>
      <c r="T446" s="121"/>
      <c r="U446" s="121"/>
      <c r="V446" s="121"/>
      <c r="W446" s="121"/>
      <c r="X446" s="121"/>
    </row>
    <row r="447" spans="1:24" ht="15">
      <c r="A447" s="114"/>
      <c r="B447" s="122">
        <v>22456</v>
      </c>
      <c r="C447" s="116"/>
      <c r="D447" s="117" t="s">
        <v>949</v>
      </c>
      <c r="E447" s="118"/>
      <c r="F447" s="119" t="s">
        <v>1613</v>
      </c>
      <c r="G447" s="120"/>
      <c r="H447" s="120"/>
      <c r="I447" s="120"/>
      <c r="J447" s="120"/>
      <c r="K447" s="120"/>
      <c r="L447" s="120"/>
      <c r="M447" s="120"/>
      <c r="N447" s="121"/>
      <c r="O447" s="121"/>
      <c r="P447" s="121"/>
      <c r="Q447" s="121"/>
      <c r="R447" s="121"/>
      <c r="S447" s="121"/>
      <c r="T447" s="121"/>
      <c r="U447" s="121"/>
      <c r="V447" s="121"/>
      <c r="W447" s="121"/>
      <c r="X447" s="121"/>
    </row>
    <row r="448" spans="1:24" ht="15">
      <c r="A448" s="114"/>
      <c r="B448" s="122">
        <v>22515</v>
      </c>
      <c r="C448" s="116"/>
      <c r="D448" s="117" t="s">
        <v>1615</v>
      </c>
      <c r="E448" s="118"/>
      <c r="F448" s="119" t="s">
        <v>1616</v>
      </c>
      <c r="G448" s="120"/>
      <c r="H448" s="120"/>
      <c r="I448" s="120"/>
      <c r="J448" s="120"/>
      <c r="K448" s="120"/>
      <c r="L448" s="120"/>
      <c r="M448" s="120"/>
      <c r="N448" s="121"/>
      <c r="O448" s="121"/>
      <c r="P448" s="121"/>
      <c r="Q448" s="121"/>
      <c r="R448" s="121"/>
      <c r="S448" s="121"/>
      <c r="T448" s="121"/>
      <c r="U448" s="121"/>
      <c r="V448" s="121"/>
      <c r="W448" s="121"/>
      <c r="X448" s="121"/>
    </row>
    <row r="449" spans="1:24" ht="15">
      <c r="A449" s="114"/>
      <c r="B449" s="122">
        <v>22651</v>
      </c>
      <c r="C449" s="116"/>
      <c r="D449" s="117" t="s">
        <v>1097</v>
      </c>
      <c r="E449" s="118"/>
      <c r="F449" s="119" t="s">
        <v>1618</v>
      </c>
      <c r="G449" s="120"/>
      <c r="H449" s="120"/>
      <c r="I449" s="120"/>
      <c r="J449" s="120"/>
      <c r="K449" s="120"/>
      <c r="L449" s="120"/>
      <c r="M449" s="120"/>
      <c r="N449" s="121"/>
      <c r="O449" s="121"/>
      <c r="P449" s="121"/>
      <c r="Q449" s="121"/>
      <c r="R449" s="121"/>
      <c r="S449" s="121"/>
      <c r="T449" s="121"/>
      <c r="U449" s="121"/>
      <c r="V449" s="121"/>
      <c r="W449" s="121"/>
      <c r="X449" s="121"/>
    </row>
    <row r="450" spans="1:24" ht="15">
      <c r="A450" s="114"/>
      <c r="B450" s="122">
        <v>22661</v>
      </c>
      <c r="C450" s="116"/>
      <c r="D450" s="117" t="s">
        <v>1621</v>
      </c>
      <c r="E450" s="118"/>
      <c r="F450" s="119" t="s">
        <v>1620</v>
      </c>
      <c r="G450" s="120"/>
      <c r="H450" s="120"/>
      <c r="I450" s="120"/>
      <c r="J450" s="120"/>
      <c r="K450" s="120"/>
      <c r="L450" s="120"/>
      <c r="M450" s="120"/>
      <c r="N450" s="121"/>
      <c r="O450" s="121"/>
      <c r="P450" s="121"/>
      <c r="Q450" s="121"/>
      <c r="R450" s="121"/>
      <c r="S450" s="121"/>
      <c r="T450" s="121"/>
      <c r="U450" s="121"/>
      <c r="V450" s="121"/>
      <c r="W450" s="121"/>
      <c r="X450" s="121"/>
    </row>
    <row r="451" spans="1:24" ht="15">
      <c r="A451" s="114"/>
      <c r="B451" s="122">
        <v>22713</v>
      </c>
      <c r="C451" s="116"/>
      <c r="D451" s="117" t="s">
        <v>588</v>
      </c>
      <c r="E451" s="118"/>
      <c r="F451" s="119" t="s">
        <v>1622</v>
      </c>
      <c r="G451" s="120"/>
      <c r="H451" s="120"/>
      <c r="I451" s="120"/>
      <c r="J451" s="120"/>
      <c r="K451" s="120"/>
      <c r="L451" s="120"/>
      <c r="M451" s="120"/>
      <c r="N451" s="121"/>
      <c r="O451" s="121"/>
      <c r="P451" s="121"/>
      <c r="Q451" s="121"/>
      <c r="R451" s="121"/>
      <c r="S451" s="121"/>
      <c r="T451" s="121"/>
      <c r="U451" s="121"/>
      <c r="V451" s="121"/>
      <c r="W451" s="121"/>
      <c r="X451" s="121"/>
    </row>
    <row r="452" spans="1:24" ht="105">
      <c r="A452" s="159" t="s">
        <v>2859</v>
      </c>
      <c r="B452" s="144">
        <v>22721</v>
      </c>
      <c r="C452" s="145" t="s">
        <v>2838</v>
      </c>
      <c r="D452" s="145" t="s">
        <v>2841</v>
      </c>
      <c r="E452" s="162" t="s">
        <v>2842</v>
      </c>
      <c r="F452" s="147" t="s">
        <v>3090</v>
      </c>
      <c r="G452" s="120"/>
      <c r="H452" s="120"/>
      <c r="I452" s="120"/>
      <c r="J452" s="120"/>
      <c r="K452" s="120"/>
      <c r="L452" s="120"/>
      <c r="M452" s="120"/>
      <c r="N452" s="121"/>
      <c r="O452" s="121"/>
      <c r="P452" s="121"/>
      <c r="Q452" s="121"/>
      <c r="R452" s="121"/>
      <c r="S452" s="121"/>
      <c r="T452" s="121"/>
      <c r="U452" s="121"/>
      <c r="V452" s="121"/>
      <c r="W452" s="121"/>
      <c r="X452" s="121"/>
    </row>
    <row r="453" spans="1:24" ht="15">
      <c r="A453" s="114"/>
      <c r="B453" s="122">
        <v>22831</v>
      </c>
      <c r="C453" s="116"/>
      <c r="D453" s="117" t="s">
        <v>1625</v>
      </c>
      <c r="E453" s="118"/>
      <c r="F453" s="119" t="s">
        <v>1624</v>
      </c>
      <c r="G453" s="120"/>
      <c r="H453" s="120"/>
      <c r="I453" s="120"/>
      <c r="J453" s="120"/>
      <c r="K453" s="120"/>
      <c r="L453" s="120"/>
      <c r="M453" s="120"/>
      <c r="N453" s="121"/>
      <c r="O453" s="121"/>
      <c r="P453" s="121"/>
      <c r="Q453" s="121"/>
      <c r="R453" s="121"/>
      <c r="S453" s="121"/>
      <c r="T453" s="121"/>
      <c r="U453" s="121"/>
      <c r="V453" s="121"/>
      <c r="W453" s="121"/>
      <c r="X453" s="121"/>
    </row>
    <row r="454" spans="1:24" ht="15">
      <c r="A454" s="114"/>
      <c r="B454" s="122">
        <v>22831</v>
      </c>
      <c r="C454" s="116"/>
      <c r="D454" s="117" t="s">
        <v>1628</v>
      </c>
      <c r="E454" s="118"/>
      <c r="F454" s="119" t="s">
        <v>1626</v>
      </c>
      <c r="G454" s="120"/>
      <c r="H454" s="120"/>
      <c r="I454" s="120"/>
      <c r="J454" s="120"/>
      <c r="K454" s="120"/>
      <c r="L454" s="120"/>
      <c r="M454" s="120"/>
      <c r="N454" s="121"/>
      <c r="O454" s="121"/>
      <c r="P454" s="121"/>
      <c r="Q454" s="121"/>
      <c r="R454" s="121"/>
      <c r="S454" s="121"/>
      <c r="T454" s="121"/>
      <c r="U454" s="121"/>
      <c r="V454" s="121"/>
      <c r="W454" s="121"/>
      <c r="X454" s="121"/>
    </row>
    <row r="455" spans="1:24" ht="15">
      <c r="A455" s="114"/>
      <c r="B455" s="122">
        <v>22837</v>
      </c>
      <c r="C455" s="116"/>
      <c r="D455" s="117" t="s">
        <v>1631</v>
      </c>
      <c r="E455" s="118"/>
      <c r="F455" s="119" t="s">
        <v>1630</v>
      </c>
      <c r="G455" s="120"/>
      <c r="H455" s="120"/>
      <c r="I455" s="120"/>
      <c r="J455" s="120"/>
      <c r="K455" s="120"/>
      <c r="L455" s="120"/>
      <c r="M455" s="120"/>
      <c r="N455" s="121"/>
      <c r="O455" s="121"/>
      <c r="P455" s="121"/>
      <c r="Q455" s="121"/>
      <c r="R455" s="121"/>
      <c r="S455" s="121"/>
      <c r="T455" s="121"/>
      <c r="U455" s="121"/>
      <c r="V455" s="121"/>
      <c r="W455" s="121"/>
      <c r="X455" s="121"/>
    </row>
    <row r="456" spans="1:24" ht="15">
      <c r="A456" s="114"/>
      <c r="B456" s="122">
        <v>22872</v>
      </c>
      <c r="C456" s="116"/>
      <c r="D456" s="117" t="s">
        <v>32</v>
      </c>
      <c r="E456" s="118"/>
      <c r="F456" s="119" t="s">
        <v>1634</v>
      </c>
      <c r="G456" s="120"/>
      <c r="H456" s="120"/>
      <c r="I456" s="120"/>
      <c r="J456" s="120"/>
      <c r="K456" s="120"/>
      <c r="L456" s="120"/>
      <c r="M456" s="120"/>
      <c r="N456" s="121"/>
      <c r="O456" s="121"/>
      <c r="P456" s="121"/>
      <c r="Q456" s="121"/>
      <c r="R456" s="121"/>
      <c r="S456" s="121"/>
      <c r="T456" s="121"/>
      <c r="U456" s="121"/>
      <c r="V456" s="121"/>
      <c r="W456" s="121"/>
      <c r="X456" s="121"/>
    </row>
    <row r="457" spans="1:24" ht="15">
      <c r="A457" s="114"/>
      <c r="B457" s="122">
        <v>22879</v>
      </c>
      <c r="C457" s="116"/>
      <c r="D457" s="117" t="s">
        <v>1637</v>
      </c>
      <c r="E457" s="118"/>
      <c r="F457" s="119" t="s">
        <v>1636</v>
      </c>
      <c r="G457" s="120"/>
      <c r="H457" s="120"/>
      <c r="I457" s="120"/>
      <c r="J457" s="120"/>
      <c r="K457" s="120"/>
      <c r="L457" s="120"/>
      <c r="M457" s="120"/>
      <c r="N457" s="121"/>
      <c r="O457" s="121"/>
      <c r="P457" s="121"/>
      <c r="Q457" s="121"/>
      <c r="R457" s="121"/>
      <c r="S457" s="121"/>
      <c r="T457" s="121"/>
      <c r="U457" s="121"/>
      <c r="V457" s="121"/>
      <c r="W457" s="121"/>
      <c r="X457" s="121"/>
    </row>
    <row r="458" spans="1:24" ht="15">
      <c r="A458" s="114"/>
      <c r="B458" s="122">
        <v>22901</v>
      </c>
      <c r="C458" s="116"/>
      <c r="D458" s="117" t="s">
        <v>1639</v>
      </c>
      <c r="E458" s="118"/>
      <c r="F458" s="119" t="s">
        <v>1638</v>
      </c>
      <c r="G458" s="120"/>
      <c r="H458" s="120"/>
      <c r="I458" s="120"/>
      <c r="J458" s="120"/>
      <c r="K458" s="120"/>
      <c r="L458" s="120"/>
      <c r="M458" s="120"/>
      <c r="N458" s="121"/>
      <c r="O458" s="121"/>
      <c r="P458" s="121"/>
      <c r="Q458" s="121"/>
      <c r="R458" s="121"/>
      <c r="S458" s="121"/>
      <c r="T458" s="121"/>
      <c r="U458" s="121"/>
      <c r="V458" s="121"/>
      <c r="W458" s="121"/>
      <c r="X458" s="121"/>
    </row>
    <row r="459" spans="1:24" ht="15">
      <c r="A459" s="114"/>
      <c r="B459" s="122">
        <v>22933</v>
      </c>
      <c r="C459" s="116"/>
      <c r="D459" s="117" t="s">
        <v>1645</v>
      </c>
      <c r="E459" s="118"/>
      <c r="F459" s="119" t="s">
        <v>1644</v>
      </c>
      <c r="G459" s="120"/>
      <c r="H459" s="120"/>
      <c r="I459" s="120"/>
      <c r="J459" s="120"/>
      <c r="K459" s="120"/>
      <c r="L459" s="120"/>
      <c r="M459" s="120"/>
      <c r="N459" s="121"/>
      <c r="O459" s="121"/>
      <c r="P459" s="121"/>
      <c r="Q459" s="121"/>
      <c r="R459" s="121"/>
      <c r="S459" s="121"/>
      <c r="T459" s="121"/>
      <c r="U459" s="121"/>
      <c r="V459" s="121"/>
      <c r="W459" s="121"/>
      <c r="X459" s="121"/>
    </row>
    <row r="460" spans="1:24" ht="15">
      <c r="A460" s="114"/>
      <c r="B460" s="122">
        <v>22956</v>
      </c>
      <c r="C460" s="116"/>
      <c r="D460" s="117" t="s">
        <v>1599</v>
      </c>
      <c r="E460" s="118"/>
      <c r="F460" s="119" t="s">
        <v>1648</v>
      </c>
      <c r="G460" s="120"/>
      <c r="H460" s="120"/>
      <c r="I460" s="120"/>
      <c r="J460" s="120"/>
      <c r="K460" s="120"/>
      <c r="L460" s="120"/>
      <c r="M460" s="120"/>
      <c r="N460" s="121"/>
      <c r="O460" s="121"/>
      <c r="P460" s="121"/>
      <c r="Q460" s="121"/>
      <c r="R460" s="121"/>
      <c r="S460" s="121"/>
      <c r="T460" s="121"/>
      <c r="U460" s="121"/>
      <c r="V460" s="121"/>
      <c r="W460" s="121"/>
      <c r="X460" s="121"/>
    </row>
    <row r="461" spans="1:24" ht="15">
      <c r="A461" s="114"/>
      <c r="B461" s="122">
        <v>22956</v>
      </c>
      <c r="C461" s="116"/>
      <c r="D461" s="117" t="s">
        <v>1650</v>
      </c>
      <c r="E461" s="118"/>
      <c r="F461" s="119" t="s">
        <v>1649</v>
      </c>
      <c r="G461" s="120"/>
      <c r="H461" s="120"/>
      <c r="I461" s="120"/>
      <c r="J461" s="120"/>
      <c r="K461" s="120"/>
      <c r="L461" s="120"/>
      <c r="M461" s="120"/>
      <c r="N461" s="121"/>
      <c r="O461" s="121"/>
      <c r="P461" s="121"/>
      <c r="Q461" s="121"/>
      <c r="R461" s="121"/>
      <c r="S461" s="121"/>
      <c r="T461" s="121"/>
      <c r="U461" s="121"/>
      <c r="V461" s="121"/>
      <c r="W461" s="121"/>
      <c r="X461" s="121"/>
    </row>
    <row r="462" spans="1:24" ht="15">
      <c r="A462" s="114"/>
      <c r="B462" s="122">
        <v>22984</v>
      </c>
      <c r="C462" s="116"/>
      <c r="D462" s="117" t="s">
        <v>1652</v>
      </c>
      <c r="E462" s="118"/>
      <c r="F462" s="119" t="s">
        <v>1651</v>
      </c>
      <c r="G462" s="120"/>
      <c r="H462" s="120"/>
      <c r="I462" s="120"/>
      <c r="J462" s="120"/>
      <c r="K462" s="120"/>
      <c r="L462" s="120"/>
      <c r="M462" s="120"/>
      <c r="N462" s="121"/>
      <c r="O462" s="121"/>
      <c r="P462" s="121"/>
      <c r="Q462" s="121"/>
      <c r="R462" s="121"/>
      <c r="S462" s="121"/>
      <c r="T462" s="121"/>
      <c r="U462" s="121"/>
      <c r="V462" s="121"/>
      <c r="W462" s="121"/>
      <c r="X462" s="121"/>
    </row>
    <row r="463" spans="1:24" ht="15">
      <c r="A463" s="114"/>
      <c r="B463" s="122">
        <v>22987</v>
      </c>
      <c r="C463" s="116"/>
      <c r="D463" s="117" t="s">
        <v>1655</v>
      </c>
      <c r="E463" s="118"/>
      <c r="F463" s="119" t="s">
        <v>1654</v>
      </c>
      <c r="G463" s="120"/>
      <c r="H463" s="120"/>
      <c r="I463" s="120"/>
      <c r="J463" s="120"/>
      <c r="K463" s="120"/>
      <c r="L463" s="120"/>
      <c r="M463" s="120"/>
      <c r="N463" s="121"/>
      <c r="O463" s="121"/>
      <c r="P463" s="121"/>
      <c r="Q463" s="121"/>
      <c r="R463" s="121"/>
      <c r="S463" s="121"/>
      <c r="T463" s="121"/>
      <c r="U463" s="121"/>
      <c r="V463" s="121"/>
      <c r="W463" s="121"/>
      <c r="X463" s="121"/>
    </row>
    <row r="464" spans="1:24" ht="15">
      <c r="A464" s="114"/>
      <c r="B464" s="122">
        <v>23034</v>
      </c>
      <c r="C464" s="116"/>
      <c r="D464" s="117" t="s">
        <v>1180</v>
      </c>
      <c r="E464" s="118"/>
      <c r="F464" s="119" t="s">
        <v>1704</v>
      </c>
      <c r="G464" s="120"/>
      <c r="H464" s="120"/>
      <c r="I464" s="120"/>
      <c r="J464" s="120"/>
      <c r="K464" s="120"/>
      <c r="L464" s="120"/>
      <c r="M464" s="120"/>
      <c r="N464" s="121"/>
      <c r="O464" s="121"/>
      <c r="P464" s="121"/>
      <c r="Q464" s="121"/>
      <c r="R464" s="121"/>
      <c r="S464" s="121"/>
      <c r="T464" s="121"/>
      <c r="U464" s="121"/>
      <c r="V464" s="121"/>
      <c r="W464" s="121"/>
      <c r="X464" s="121"/>
    </row>
    <row r="465" spans="1:24" ht="15">
      <c r="A465" s="114"/>
      <c r="B465" s="193" t="s">
        <v>214</v>
      </c>
      <c r="C465" s="116"/>
      <c r="D465" s="126" t="s">
        <v>815</v>
      </c>
      <c r="E465" s="118"/>
      <c r="F465" s="119" t="s">
        <v>209</v>
      </c>
      <c r="G465" s="120"/>
      <c r="H465" s="120"/>
      <c r="I465" s="120"/>
      <c r="J465" s="120"/>
      <c r="K465" s="120"/>
      <c r="L465" s="120"/>
      <c r="M465" s="120"/>
      <c r="N465" s="121"/>
      <c r="O465" s="121"/>
      <c r="P465" s="121"/>
      <c r="Q465" s="121"/>
      <c r="R465" s="121"/>
      <c r="S465" s="121"/>
      <c r="T465" s="121"/>
      <c r="U465" s="121"/>
      <c r="V465" s="121"/>
      <c r="W465" s="121"/>
      <c r="X465" s="121"/>
    </row>
    <row r="466" spans="1:24" ht="15">
      <c r="A466" s="114"/>
      <c r="B466" s="193" t="s">
        <v>376</v>
      </c>
      <c r="C466" s="116"/>
      <c r="D466" s="126" t="s">
        <v>815</v>
      </c>
      <c r="E466" s="118"/>
      <c r="F466" s="119" t="s">
        <v>371</v>
      </c>
      <c r="G466" s="120"/>
      <c r="H466" s="120"/>
      <c r="I466" s="120"/>
      <c r="J466" s="120"/>
      <c r="K466" s="120"/>
      <c r="L466" s="120"/>
      <c r="M466" s="120"/>
      <c r="N466" s="121"/>
      <c r="O466" s="121"/>
      <c r="P466" s="121"/>
      <c r="Q466" s="121"/>
      <c r="R466" s="121"/>
      <c r="S466" s="121"/>
      <c r="T466" s="121"/>
      <c r="U466" s="121"/>
      <c r="V466" s="121"/>
      <c r="W466" s="121"/>
      <c r="X466" s="121"/>
    </row>
    <row r="467" spans="1:24" ht="15">
      <c r="A467" s="114"/>
      <c r="B467" s="193" t="s">
        <v>248</v>
      </c>
      <c r="C467" s="116"/>
      <c r="D467" s="117" t="s">
        <v>222</v>
      </c>
      <c r="E467" s="118"/>
      <c r="F467" s="119" t="s">
        <v>242</v>
      </c>
      <c r="G467" s="120"/>
      <c r="H467" s="120"/>
      <c r="I467" s="120"/>
      <c r="J467" s="120"/>
      <c r="K467" s="120"/>
      <c r="L467" s="120"/>
      <c r="M467" s="120"/>
      <c r="N467" s="121"/>
      <c r="O467" s="121"/>
      <c r="P467" s="121"/>
      <c r="Q467" s="121"/>
      <c r="R467" s="121"/>
      <c r="S467" s="121"/>
      <c r="T467" s="121"/>
      <c r="U467" s="121"/>
      <c r="V467" s="121"/>
      <c r="W467" s="121"/>
      <c r="X467" s="121"/>
    </row>
    <row r="468" spans="1:24" ht="15">
      <c r="A468" s="114"/>
      <c r="B468" s="193" t="s">
        <v>137</v>
      </c>
      <c r="C468" s="116"/>
      <c r="D468" s="117" t="s">
        <v>131</v>
      </c>
      <c r="E468" s="118"/>
      <c r="F468" s="119" t="s">
        <v>127</v>
      </c>
      <c r="G468" s="120"/>
      <c r="H468" s="120"/>
      <c r="I468" s="120"/>
      <c r="J468" s="120"/>
      <c r="K468" s="120"/>
      <c r="L468" s="120"/>
      <c r="M468" s="120"/>
      <c r="N468" s="121"/>
      <c r="O468" s="121"/>
      <c r="P468" s="121"/>
      <c r="Q468" s="121"/>
      <c r="R468" s="121"/>
      <c r="S468" s="121"/>
      <c r="T468" s="121"/>
      <c r="U468" s="121"/>
      <c r="V468" s="121"/>
      <c r="W468" s="121"/>
      <c r="X468" s="121"/>
    </row>
    <row r="469" spans="1:24" ht="15">
      <c r="A469" s="114"/>
      <c r="B469" s="193" t="s">
        <v>442</v>
      </c>
      <c r="C469" s="116"/>
      <c r="D469" s="117" t="s">
        <v>316</v>
      </c>
      <c r="E469" s="118"/>
      <c r="F469" s="119" t="s">
        <v>439</v>
      </c>
      <c r="G469" s="120"/>
      <c r="H469" s="120"/>
      <c r="I469" s="120"/>
      <c r="J469" s="120"/>
      <c r="K469" s="120"/>
      <c r="L469" s="120"/>
      <c r="M469" s="120"/>
      <c r="N469" s="121"/>
      <c r="O469" s="121"/>
      <c r="P469" s="121"/>
      <c r="Q469" s="121"/>
      <c r="R469" s="121"/>
      <c r="S469" s="121"/>
      <c r="T469" s="121"/>
      <c r="U469" s="121"/>
      <c r="V469" s="121"/>
      <c r="W469" s="121"/>
      <c r="X469" s="121"/>
    </row>
    <row r="470" spans="1:24" ht="14">
      <c r="A470" s="100"/>
      <c r="B470" s="197"/>
      <c r="C470" s="198"/>
      <c r="D470" s="198"/>
      <c r="E470" s="200"/>
      <c r="F470" s="201"/>
    </row>
    <row r="471" spans="1:24" ht="14">
      <c r="A471" s="100"/>
      <c r="B471" s="197"/>
      <c r="C471" s="198"/>
      <c r="D471" s="198"/>
      <c r="E471" s="200"/>
      <c r="F471" s="201"/>
    </row>
    <row r="472" spans="1:24" ht="14">
      <c r="A472" s="100"/>
      <c r="B472" s="197"/>
      <c r="C472" s="198"/>
      <c r="D472" s="198"/>
      <c r="E472" s="200"/>
      <c r="F472" s="201"/>
    </row>
    <row r="473" spans="1:24" ht="14">
      <c r="A473" s="100"/>
      <c r="B473" s="197"/>
      <c r="C473" s="198"/>
      <c r="D473" s="198"/>
      <c r="E473" s="200"/>
      <c r="F473" s="201"/>
    </row>
    <row r="474" spans="1:24" ht="14">
      <c r="A474" s="100"/>
      <c r="B474" s="197"/>
      <c r="C474" s="198"/>
      <c r="D474" s="198"/>
      <c r="E474" s="200"/>
      <c r="F474" s="201"/>
    </row>
    <row r="475" spans="1:24" ht="14">
      <c r="A475" s="100"/>
      <c r="B475" s="197"/>
      <c r="C475" s="198"/>
      <c r="D475" s="198"/>
      <c r="E475" s="200"/>
      <c r="F475" s="201"/>
    </row>
    <row r="476" spans="1:24" ht="14">
      <c r="A476" s="100"/>
      <c r="B476" s="197"/>
      <c r="C476" s="198"/>
      <c r="D476" s="198"/>
      <c r="E476" s="200"/>
      <c r="F476" s="201"/>
    </row>
    <row r="477" spans="1:24" ht="14">
      <c r="A477" s="100"/>
      <c r="B477" s="197"/>
      <c r="C477" s="198"/>
      <c r="D477" s="198"/>
      <c r="E477" s="200"/>
      <c r="F477" s="201"/>
    </row>
    <row r="478" spans="1:24" ht="14">
      <c r="A478" s="100"/>
      <c r="B478" s="197"/>
      <c r="C478" s="198"/>
      <c r="D478" s="198"/>
      <c r="E478" s="200"/>
      <c r="F478" s="201"/>
    </row>
    <row r="479" spans="1:24" ht="14">
      <c r="A479" s="100"/>
      <c r="B479" s="197"/>
      <c r="C479" s="198"/>
      <c r="D479" s="198"/>
      <c r="E479" s="200"/>
      <c r="F479" s="201"/>
    </row>
    <row r="480" spans="1:24" ht="14">
      <c r="A480" s="100"/>
      <c r="B480" s="197"/>
      <c r="C480" s="198"/>
      <c r="D480" s="198"/>
      <c r="E480" s="200"/>
      <c r="F480" s="201"/>
    </row>
    <row r="481" spans="1:6" ht="14">
      <c r="A481" s="100"/>
      <c r="B481" s="197"/>
      <c r="C481" s="198"/>
      <c r="D481" s="198"/>
      <c r="E481" s="200"/>
      <c r="F481" s="201"/>
    </row>
    <row r="482" spans="1:6" ht="14">
      <c r="A482" s="100"/>
      <c r="B482" s="197"/>
      <c r="C482" s="198"/>
      <c r="D482" s="198"/>
      <c r="E482" s="200"/>
      <c r="F482" s="201"/>
    </row>
    <row r="483" spans="1:6" ht="14">
      <c r="A483" s="100"/>
      <c r="B483" s="197"/>
      <c r="C483" s="198"/>
      <c r="D483" s="198"/>
      <c r="E483" s="200"/>
      <c r="F483" s="201"/>
    </row>
    <row r="484" spans="1:6" ht="14">
      <c r="A484" s="100"/>
      <c r="B484" s="197"/>
      <c r="C484" s="198"/>
      <c r="D484" s="198"/>
      <c r="E484" s="200"/>
      <c r="F484" s="201"/>
    </row>
    <row r="485" spans="1:6" ht="14">
      <c r="A485" s="100"/>
      <c r="B485" s="197"/>
      <c r="C485" s="198"/>
      <c r="D485" s="198"/>
      <c r="E485" s="200"/>
      <c r="F485" s="201"/>
    </row>
    <row r="486" spans="1:6" ht="14">
      <c r="A486" s="100"/>
      <c r="B486" s="197"/>
      <c r="C486" s="198"/>
      <c r="D486" s="198"/>
      <c r="E486" s="200"/>
      <c r="F486" s="201"/>
    </row>
    <row r="487" spans="1:6" ht="14">
      <c r="A487" s="100"/>
      <c r="B487" s="197"/>
      <c r="C487" s="198"/>
      <c r="D487" s="198"/>
      <c r="E487" s="200"/>
      <c r="F487" s="201"/>
    </row>
    <row r="488" spans="1:6" ht="14">
      <c r="A488" s="100"/>
      <c r="B488" s="197"/>
      <c r="C488" s="198"/>
      <c r="D488" s="198"/>
      <c r="E488" s="200"/>
      <c r="F488" s="201"/>
    </row>
    <row r="489" spans="1:6" ht="14">
      <c r="A489" s="100"/>
      <c r="B489" s="197"/>
      <c r="C489" s="198"/>
      <c r="D489" s="198"/>
      <c r="E489" s="200"/>
      <c r="F489" s="201"/>
    </row>
    <row r="490" spans="1:6" ht="14">
      <c r="A490" s="100"/>
      <c r="B490" s="197"/>
      <c r="C490" s="198"/>
      <c r="D490" s="198"/>
      <c r="E490" s="200"/>
      <c r="F490" s="201"/>
    </row>
    <row r="491" spans="1:6" ht="14">
      <c r="A491" s="100"/>
      <c r="B491" s="197"/>
      <c r="C491" s="198"/>
      <c r="D491" s="198"/>
      <c r="E491" s="200"/>
      <c r="F491" s="201"/>
    </row>
    <row r="492" spans="1:6" ht="14">
      <c r="A492" s="100"/>
      <c r="B492" s="197"/>
      <c r="C492" s="198"/>
      <c r="D492" s="198"/>
      <c r="E492" s="200"/>
      <c r="F492" s="201"/>
    </row>
    <row r="493" spans="1:6" ht="14">
      <c r="A493" s="100"/>
      <c r="B493" s="197"/>
      <c r="C493" s="198"/>
      <c r="D493" s="198"/>
      <c r="E493" s="200"/>
      <c r="F493" s="201"/>
    </row>
    <row r="494" spans="1:6" ht="14">
      <c r="A494" s="100"/>
      <c r="B494" s="197"/>
      <c r="C494" s="198"/>
      <c r="D494" s="198"/>
      <c r="E494" s="200"/>
      <c r="F494" s="201"/>
    </row>
    <row r="495" spans="1:6" ht="14">
      <c r="A495" s="100"/>
      <c r="B495" s="197"/>
      <c r="C495" s="198"/>
      <c r="D495" s="198"/>
      <c r="E495" s="200"/>
      <c r="F495" s="201"/>
    </row>
    <row r="496" spans="1:6" ht="14">
      <c r="A496" s="100"/>
      <c r="B496" s="197"/>
      <c r="C496" s="198"/>
      <c r="D496" s="198"/>
      <c r="E496" s="200"/>
      <c r="F496" s="201"/>
    </row>
    <row r="497" spans="1:6" ht="14">
      <c r="A497" s="100"/>
      <c r="B497" s="197"/>
      <c r="C497" s="198"/>
      <c r="D497" s="198"/>
      <c r="E497" s="200"/>
      <c r="F497" s="201"/>
    </row>
    <row r="498" spans="1:6" ht="14">
      <c r="A498" s="100"/>
      <c r="B498" s="197"/>
      <c r="C498" s="198"/>
      <c r="D498" s="198"/>
      <c r="E498" s="200"/>
      <c r="F498" s="201"/>
    </row>
    <row r="499" spans="1:6" ht="14">
      <c r="A499" s="100"/>
      <c r="B499" s="197"/>
      <c r="C499" s="198"/>
      <c r="D499" s="198"/>
      <c r="E499" s="200"/>
      <c r="F499" s="201"/>
    </row>
    <row r="500" spans="1:6" ht="14">
      <c r="A500" s="100"/>
      <c r="B500" s="197"/>
      <c r="C500" s="198"/>
      <c r="D500" s="198"/>
      <c r="E500" s="200"/>
      <c r="F500" s="201"/>
    </row>
    <row r="501" spans="1:6" ht="14">
      <c r="A501" s="100"/>
      <c r="B501" s="197"/>
      <c r="C501" s="198"/>
      <c r="D501" s="198"/>
      <c r="E501" s="200"/>
      <c r="F501" s="201"/>
    </row>
    <row r="502" spans="1:6" ht="14">
      <c r="A502" s="100"/>
      <c r="B502" s="197"/>
      <c r="C502" s="198"/>
      <c r="D502" s="198"/>
      <c r="E502" s="200"/>
      <c r="F502" s="201"/>
    </row>
    <row r="503" spans="1:6" ht="14">
      <c r="A503" s="100"/>
      <c r="B503" s="197"/>
      <c r="C503" s="198"/>
      <c r="D503" s="198"/>
      <c r="E503" s="200"/>
      <c r="F503" s="201"/>
    </row>
    <row r="504" spans="1:6" ht="14">
      <c r="A504" s="100"/>
      <c r="B504" s="197"/>
      <c r="C504" s="198"/>
      <c r="D504" s="198"/>
      <c r="E504" s="200"/>
      <c r="F504" s="201"/>
    </row>
    <row r="505" spans="1:6" ht="14">
      <c r="A505" s="100"/>
      <c r="B505" s="197"/>
      <c r="C505" s="198"/>
      <c r="D505" s="198"/>
      <c r="E505" s="200"/>
      <c r="F505" s="201"/>
    </row>
    <row r="506" spans="1:6" ht="14">
      <c r="A506" s="100"/>
      <c r="B506" s="197"/>
      <c r="C506" s="198"/>
      <c r="D506" s="198"/>
      <c r="E506" s="200"/>
      <c r="F506" s="201"/>
    </row>
    <row r="507" spans="1:6" ht="14">
      <c r="A507" s="100"/>
      <c r="B507" s="197"/>
      <c r="C507" s="198"/>
      <c r="D507" s="198"/>
      <c r="E507" s="200"/>
      <c r="F507" s="201"/>
    </row>
    <row r="508" spans="1:6" ht="14">
      <c r="A508" s="100"/>
      <c r="B508" s="197"/>
      <c r="C508" s="198"/>
      <c r="D508" s="198"/>
      <c r="E508" s="200"/>
      <c r="F508" s="201"/>
    </row>
    <row r="509" spans="1:6" ht="14">
      <c r="A509" s="100"/>
      <c r="B509" s="197"/>
      <c r="C509" s="198"/>
      <c r="D509" s="198"/>
      <c r="E509" s="200"/>
      <c r="F509" s="201"/>
    </row>
    <row r="510" spans="1:6" ht="14">
      <c r="A510" s="100"/>
      <c r="B510" s="197"/>
      <c r="C510" s="198"/>
      <c r="D510" s="198"/>
      <c r="E510" s="200"/>
      <c r="F510" s="201"/>
    </row>
    <row r="511" spans="1:6" ht="14">
      <c r="A511" s="100"/>
      <c r="B511" s="197"/>
      <c r="C511" s="198"/>
      <c r="D511" s="198"/>
      <c r="E511" s="200"/>
      <c r="F511" s="201"/>
    </row>
    <row r="512" spans="1:6" ht="14">
      <c r="A512" s="100"/>
      <c r="B512" s="197"/>
      <c r="C512" s="198"/>
      <c r="D512" s="198"/>
      <c r="E512" s="200"/>
      <c r="F512" s="201"/>
    </row>
    <row r="513" spans="1:6" ht="14">
      <c r="A513" s="100"/>
      <c r="B513" s="197"/>
      <c r="C513" s="198"/>
      <c r="D513" s="198"/>
      <c r="E513" s="200"/>
      <c r="F513" s="201"/>
    </row>
    <row r="514" spans="1:6" ht="14">
      <c r="A514" s="100"/>
      <c r="B514" s="197"/>
      <c r="C514" s="198"/>
      <c r="D514" s="198"/>
      <c r="E514" s="200"/>
      <c r="F514" s="201"/>
    </row>
    <row r="515" spans="1:6" ht="14">
      <c r="A515" s="100"/>
      <c r="B515" s="197"/>
      <c r="C515" s="198"/>
      <c r="D515" s="198"/>
      <c r="E515" s="200"/>
      <c r="F515" s="201"/>
    </row>
    <row r="516" spans="1:6" ht="14">
      <c r="A516" s="100"/>
      <c r="B516" s="197"/>
      <c r="C516" s="198"/>
      <c r="D516" s="198"/>
      <c r="E516" s="200"/>
      <c r="F516" s="201"/>
    </row>
    <row r="517" spans="1:6" ht="14">
      <c r="A517" s="100"/>
      <c r="B517" s="197"/>
      <c r="C517" s="198"/>
      <c r="D517" s="198"/>
      <c r="E517" s="200"/>
      <c r="F517" s="201"/>
    </row>
    <row r="518" spans="1:6" ht="14">
      <c r="A518" s="100"/>
      <c r="B518" s="197"/>
      <c r="C518" s="198"/>
      <c r="D518" s="198"/>
      <c r="E518" s="200"/>
      <c r="F518" s="201"/>
    </row>
    <row r="519" spans="1:6" ht="14">
      <c r="A519" s="100"/>
      <c r="B519" s="197"/>
      <c r="C519" s="198"/>
      <c r="D519" s="198"/>
      <c r="E519" s="200"/>
      <c r="F519" s="201"/>
    </row>
    <row r="520" spans="1:6" ht="14">
      <c r="A520" s="100"/>
      <c r="B520" s="197"/>
      <c r="C520" s="198"/>
      <c r="D520" s="198"/>
      <c r="E520" s="200"/>
      <c r="F520" s="201"/>
    </row>
    <row r="521" spans="1:6" ht="14">
      <c r="A521" s="100"/>
      <c r="B521" s="197"/>
      <c r="C521" s="198"/>
      <c r="D521" s="198"/>
      <c r="E521" s="200"/>
      <c r="F521" s="201"/>
    </row>
    <row r="522" spans="1:6" ht="14">
      <c r="A522" s="100"/>
      <c r="B522" s="197"/>
      <c r="C522" s="198"/>
      <c r="D522" s="198"/>
      <c r="E522" s="200"/>
      <c r="F522" s="201"/>
    </row>
    <row r="523" spans="1:6" ht="14">
      <c r="A523" s="100"/>
      <c r="B523" s="197"/>
      <c r="C523" s="198"/>
      <c r="D523" s="198"/>
      <c r="E523" s="200"/>
      <c r="F523" s="201"/>
    </row>
    <row r="524" spans="1:6" ht="14">
      <c r="A524" s="100"/>
      <c r="B524" s="197"/>
      <c r="C524" s="198"/>
      <c r="D524" s="198"/>
      <c r="E524" s="200"/>
      <c r="F524" s="201"/>
    </row>
    <row r="525" spans="1:6" ht="14">
      <c r="A525" s="100"/>
      <c r="B525" s="197"/>
      <c r="C525" s="198"/>
      <c r="D525" s="198"/>
      <c r="E525" s="200"/>
      <c r="F525" s="201"/>
    </row>
    <row r="526" spans="1:6" ht="14">
      <c r="A526" s="100"/>
      <c r="B526" s="197"/>
      <c r="C526" s="198"/>
      <c r="D526" s="198"/>
      <c r="E526" s="200"/>
      <c r="F526" s="201"/>
    </row>
    <row r="527" spans="1:6" ht="14">
      <c r="A527" s="100"/>
      <c r="B527" s="197"/>
      <c r="C527" s="198"/>
      <c r="D527" s="198"/>
      <c r="E527" s="200"/>
      <c r="F527" s="201"/>
    </row>
    <row r="528" spans="1:6" ht="14">
      <c r="A528" s="100"/>
      <c r="B528" s="197"/>
      <c r="C528" s="198"/>
      <c r="D528" s="198"/>
      <c r="E528" s="200"/>
      <c r="F528" s="201"/>
    </row>
    <row r="529" spans="1:6" ht="14">
      <c r="A529" s="100"/>
      <c r="B529" s="197"/>
      <c r="C529" s="198"/>
      <c r="D529" s="198"/>
      <c r="E529" s="200"/>
      <c r="F529" s="201"/>
    </row>
    <row r="530" spans="1:6" ht="14">
      <c r="A530" s="100"/>
      <c r="B530" s="197"/>
      <c r="C530" s="198"/>
      <c r="D530" s="198"/>
      <c r="E530" s="200"/>
      <c r="F530" s="201"/>
    </row>
    <row r="531" spans="1:6" ht="14">
      <c r="A531" s="100"/>
      <c r="B531" s="197"/>
      <c r="C531" s="198"/>
      <c r="D531" s="198"/>
      <c r="E531" s="200"/>
      <c r="F531" s="201"/>
    </row>
    <row r="532" spans="1:6" ht="14">
      <c r="A532" s="100"/>
      <c r="B532" s="197"/>
      <c r="C532" s="198"/>
      <c r="D532" s="198"/>
      <c r="E532" s="200"/>
      <c r="F532" s="201"/>
    </row>
    <row r="533" spans="1:6" ht="14">
      <c r="A533" s="100"/>
      <c r="B533" s="197"/>
      <c r="C533" s="198"/>
      <c r="D533" s="198"/>
      <c r="E533" s="200"/>
      <c r="F533" s="201"/>
    </row>
    <row r="534" spans="1:6" ht="14">
      <c r="A534" s="100"/>
      <c r="B534" s="197"/>
      <c r="C534" s="198"/>
      <c r="D534" s="198"/>
      <c r="E534" s="200"/>
      <c r="F534" s="201"/>
    </row>
    <row r="535" spans="1:6" ht="14">
      <c r="A535" s="100"/>
      <c r="B535" s="197"/>
      <c r="C535" s="198"/>
      <c r="D535" s="198"/>
      <c r="E535" s="200"/>
      <c r="F535" s="201"/>
    </row>
    <row r="536" spans="1:6" ht="14">
      <c r="A536" s="100"/>
      <c r="B536" s="197"/>
      <c r="C536" s="198"/>
      <c r="D536" s="198"/>
      <c r="E536" s="200"/>
      <c r="F536" s="201"/>
    </row>
    <row r="537" spans="1:6" ht="14">
      <c r="A537" s="100"/>
      <c r="B537" s="197"/>
      <c r="C537" s="198"/>
      <c r="D537" s="198"/>
      <c r="E537" s="200"/>
      <c r="F537" s="201"/>
    </row>
    <row r="538" spans="1:6" ht="14">
      <c r="A538" s="100"/>
      <c r="B538" s="197"/>
      <c r="C538" s="198"/>
      <c r="D538" s="198"/>
      <c r="E538" s="200"/>
      <c r="F538" s="201"/>
    </row>
    <row r="539" spans="1:6" ht="14">
      <c r="A539" s="100"/>
      <c r="B539" s="197"/>
      <c r="C539" s="198"/>
      <c r="D539" s="198"/>
      <c r="E539" s="200"/>
      <c r="F539" s="201"/>
    </row>
    <row r="540" spans="1:6" ht="14">
      <c r="A540" s="100"/>
      <c r="B540" s="197"/>
      <c r="C540" s="198"/>
      <c r="D540" s="198"/>
      <c r="E540" s="200"/>
      <c r="F540" s="201"/>
    </row>
    <row r="541" spans="1:6" ht="14">
      <c r="A541" s="100"/>
      <c r="B541" s="197"/>
      <c r="C541" s="198"/>
      <c r="D541" s="198"/>
      <c r="E541" s="200"/>
      <c r="F541" s="201"/>
    </row>
    <row r="542" spans="1:6" ht="14">
      <c r="A542" s="100"/>
      <c r="B542" s="197"/>
      <c r="C542" s="198"/>
      <c r="D542" s="198"/>
      <c r="E542" s="200"/>
      <c r="F542" s="201"/>
    </row>
    <row r="543" spans="1:6" ht="14">
      <c r="A543" s="100"/>
      <c r="B543" s="197"/>
      <c r="C543" s="198"/>
      <c r="D543" s="198"/>
      <c r="E543" s="200"/>
      <c r="F543" s="201"/>
    </row>
    <row r="544" spans="1:6" ht="14">
      <c r="A544" s="100"/>
      <c r="B544" s="197"/>
      <c r="C544" s="198"/>
      <c r="D544" s="198"/>
      <c r="E544" s="200"/>
      <c r="F544" s="201"/>
    </row>
    <row r="545" spans="1:6" ht="14">
      <c r="A545" s="100"/>
      <c r="B545" s="197"/>
      <c r="C545" s="198"/>
      <c r="D545" s="198"/>
      <c r="E545" s="200"/>
      <c r="F545" s="201"/>
    </row>
    <row r="546" spans="1:6" ht="14">
      <c r="A546" s="100"/>
      <c r="B546" s="197"/>
      <c r="C546" s="198"/>
      <c r="D546" s="198"/>
      <c r="E546" s="200"/>
      <c r="F546" s="201"/>
    </row>
    <row r="547" spans="1:6" ht="14">
      <c r="A547" s="100"/>
      <c r="B547" s="197"/>
      <c r="C547" s="198"/>
      <c r="D547" s="198"/>
      <c r="E547" s="200"/>
      <c r="F547" s="201"/>
    </row>
    <row r="548" spans="1:6" ht="14">
      <c r="A548" s="100"/>
      <c r="B548" s="197"/>
      <c r="C548" s="198"/>
      <c r="D548" s="198"/>
      <c r="E548" s="200"/>
      <c r="F548" s="201"/>
    </row>
    <row r="549" spans="1:6" ht="14">
      <c r="A549" s="100"/>
      <c r="B549" s="197"/>
      <c r="C549" s="198"/>
      <c r="D549" s="198"/>
      <c r="E549" s="200"/>
      <c r="F549" s="201"/>
    </row>
    <row r="550" spans="1:6" ht="14">
      <c r="A550" s="100"/>
      <c r="B550" s="197"/>
      <c r="C550" s="198"/>
      <c r="D550" s="198"/>
      <c r="E550" s="200"/>
      <c r="F550" s="201"/>
    </row>
    <row r="551" spans="1:6" ht="14">
      <c r="A551" s="100"/>
      <c r="B551" s="197"/>
      <c r="C551" s="198"/>
      <c r="D551" s="198"/>
      <c r="E551" s="200"/>
      <c r="F551" s="201"/>
    </row>
    <row r="552" spans="1:6" ht="14">
      <c r="A552" s="100"/>
      <c r="B552" s="197"/>
      <c r="C552" s="198"/>
      <c r="D552" s="198"/>
      <c r="E552" s="200"/>
      <c r="F552" s="201"/>
    </row>
    <row r="553" spans="1:6" ht="14">
      <c r="A553" s="100"/>
      <c r="B553" s="197"/>
      <c r="C553" s="198"/>
      <c r="D553" s="198"/>
      <c r="E553" s="200"/>
      <c r="F553" s="201"/>
    </row>
    <row r="554" spans="1:6" ht="14">
      <c r="A554" s="100"/>
      <c r="B554" s="197"/>
      <c r="C554" s="198"/>
      <c r="D554" s="198"/>
      <c r="E554" s="200"/>
      <c r="F554" s="201"/>
    </row>
    <row r="555" spans="1:6" ht="14">
      <c r="A555" s="100"/>
      <c r="B555" s="197"/>
      <c r="C555" s="198"/>
      <c r="D555" s="198"/>
      <c r="E555" s="200"/>
      <c r="F555" s="201"/>
    </row>
    <row r="556" spans="1:6" ht="14">
      <c r="A556" s="100"/>
      <c r="B556" s="197"/>
      <c r="C556" s="198"/>
      <c r="D556" s="198"/>
      <c r="E556" s="200"/>
      <c r="F556" s="201"/>
    </row>
    <row r="557" spans="1:6" ht="14">
      <c r="A557" s="100"/>
      <c r="B557" s="197"/>
      <c r="C557" s="198"/>
      <c r="D557" s="198"/>
      <c r="E557" s="200"/>
      <c r="F557" s="201"/>
    </row>
    <row r="558" spans="1:6" ht="14">
      <c r="A558" s="100"/>
      <c r="B558" s="197"/>
      <c r="C558" s="198"/>
      <c r="D558" s="198"/>
      <c r="E558" s="200"/>
      <c r="F558" s="201"/>
    </row>
    <row r="559" spans="1:6" ht="14">
      <c r="A559" s="100"/>
      <c r="B559" s="197"/>
      <c r="C559" s="198"/>
      <c r="D559" s="198"/>
      <c r="E559" s="200"/>
      <c r="F559" s="201"/>
    </row>
    <row r="560" spans="1:6" ht="14">
      <c r="A560" s="100"/>
      <c r="B560" s="197"/>
      <c r="C560" s="198"/>
      <c r="D560" s="198"/>
      <c r="E560" s="200"/>
      <c r="F560" s="201"/>
    </row>
    <row r="561" spans="1:6" ht="14">
      <c r="A561" s="100"/>
      <c r="B561" s="197"/>
      <c r="C561" s="198"/>
      <c r="D561" s="198"/>
      <c r="E561" s="200"/>
      <c r="F561" s="201"/>
    </row>
    <row r="562" spans="1:6" ht="14">
      <c r="A562" s="100"/>
      <c r="B562" s="197"/>
      <c r="C562" s="198"/>
      <c r="D562" s="198"/>
      <c r="E562" s="200"/>
      <c r="F562" s="201"/>
    </row>
    <row r="563" spans="1:6" ht="14">
      <c r="A563" s="100"/>
      <c r="B563" s="197"/>
      <c r="C563" s="198"/>
      <c r="D563" s="198"/>
      <c r="E563" s="200"/>
      <c r="F563" s="201"/>
    </row>
    <row r="564" spans="1:6" ht="14">
      <c r="A564" s="100"/>
      <c r="B564" s="197"/>
      <c r="C564" s="198"/>
      <c r="D564" s="198"/>
      <c r="E564" s="200"/>
      <c r="F564" s="201"/>
    </row>
    <row r="565" spans="1:6" ht="14">
      <c r="A565" s="100"/>
      <c r="B565" s="197"/>
      <c r="C565" s="198"/>
      <c r="D565" s="198"/>
      <c r="E565" s="200"/>
      <c r="F565" s="201"/>
    </row>
    <row r="566" spans="1:6" ht="14">
      <c r="A566" s="100"/>
      <c r="B566" s="197"/>
      <c r="C566" s="198"/>
      <c r="D566" s="198"/>
      <c r="E566" s="200"/>
      <c r="F566" s="201"/>
    </row>
    <row r="567" spans="1:6" ht="14">
      <c r="A567" s="100"/>
      <c r="B567" s="197"/>
      <c r="C567" s="198"/>
      <c r="D567" s="198"/>
      <c r="E567" s="200"/>
      <c r="F567" s="201"/>
    </row>
    <row r="568" spans="1:6" ht="14">
      <c r="A568" s="100"/>
      <c r="B568" s="197"/>
      <c r="C568" s="198"/>
      <c r="D568" s="198"/>
      <c r="E568" s="200"/>
      <c r="F568" s="201"/>
    </row>
    <row r="569" spans="1:6" ht="14">
      <c r="A569" s="100"/>
      <c r="B569" s="197"/>
      <c r="C569" s="198"/>
      <c r="D569" s="198"/>
      <c r="E569" s="200"/>
      <c r="F569" s="201"/>
    </row>
    <row r="570" spans="1:6" ht="14">
      <c r="A570" s="100"/>
      <c r="B570" s="197"/>
      <c r="C570" s="198"/>
      <c r="D570" s="198"/>
      <c r="E570" s="200"/>
      <c r="F570" s="201"/>
    </row>
    <row r="571" spans="1:6" ht="14">
      <c r="A571" s="100"/>
      <c r="B571" s="197"/>
      <c r="C571" s="198"/>
      <c r="D571" s="198"/>
      <c r="E571" s="200"/>
      <c r="F571" s="201"/>
    </row>
    <row r="572" spans="1:6" ht="14">
      <c r="A572" s="100"/>
      <c r="B572" s="197"/>
      <c r="C572" s="198"/>
      <c r="D572" s="198"/>
      <c r="E572" s="200"/>
      <c r="F572" s="201"/>
    </row>
    <row r="573" spans="1:6" ht="14">
      <c r="A573" s="100"/>
      <c r="B573" s="197"/>
      <c r="C573" s="198"/>
      <c r="D573" s="198"/>
      <c r="E573" s="200"/>
      <c r="F573" s="201"/>
    </row>
    <row r="574" spans="1:6" ht="14">
      <c r="A574" s="100"/>
      <c r="B574" s="197"/>
      <c r="C574" s="198"/>
      <c r="D574" s="198"/>
      <c r="E574" s="200"/>
      <c r="F574" s="201"/>
    </row>
    <row r="575" spans="1:6" ht="14">
      <c r="A575" s="100"/>
      <c r="B575" s="197"/>
      <c r="C575" s="198"/>
      <c r="D575" s="198"/>
      <c r="E575" s="200"/>
      <c r="F575" s="201"/>
    </row>
    <row r="576" spans="1:6" ht="14">
      <c r="A576" s="100"/>
      <c r="B576" s="197"/>
      <c r="C576" s="198"/>
      <c r="D576" s="198"/>
      <c r="E576" s="200"/>
      <c r="F576" s="201"/>
    </row>
    <row r="577" spans="1:6" ht="14">
      <c r="A577" s="100"/>
      <c r="B577" s="197"/>
      <c r="C577" s="198"/>
      <c r="D577" s="198"/>
      <c r="E577" s="200"/>
      <c r="F577" s="201"/>
    </row>
    <row r="578" spans="1:6" ht="14">
      <c r="A578" s="100"/>
      <c r="B578" s="197"/>
      <c r="C578" s="198"/>
      <c r="D578" s="198"/>
      <c r="E578" s="200"/>
      <c r="F578" s="201"/>
    </row>
    <row r="579" spans="1:6" ht="14">
      <c r="A579" s="100"/>
      <c r="B579" s="197"/>
      <c r="C579" s="198"/>
      <c r="D579" s="198"/>
      <c r="E579" s="200"/>
      <c r="F579" s="201"/>
    </row>
    <row r="580" spans="1:6" ht="14">
      <c r="A580" s="100"/>
      <c r="B580" s="197"/>
      <c r="C580" s="198"/>
      <c r="D580" s="198"/>
      <c r="E580" s="200"/>
      <c r="F580" s="201"/>
    </row>
    <row r="581" spans="1:6" ht="14">
      <c r="A581" s="100"/>
      <c r="B581" s="197"/>
      <c r="C581" s="198"/>
      <c r="D581" s="198"/>
      <c r="E581" s="200"/>
      <c r="F581" s="201"/>
    </row>
    <row r="582" spans="1:6" ht="14">
      <c r="A582" s="100"/>
      <c r="B582" s="197"/>
      <c r="C582" s="198"/>
      <c r="D582" s="198"/>
      <c r="E582" s="200"/>
      <c r="F582" s="201"/>
    </row>
    <row r="583" spans="1:6" ht="14">
      <c r="A583" s="100"/>
      <c r="B583" s="197"/>
      <c r="C583" s="198"/>
      <c r="D583" s="198"/>
      <c r="E583" s="200"/>
      <c r="F583" s="201"/>
    </row>
    <row r="584" spans="1:6" ht="14">
      <c r="A584" s="100"/>
      <c r="B584" s="197"/>
      <c r="C584" s="198"/>
      <c r="D584" s="198"/>
      <c r="E584" s="200"/>
      <c r="F584" s="201"/>
    </row>
    <row r="585" spans="1:6" ht="14">
      <c r="A585" s="100"/>
      <c r="B585" s="197"/>
      <c r="C585" s="198"/>
      <c r="D585" s="198"/>
      <c r="E585" s="200"/>
      <c r="F585" s="201"/>
    </row>
    <row r="586" spans="1:6" ht="14">
      <c r="A586" s="100"/>
      <c r="B586" s="197"/>
      <c r="C586" s="198"/>
      <c r="D586" s="198"/>
      <c r="E586" s="200"/>
      <c r="F586" s="201"/>
    </row>
    <row r="587" spans="1:6" ht="14">
      <c r="A587" s="100"/>
      <c r="B587" s="197"/>
      <c r="C587" s="198"/>
      <c r="D587" s="198"/>
      <c r="E587" s="200"/>
      <c r="F587" s="201"/>
    </row>
    <row r="588" spans="1:6" ht="14">
      <c r="A588" s="100"/>
      <c r="B588" s="197"/>
      <c r="C588" s="198"/>
      <c r="D588" s="198"/>
      <c r="E588" s="200"/>
      <c r="F588" s="201"/>
    </row>
    <row r="589" spans="1:6" ht="14">
      <c r="A589" s="100"/>
      <c r="B589" s="197"/>
      <c r="C589" s="198"/>
      <c r="D589" s="198"/>
      <c r="E589" s="200"/>
      <c r="F589" s="201"/>
    </row>
    <row r="590" spans="1:6" ht="14">
      <c r="A590" s="100"/>
      <c r="B590" s="197"/>
      <c r="C590" s="198"/>
      <c r="D590" s="198"/>
      <c r="E590" s="200"/>
      <c r="F590" s="201"/>
    </row>
    <row r="591" spans="1:6" ht="14">
      <c r="A591" s="100"/>
      <c r="B591" s="197"/>
      <c r="C591" s="198"/>
      <c r="D591" s="198"/>
      <c r="E591" s="200"/>
      <c r="F591" s="201"/>
    </row>
    <row r="592" spans="1:6" ht="14">
      <c r="A592" s="100"/>
      <c r="B592" s="197"/>
      <c r="C592" s="198"/>
      <c r="D592" s="198"/>
      <c r="E592" s="200"/>
      <c r="F592" s="201"/>
    </row>
    <row r="593" spans="1:6" ht="14">
      <c r="A593" s="100"/>
      <c r="B593" s="197"/>
      <c r="C593" s="198"/>
      <c r="D593" s="198"/>
      <c r="E593" s="200"/>
      <c r="F593" s="201"/>
    </row>
    <row r="594" spans="1:6" ht="14">
      <c r="A594" s="100"/>
      <c r="B594" s="197"/>
      <c r="C594" s="198"/>
      <c r="D594" s="198"/>
      <c r="E594" s="200"/>
      <c r="F594" s="201"/>
    </row>
    <row r="595" spans="1:6" ht="14">
      <c r="A595" s="100"/>
      <c r="B595" s="197"/>
      <c r="C595" s="198"/>
      <c r="D595" s="198"/>
      <c r="E595" s="200"/>
      <c r="F595" s="201"/>
    </row>
    <row r="596" spans="1:6" ht="14">
      <c r="A596" s="100"/>
      <c r="B596" s="197"/>
      <c r="C596" s="198"/>
      <c r="D596" s="198"/>
      <c r="E596" s="200"/>
      <c r="F596" s="201"/>
    </row>
    <row r="597" spans="1:6" ht="14">
      <c r="A597" s="100"/>
      <c r="B597" s="197"/>
      <c r="C597" s="198"/>
      <c r="D597" s="198"/>
      <c r="E597" s="200"/>
      <c r="F597" s="201"/>
    </row>
    <row r="598" spans="1:6" ht="14">
      <c r="A598" s="100"/>
      <c r="B598" s="197"/>
      <c r="C598" s="198"/>
      <c r="D598" s="198"/>
      <c r="E598" s="200"/>
      <c r="F598" s="201"/>
    </row>
    <row r="599" spans="1:6" ht="14">
      <c r="A599" s="100"/>
      <c r="B599" s="197"/>
      <c r="C599" s="198"/>
      <c r="D599" s="198"/>
      <c r="E599" s="200"/>
      <c r="F599" s="201"/>
    </row>
    <row r="600" spans="1:6" ht="14">
      <c r="A600" s="100"/>
      <c r="B600" s="197"/>
      <c r="C600" s="198"/>
      <c r="D600" s="198"/>
      <c r="E600" s="200"/>
      <c r="F600" s="201"/>
    </row>
    <row r="601" spans="1:6" ht="14">
      <c r="A601" s="100"/>
      <c r="B601" s="197"/>
      <c r="C601" s="198"/>
      <c r="D601" s="198"/>
      <c r="E601" s="200"/>
      <c r="F601" s="201"/>
    </row>
    <row r="602" spans="1:6" ht="14">
      <c r="A602" s="100"/>
      <c r="B602" s="197"/>
      <c r="C602" s="198"/>
      <c r="D602" s="198"/>
      <c r="E602" s="200"/>
      <c r="F602" s="201"/>
    </row>
    <row r="603" spans="1:6" ht="14">
      <c r="A603" s="100"/>
      <c r="B603" s="197"/>
      <c r="C603" s="198"/>
      <c r="D603" s="198"/>
      <c r="E603" s="200"/>
      <c r="F603" s="201"/>
    </row>
    <row r="604" spans="1:6" ht="14">
      <c r="A604" s="100"/>
      <c r="B604" s="197"/>
      <c r="C604" s="198"/>
      <c r="D604" s="198"/>
      <c r="E604" s="200"/>
      <c r="F604" s="201"/>
    </row>
    <row r="605" spans="1:6" ht="14">
      <c r="A605" s="100"/>
      <c r="B605" s="197"/>
      <c r="C605" s="198"/>
      <c r="D605" s="198"/>
      <c r="E605" s="200"/>
      <c r="F605" s="201"/>
    </row>
    <row r="606" spans="1:6" ht="14">
      <c r="A606" s="100"/>
      <c r="B606" s="197"/>
      <c r="C606" s="198"/>
      <c r="D606" s="198"/>
      <c r="E606" s="200"/>
      <c r="F606" s="201"/>
    </row>
    <row r="607" spans="1:6" ht="14">
      <c r="A607" s="100"/>
      <c r="B607" s="197"/>
      <c r="C607" s="198"/>
      <c r="D607" s="198"/>
      <c r="E607" s="200"/>
      <c r="F607" s="201"/>
    </row>
    <row r="608" spans="1:6" ht="14">
      <c r="A608" s="100"/>
      <c r="B608" s="197"/>
      <c r="C608" s="198"/>
      <c r="D608" s="198"/>
      <c r="E608" s="200"/>
      <c r="F608" s="201"/>
    </row>
    <row r="609" spans="1:6" ht="14">
      <c r="A609" s="100"/>
      <c r="B609" s="197"/>
      <c r="C609" s="198"/>
      <c r="D609" s="198"/>
      <c r="E609" s="200"/>
      <c r="F609" s="201"/>
    </row>
    <row r="610" spans="1:6" ht="14">
      <c r="A610" s="100"/>
      <c r="B610" s="197"/>
      <c r="C610" s="198"/>
      <c r="D610" s="198"/>
      <c r="E610" s="200"/>
      <c r="F610" s="201"/>
    </row>
    <row r="611" spans="1:6" ht="14">
      <c r="A611" s="100"/>
      <c r="B611" s="197"/>
      <c r="C611" s="198"/>
      <c r="D611" s="198"/>
      <c r="E611" s="200"/>
      <c r="F611" s="201"/>
    </row>
    <row r="612" spans="1:6" ht="14">
      <c r="A612" s="100"/>
      <c r="B612" s="197"/>
      <c r="C612" s="198"/>
      <c r="D612" s="198"/>
      <c r="E612" s="200"/>
      <c r="F612" s="201"/>
    </row>
    <row r="613" spans="1:6" ht="14">
      <c r="A613" s="100"/>
      <c r="B613" s="197"/>
      <c r="C613" s="198"/>
      <c r="D613" s="198"/>
      <c r="E613" s="200"/>
      <c r="F613" s="201"/>
    </row>
    <row r="614" spans="1:6" ht="14">
      <c r="A614" s="100"/>
      <c r="B614" s="197"/>
      <c r="C614" s="198"/>
      <c r="D614" s="198"/>
      <c r="E614" s="200"/>
      <c r="F614" s="201"/>
    </row>
    <row r="615" spans="1:6" ht="14">
      <c r="A615" s="100"/>
      <c r="B615" s="197"/>
      <c r="C615" s="198"/>
      <c r="D615" s="198"/>
      <c r="E615" s="200"/>
      <c r="F615" s="201"/>
    </row>
    <row r="616" spans="1:6" ht="14">
      <c r="A616" s="100"/>
      <c r="B616" s="197"/>
      <c r="C616" s="198"/>
      <c r="D616" s="198"/>
      <c r="E616" s="200"/>
      <c r="F616" s="201"/>
    </row>
    <row r="617" spans="1:6" ht="14">
      <c r="A617" s="100"/>
      <c r="B617" s="197"/>
      <c r="C617" s="198"/>
      <c r="D617" s="198"/>
      <c r="E617" s="200"/>
      <c r="F617" s="201"/>
    </row>
    <row r="618" spans="1:6" ht="14">
      <c r="A618" s="100"/>
      <c r="B618" s="197"/>
      <c r="C618" s="198"/>
      <c r="D618" s="198"/>
      <c r="E618" s="200"/>
      <c r="F618" s="201"/>
    </row>
    <row r="619" spans="1:6" ht="14">
      <c r="A619" s="100"/>
      <c r="B619" s="197"/>
      <c r="C619" s="198"/>
      <c r="D619" s="198"/>
      <c r="E619" s="200"/>
      <c r="F619" s="201"/>
    </row>
    <row r="620" spans="1:6" ht="14">
      <c r="A620" s="100"/>
      <c r="B620" s="197"/>
      <c r="C620" s="198"/>
      <c r="D620" s="198"/>
      <c r="E620" s="200"/>
      <c r="F620" s="201"/>
    </row>
    <row r="621" spans="1:6" ht="14">
      <c r="A621" s="100"/>
      <c r="B621" s="197"/>
      <c r="C621" s="198"/>
      <c r="D621" s="198"/>
      <c r="E621" s="200"/>
      <c r="F621" s="201"/>
    </row>
    <row r="622" spans="1:6" ht="14">
      <c r="A622" s="100"/>
      <c r="B622" s="197"/>
      <c r="C622" s="198"/>
      <c r="D622" s="198"/>
      <c r="E622" s="200"/>
      <c r="F622" s="201"/>
    </row>
    <row r="623" spans="1:6" ht="14">
      <c r="A623" s="100"/>
      <c r="B623" s="197"/>
      <c r="C623" s="198"/>
      <c r="D623" s="198"/>
      <c r="E623" s="200"/>
      <c r="F623" s="201"/>
    </row>
    <row r="624" spans="1:6" ht="14">
      <c r="A624" s="100"/>
      <c r="B624" s="197"/>
      <c r="C624" s="198"/>
      <c r="D624" s="198"/>
      <c r="E624" s="200"/>
      <c r="F624" s="201"/>
    </row>
    <row r="625" spans="1:6" ht="14">
      <c r="A625" s="100"/>
      <c r="B625" s="197"/>
      <c r="C625" s="198"/>
      <c r="D625" s="198"/>
      <c r="E625" s="200"/>
      <c r="F625" s="201"/>
    </row>
    <row r="626" spans="1:6" ht="14">
      <c r="A626" s="100"/>
      <c r="B626" s="197"/>
      <c r="C626" s="198"/>
      <c r="D626" s="198"/>
      <c r="E626" s="200"/>
      <c r="F626" s="201"/>
    </row>
    <row r="627" spans="1:6" ht="14">
      <c r="A627" s="100"/>
      <c r="B627" s="197"/>
      <c r="C627" s="198"/>
      <c r="D627" s="198"/>
      <c r="E627" s="200"/>
      <c r="F627" s="201"/>
    </row>
    <row r="628" spans="1:6" ht="14">
      <c r="A628" s="100"/>
      <c r="B628" s="197"/>
      <c r="C628" s="198"/>
      <c r="D628" s="198"/>
      <c r="E628" s="200"/>
      <c r="F628" s="201"/>
    </row>
    <row r="629" spans="1:6" ht="14">
      <c r="A629" s="100"/>
      <c r="B629" s="197"/>
      <c r="C629" s="198"/>
      <c r="D629" s="198"/>
      <c r="E629" s="200"/>
      <c r="F629" s="201"/>
    </row>
    <row r="630" spans="1:6" ht="14">
      <c r="A630" s="100"/>
      <c r="B630" s="197"/>
      <c r="C630" s="198"/>
      <c r="D630" s="198"/>
      <c r="E630" s="200"/>
      <c r="F630" s="201"/>
    </row>
    <row r="631" spans="1:6" ht="14">
      <c r="A631" s="100"/>
      <c r="B631" s="197"/>
      <c r="C631" s="198"/>
      <c r="D631" s="198"/>
      <c r="E631" s="200"/>
      <c r="F631" s="201"/>
    </row>
    <row r="632" spans="1:6" ht="14">
      <c r="A632" s="100"/>
      <c r="B632" s="197"/>
      <c r="C632" s="198"/>
      <c r="D632" s="198"/>
      <c r="E632" s="200"/>
      <c r="F632" s="201"/>
    </row>
    <row r="633" spans="1:6" ht="14">
      <c r="A633" s="100"/>
      <c r="B633" s="197"/>
      <c r="C633" s="198"/>
      <c r="D633" s="198"/>
      <c r="E633" s="200"/>
      <c r="F633" s="201"/>
    </row>
    <row r="634" spans="1:6" ht="14">
      <c r="A634" s="100"/>
      <c r="B634" s="197"/>
      <c r="C634" s="198"/>
      <c r="D634" s="198"/>
      <c r="E634" s="200"/>
      <c r="F634" s="201"/>
    </row>
    <row r="635" spans="1:6" ht="14">
      <c r="A635" s="100"/>
      <c r="B635" s="197"/>
      <c r="C635" s="198"/>
      <c r="D635" s="198"/>
      <c r="E635" s="200"/>
      <c r="F635" s="201"/>
    </row>
    <row r="636" spans="1:6" ht="14">
      <c r="A636" s="100"/>
      <c r="B636" s="197"/>
      <c r="C636" s="198"/>
      <c r="D636" s="198"/>
      <c r="E636" s="200"/>
      <c r="F636" s="201"/>
    </row>
    <row r="637" spans="1:6" ht="14">
      <c r="A637" s="100"/>
      <c r="B637" s="197"/>
      <c r="C637" s="198"/>
      <c r="D637" s="198"/>
      <c r="E637" s="200"/>
      <c r="F637" s="201"/>
    </row>
    <row r="638" spans="1:6" ht="14">
      <c r="A638" s="100"/>
      <c r="B638" s="197"/>
      <c r="C638" s="198"/>
      <c r="D638" s="198"/>
      <c r="E638" s="200"/>
      <c r="F638" s="201"/>
    </row>
    <row r="639" spans="1:6" ht="14">
      <c r="A639" s="100"/>
      <c r="B639" s="197"/>
      <c r="C639" s="198"/>
      <c r="D639" s="198"/>
      <c r="E639" s="200"/>
      <c r="F639" s="201"/>
    </row>
    <row r="640" spans="1:6" ht="14">
      <c r="A640" s="100"/>
      <c r="B640" s="197"/>
      <c r="C640" s="198"/>
      <c r="D640" s="198"/>
      <c r="E640" s="200"/>
      <c r="F640" s="201"/>
    </row>
    <row r="641" spans="1:6" ht="14">
      <c r="A641" s="100"/>
      <c r="B641" s="197"/>
      <c r="C641" s="198"/>
      <c r="D641" s="198"/>
      <c r="E641" s="200"/>
      <c r="F641" s="201"/>
    </row>
    <row r="642" spans="1:6" ht="14">
      <c r="A642" s="100"/>
      <c r="B642" s="197"/>
      <c r="C642" s="198"/>
      <c r="D642" s="198"/>
      <c r="E642" s="200"/>
      <c r="F642" s="201"/>
    </row>
    <row r="643" spans="1:6" ht="14">
      <c r="A643" s="100"/>
      <c r="B643" s="197"/>
      <c r="C643" s="198"/>
      <c r="D643" s="198"/>
      <c r="E643" s="200"/>
      <c r="F643" s="201"/>
    </row>
    <row r="644" spans="1:6" ht="14">
      <c r="A644" s="100"/>
      <c r="B644" s="197"/>
      <c r="C644" s="198"/>
      <c r="D644" s="198"/>
      <c r="E644" s="200"/>
      <c r="F644" s="201"/>
    </row>
    <row r="645" spans="1:6" ht="14">
      <c r="A645" s="100"/>
      <c r="B645" s="197"/>
      <c r="C645" s="198"/>
      <c r="D645" s="198"/>
      <c r="E645" s="200"/>
      <c r="F645" s="201"/>
    </row>
    <row r="646" spans="1:6" ht="14">
      <c r="A646" s="100"/>
      <c r="B646" s="197"/>
      <c r="C646" s="198"/>
      <c r="D646" s="198"/>
      <c r="E646" s="200"/>
      <c r="F646" s="201"/>
    </row>
    <row r="647" spans="1:6" ht="14">
      <c r="A647" s="100"/>
      <c r="B647" s="197"/>
      <c r="C647" s="198"/>
      <c r="D647" s="198"/>
      <c r="E647" s="200"/>
      <c r="F647" s="201"/>
    </row>
    <row r="648" spans="1:6" ht="14">
      <c r="A648" s="100"/>
      <c r="B648" s="197"/>
      <c r="C648" s="198"/>
      <c r="D648" s="198"/>
      <c r="E648" s="200"/>
      <c r="F648" s="201"/>
    </row>
    <row r="649" spans="1:6" ht="14">
      <c r="A649" s="100"/>
      <c r="B649" s="197"/>
      <c r="C649" s="198"/>
      <c r="D649" s="198"/>
      <c r="E649" s="200"/>
      <c r="F649" s="201"/>
    </row>
    <row r="650" spans="1:6" ht="14">
      <c r="A650" s="100"/>
      <c r="B650" s="197"/>
      <c r="C650" s="198"/>
      <c r="D650" s="198"/>
      <c r="E650" s="200"/>
      <c r="F650" s="201"/>
    </row>
    <row r="651" spans="1:6" ht="14">
      <c r="A651" s="100"/>
      <c r="B651" s="197"/>
      <c r="C651" s="198"/>
      <c r="D651" s="198"/>
      <c r="E651" s="200"/>
      <c r="F651" s="201"/>
    </row>
    <row r="652" spans="1:6" ht="14">
      <c r="A652" s="100"/>
      <c r="B652" s="197"/>
      <c r="C652" s="198"/>
      <c r="D652" s="198"/>
      <c r="E652" s="200"/>
      <c r="F652" s="201"/>
    </row>
    <row r="653" spans="1:6" ht="14">
      <c r="A653" s="100"/>
      <c r="B653" s="197"/>
      <c r="C653" s="198"/>
      <c r="D653" s="198"/>
      <c r="E653" s="200"/>
      <c r="F653" s="201"/>
    </row>
    <row r="654" spans="1:6" ht="14">
      <c r="A654" s="100"/>
      <c r="B654" s="197"/>
      <c r="C654" s="198"/>
      <c r="D654" s="198"/>
      <c r="E654" s="200"/>
      <c r="F654" s="201"/>
    </row>
    <row r="655" spans="1:6" ht="14">
      <c r="A655" s="100"/>
      <c r="B655" s="197"/>
      <c r="C655" s="198"/>
      <c r="D655" s="198"/>
      <c r="E655" s="200"/>
      <c r="F655" s="201"/>
    </row>
    <row r="656" spans="1:6" ht="14">
      <c r="A656" s="100"/>
      <c r="B656" s="197"/>
      <c r="C656" s="198"/>
      <c r="D656" s="198"/>
      <c r="E656" s="200"/>
      <c r="F656" s="201"/>
    </row>
    <row r="657" spans="1:6" ht="14">
      <c r="A657" s="100"/>
      <c r="B657" s="197"/>
      <c r="C657" s="198"/>
      <c r="D657" s="198"/>
      <c r="E657" s="200"/>
      <c r="F657" s="201"/>
    </row>
    <row r="658" spans="1:6" ht="14">
      <c r="A658" s="100"/>
      <c r="B658" s="197"/>
      <c r="C658" s="198"/>
      <c r="D658" s="198"/>
      <c r="E658" s="200"/>
      <c r="F658" s="201"/>
    </row>
    <row r="659" spans="1:6" ht="14">
      <c r="A659" s="100"/>
      <c r="B659" s="197"/>
      <c r="C659" s="198"/>
      <c r="D659" s="198"/>
      <c r="E659" s="200"/>
      <c r="F659" s="201"/>
    </row>
    <row r="660" spans="1:6" ht="14">
      <c r="A660" s="100"/>
      <c r="B660" s="197"/>
      <c r="C660" s="198"/>
      <c r="D660" s="198"/>
      <c r="E660" s="200"/>
      <c r="F660" s="201"/>
    </row>
    <row r="661" spans="1:6" ht="14">
      <c r="A661" s="100"/>
      <c r="B661" s="197"/>
      <c r="C661" s="198"/>
      <c r="D661" s="198"/>
      <c r="E661" s="200"/>
      <c r="F661" s="201"/>
    </row>
    <row r="662" spans="1:6" ht="14">
      <c r="A662" s="100"/>
      <c r="B662" s="197"/>
      <c r="C662" s="198"/>
      <c r="D662" s="198"/>
      <c r="E662" s="200"/>
      <c r="F662" s="201"/>
    </row>
    <row r="663" spans="1:6" ht="14">
      <c r="A663" s="100"/>
      <c r="B663" s="197"/>
      <c r="C663" s="198"/>
      <c r="D663" s="198"/>
      <c r="E663" s="200"/>
      <c r="F663" s="201"/>
    </row>
    <row r="664" spans="1:6" ht="14">
      <c r="A664" s="100"/>
      <c r="B664" s="197"/>
      <c r="C664" s="198"/>
      <c r="D664" s="198"/>
      <c r="E664" s="200"/>
      <c r="F664" s="201"/>
    </row>
    <row r="665" spans="1:6" ht="14">
      <c r="A665" s="100"/>
      <c r="B665" s="197"/>
      <c r="C665" s="198"/>
      <c r="D665" s="198"/>
      <c r="E665" s="200"/>
      <c r="F665" s="201"/>
    </row>
    <row r="666" spans="1:6" ht="14">
      <c r="A666" s="100"/>
      <c r="B666" s="197"/>
      <c r="C666" s="198"/>
      <c r="D666" s="198"/>
      <c r="E666" s="200"/>
      <c r="F666" s="201"/>
    </row>
    <row r="667" spans="1:6" ht="14">
      <c r="A667" s="100"/>
      <c r="B667" s="197"/>
      <c r="C667" s="198"/>
      <c r="D667" s="198"/>
      <c r="E667" s="200"/>
      <c r="F667" s="201"/>
    </row>
    <row r="668" spans="1:6" ht="14">
      <c r="A668" s="100"/>
      <c r="B668" s="197"/>
      <c r="C668" s="198"/>
      <c r="D668" s="198"/>
      <c r="E668" s="200"/>
      <c r="F668" s="201"/>
    </row>
    <row r="669" spans="1:6" ht="14">
      <c r="A669" s="100"/>
      <c r="B669" s="197"/>
      <c r="C669" s="198"/>
      <c r="D669" s="198"/>
      <c r="E669" s="200"/>
      <c r="F669" s="201"/>
    </row>
    <row r="670" spans="1:6" ht="14">
      <c r="A670" s="100"/>
      <c r="B670" s="197"/>
      <c r="C670" s="198"/>
      <c r="D670" s="198"/>
      <c r="E670" s="200"/>
      <c r="F670" s="201"/>
    </row>
    <row r="671" spans="1:6" ht="14">
      <c r="A671" s="100"/>
      <c r="B671" s="197"/>
      <c r="C671" s="198"/>
      <c r="D671" s="198"/>
      <c r="E671" s="200"/>
      <c r="F671" s="201"/>
    </row>
    <row r="672" spans="1:6" ht="14">
      <c r="A672" s="100"/>
      <c r="B672" s="197"/>
      <c r="C672" s="198"/>
      <c r="D672" s="198"/>
      <c r="E672" s="200"/>
      <c r="F672" s="201"/>
    </row>
    <row r="673" spans="1:6" ht="14">
      <c r="A673" s="100"/>
      <c r="B673" s="197"/>
      <c r="C673" s="198"/>
      <c r="D673" s="198"/>
      <c r="E673" s="200"/>
      <c r="F673" s="201"/>
    </row>
    <row r="674" spans="1:6" ht="14">
      <c r="A674" s="100"/>
      <c r="B674" s="197"/>
      <c r="C674" s="198"/>
      <c r="D674" s="198"/>
      <c r="E674" s="200"/>
      <c r="F674" s="201"/>
    </row>
    <row r="675" spans="1:6" ht="14">
      <c r="A675" s="100"/>
      <c r="B675" s="197"/>
      <c r="C675" s="198"/>
      <c r="D675" s="198"/>
      <c r="E675" s="200"/>
      <c r="F675" s="201"/>
    </row>
    <row r="676" spans="1:6" ht="14">
      <c r="A676" s="100"/>
      <c r="B676" s="197"/>
      <c r="C676" s="198"/>
      <c r="D676" s="198"/>
      <c r="E676" s="200"/>
      <c r="F676" s="201"/>
    </row>
    <row r="677" spans="1:6" ht="14">
      <c r="A677" s="100"/>
      <c r="B677" s="197"/>
      <c r="C677" s="198"/>
      <c r="D677" s="198"/>
      <c r="E677" s="200"/>
      <c r="F677" s="201"/>
    </row>
    <row r="678" spans="1:6" ht="14">
      <c r="A678" s="100"/>
      <c r="B678" s="197"/>
      <c r="C678" s="198"/>
      <c r="D678" s="198"/>
      <c r="E678" s="200"/>
      <c r="F678" s="201"/>
    </row>
    <row r="679" spans="1:6" ht="14">
      <c r="A679" s="100"/>
      <c r="B679" s="197"/>
      <c r="C679" s="198"/>
      <c r="D679" s="198"/>
      <c r="E679" s="200"/>
      <c r="F679" s="201"/>
    </row>
    <row r="680" spans="1:6" ht="14">
      <c r="A680" s="100"/>
      <c r="B680" s="197"/>
      <c r="C680" s="198"/>
      <c r="D680" s="198"/>
      <c r="E680" s="200"/>
      <c r="F680" s="201"/>
    </row>
    <row r="681" spans="1:6" ht="14">
      <c r="A681" s="100"/>
      <c r="B681" s="197"/>
      <c r="C681" s="198"/>
      <c r="D681" s="198"/>
      <c r="E681" s="200"/>
      <c r="F681" s="201"/>
    </row>
    <row r="682" spans="1:6" ht="14">
      <c r="A682" s="100"/>
      <c r="B682" s="197"/>
      <c r="C682" s="198"/>
      <c r="D682" s="198"/>
      <c r="E682" s="200"/>
      <c r="F682" s="201"/>
    </row>
    <row r="683" spans="1:6" ht="14">
      <c r="A683" s="100"/>
      <c r="B683" s="197"/>
      <c r="C683" s="198"/>
      <c r="D683" s="198"/>
      <c r="E683" s="200"/>
      <c r="F683" s="201"/>
    </row>
    <row r="684" spans="1:6" ht="14">
      <c r="A684" s="100"/>
      <c r="B684" s="197"/>
      <c r="C684" s="198"/>
      <c r="D684" s="198"/>
      <c r="E684" s="200"/>
      <c r="F684" s="201"/>
    </row>
    <row r="685" spans="1:6" ht="14">
      <c r="A685" s="100"/>
      <c r="B685" s="197"/>
      <c r="C685" s="198"/>
      <c r="D685" s="198"/>
      <c r="E685" s="200"/>
      <c r="F685" s="201"/>
    </row>
    <row r="686" spans="1:6" ht="14">
      <c r="A686" s="100"/>
      <c r="B686" s="197"/>
      <c r="C686" s="198"/>
      <c r="D686" s="198"/>
      <c r="E686" s="200"/>
      <c r="F686" s="201"/>
    </row>
    <row r="687" spans="1:6" ht="14">
      <c r="A687" s="100"/>
      <c r="B687" s="197"/>
      <c r="C687" s="198"/>
      <c r="D687" s="198"/>
      <c r="E687" s="200"/>
      <c r="F687" s="201"/>
    </row>
    <row r="688" spans="1:6" ht="14">
      <c r="A688" s="100"/>
      <c r="B688" s="197"/>
      <c r="C688" s="198"/>
      <c r="D688" s="198"/>
      <c r="E688" s="200"/>
      <c r="F688" s="201"/>
    </row>
    <row r="689" spans="1:6" ht="14">
      <c r="A689" s="100"/>
      <c r="B689" s="197"/>
      <c r="C689" s="198"/>
      <c r="D689" s="198"/>
      <c r="E689" s="200"/>
      <c r="F689" s="201"/>
    </row>
    <row r="690" spans="1:6" ht="14">
      <c r="A690" s="100"/>
      <c r="B690" s="197"/>
      <c r="C690" s="198"/>
      <c r="D690" s="198"/>
      <c r="E690" s="200"/>
      <c r="F690" s="201"/>
    </row>
    <row r="691" spans="1:6" ht="14">
      <c r="A691" s="100"/>
      <c r="B691" s="197"/>
      <c r="C691" s="198"/>
      <c r="D691" s="198"/>
      <c r="E691" s="200"/>
      <c r="F691" s="201"/>
    </row>
    <row r="692" spans="1:6" ht="14">
      <c r="A692" s="100"/>
      <c r="B692" s="197"/>
      <c r="C692" s="198"/>
      <c r="D692" s="198"/>
      <c r="E692" s="200"/>
      <c r="F692" s="201"/>
    </row>
    <row r="693" spans="1:6" ht="14">
      <c r="A693" s="100"/>
      <c r="B693" s="197"/>
      <c r="C693" s="198"/>
      <c r="D693" s="198"/>
      <c r="E693" s="200"/>
      <c r="F693" s="201"/>
    </row>
    <row r="694" spans="1:6" ht="14">
      <c r="A694" s="100"/>
      <c r="B694" s="197"/>
      <c r="C694" s="198"/>
      <c r="D694" s="198"/>
      <c r="E694" s="200"/>
      <c r="F694" s="201"/>
    </row>
    <row r="695" spans="1:6" ht="14">
      <c r="A695" s="100"/>
      <c r="B695" s="197"/>
      <c r="C695" s="198"/>
      <c r="D695" s="198"/>
      <c r="E695" s="200"/>
      <c r="F695" s="201"/>
    </row>
    <row r="696" spans="1:6" ht="14">
      <c r="A696" s="100"/>
      <c r="B696" s="197"/>
      <c r="C696" s="198"/>
      <c r="D696" s="198"/>
      <c r="E696" s="200"/>
      <c r="F696" s="201"/>
    </row>
    <row r="697" spans="1:6" ht="14">
      <c r="A697" s="100"/>
      <c r="B697" s="197"/>
      <c r="C697" s="198"/>
      <c r="D697" s="198"/>
      <c r="E697" s="200"/>
      <c r="F697" s="201"/>
    </row>
    <row r="698" spans="1:6" ht="14">
      <c r="A698" s="100"/>
      <c r="B698" s="197"/>
      <c r="C698" s="198"/>
      <c r="D698" s="198"/>
      <c r="E698" s="200"/>
      <c r="F698" s="201"/>
    </row>
    <row r="699" spans="1:6" ht="14">
      <c r="A699" s="100"/>
      <c r="B699" s="197"/>
      <c r="C699" s="198"/>
      <c r="D699" s="198"/>
      <c r="E699" s="200"/>
      <c r="F699" s="201"/>
    </row>
    <row r="700" spans="1:6" ht="14">
      <c r="A700" s="100"/>
      <c r="B700" s="197"/>
      <c r="C700" s="198"/>
      <c r="D700" s="198"/>
      <c r="E700" s="200"/>
      <c r="F700" s="201"/>
    </row>
    <row r="701" spans="1:6" ht="14">
      <c r="A701" s="100"/>
      <c r="B701" s="197"/>
      <c r="C701" s="198"/>
      <c r="D701" s="198"/>
      <c r="E701" s="200"/>
      <c r="F701" s="201"/>
    </row>
    <row r="702" spans="1:6" ht="14">
      <c r="A702" s="100"/>
      <c r="B702" s="197"/>
      <c r="C702" s="198"/>
      <c r="D702" s="198"/>
      <c r="E702" s="200"/>
      <c r="F702" s="201"/>
    </row>
    <row r="703" spans="1:6" ht="14">
      <c r="A703" s="100"/>
      <c r="B703" s="197"/>
      <c r="C703" s="198"/>
      <c r="D703" s="198"/>
      <c r="E703" s="200"/>
      <c r="F703" s="201"/>
    </row>
    <row r="704" spans="1:6" ht="14">
      <c r="A704" s="100"/>
      <c r="B704" s="197"/>
      <c r="C704" s="198"/>
      <c r="D704" s="198"/>
      <c r="E704" s="200"/>
      <c r="F704" s="201"/>
    </row>
    <row r="705" spans="1:6" ht="14">
      <c r="A705" s="100"/>
      <c r="B705" s="197"/>
      <c r="C705" s="198"/>
      <c r="D705" s="198"/>
      <c r="E705" s="200"/>
      <c r="F705" s="201"/>
    </row>
    <row r="706" spans="1:6" ht="14">
      <c r="A706" s="100"/>
      <c r="B706" s="197"/>
      <c r="C706" s="198"/>
      <c r="D706" s="198"/>
      <c r="E706" s="200"/>
      <c r="F706" s="201"/>
    </row>
    <row r="707" spans="1:6" ht="14">
      <c r="A707" s="100"/>
      <c r="B707" s="197"/>
      <c r="C707" s="198"/>
      <c r="D707" s="198"/>
      <c r="E707" s="200"/>
      <c r="F707" s="201"/>
    </row>
    <row r="708" spans="1:6" ht="14">
      <c r="A708" s="100"/>
      <c r="B708" s="197"/>
      <c r="C708" s="198"/>
      <c r="D708" s="198"/>
      <c r="E708" s="200"/>
      <c r="F708" s="201"/>
    </row>
    <row r="709" spans="1:6" ht="14">
      <c r="A709" s="100"/>
      <c r="B709" s="197"/>
      <c r="C709" s="198"/>
      <c r="D709" s="198"/>
      <c r="E709" s="200"/>
      <c r="F709" s="201"/>
    </row>
    <row r="710" spans="1:6" ht="14">
      <c r="A710" s="100"/>
      <c r="B710" s="197"/>
      <c r="C710" s="198"/>
      <c r="D710" s="198"/>
      <c r="E710" s="200"/>
      <c r="F710" s="201"/>
    </row>
    <row r="711" spans="1:6" ht="14">
      <c r="A711" s="100"/>
      <c r="B711" s="197"/>
      <c r="C711" s="198"/>
      <c r="D711" s="198"/>
      <c r="E711" s="200"/>
      <c r="F711" s="201"/>
    </row>
    <row r="712" spans="1:6" ht="14">
      <c r="A712" s="100"/>
      <c r="B712" s="197"/>
      <c r="C712" s="198"/>
      <c r="D712" s="198"/>
      <c r="E712" s="200"/>
      <c r="F712" s="201"/>
    </row>
    <row r="713" spans="1:6" ht="14">
      <c r="A713" s="100"/>
      <c r="B713" s="197"/>
      <c r="C713" s="198"/>
      <c r="D713" s="198"/>
      <c r="E713" s="200"/>
      <c r="F713" s="201"/>
    </row>
    <row r="714" spans="1:6" ht="14">
      <c r="A714" s="100"/>
      <c r="B714" s="197"/>
      <c r="C714" s="198"/>
      <c r="D714" s="198"/>
      <c r="E714" s="200"/>
      <c r="F714" s="201"/>
    </row>
    <row r="715" spans="1:6" ht="14">
      <c r="A715" s="100"/>
      <c r="B715" s="197"/>
      <c r="C715" s="198"/>
      <c r="D715" s="198"/>
      <c r="E715" s="200"/>
      <c r="F715" s="201"/>
    </row>
    <row r="716" spans="1:6" ht="14">
      <c r="A716" s="100"/>
      <c r="B716" s="197"/>
      <c r="C716" s="198"/>
      <c r="D716" s="198"/>
      <c r="E716" s="200"/>
      <c r="F716" s="201"/>
    </row>
    <row r="717" spans="1:6" ht="14">
      <c r="A717" s="100"/>
      <c r="B717" s="197"/>
      <c r="C717" s="198"/>
      <c r="D717" s="198"/>
      <c r="E717" s="200"/>
      <c r="F717" s="201"/>
    </row>
    <row r="718" spans="1:6" ht="14">
      <c r="A718" s="100"/>
      <c r="B718" s="197"/>
      <c r="C718" s="198"/>
      <c r="D718" s="198"/>
      <c r="E718" s="200"/>
      <c r="F718" s="201"/>
    </row>
    <row r="719" spans="1:6" ht="14">
      <c r="A719" s="100"/>
      <c r="B719" s="197"/>
      <c r="C719" s="198"/>
      <c r="D719" s="198"/>
      <c r="E719" s="200"/>
      <c r="F719" s="201"/>
    </row>
    <row r="720" spans="1:6" ht="14">
      <c r="A720" s="100"/>
      <c r="B720" s="197"/>
      <c r="C720" s="198"/>
      <c r="D720" s="198"/>
      <c r="E720" s="200"/>
      <c r="F720" s="201"/>
    </row>
    <row r="721" spans="1:6" ht="14">
      <c r="A721" s="100"/>
      <c r="B721" s="197"/>
      <c r="C721" s="198"/>
      <c r="D721" s="198"/>
      <c r="E721" s="200"/>
      <c r="F721" s="201"/>
    </row>
    <row r="722" spans="1:6" ht="14">
      <c r="A722" s="100"/>
      <c r="B722" s="197"/>
      <c r="C722" s="198"/>
      <c r="D722" s="198"/>
      <c r="E722" s="200"/>
      <c r="F722" s="201"/>
    </row>
    <row r="723" spans="1:6" ht="14">
      <c r="A723" s="100"/>
      <c r="B723" s="197"/>
      <c r="C723" s="198"/>
      <c r="D723" s="198"/>
      <c r="E723" s="200"/>
      <c r="F723" s="201"/>
    </row>
    <row r="724" spans="1:6" ht="14">
      <c r="A724" s="100"/>
      <c r="B724" s="197"/>
      <c r="C724" s="198"/>
      <c r="D724" s="198"/>
      <c r="E724" s="200"/>
      <c r="F724" s="201"/>
    </row>
    <row r="725" spans="1:6" ht="14">
      <c r="A725" s="100"/>
      <c r="B725" s="197"/>
      <c r="C725" s="198"/>
      <c r="D725" s="198"/>
      <c r="E725" s="200"/>
      <c r="F725" s="201"/>
    </row>
    <row r="726" spans="1:6" ht="14">
      <c r="A726" s="100"/>
      <c r="B726" s="197"/>
      <c r="C726" s="198"/>
      <c r="D726" s="198"/>
      <c r="E726" s="200"/>
      <c r="F726" s="201"/>
    </row>
    <row r="727" spans="1:6" ht="14">
      <c r="A727" s="100"/>
      <c r="B727" s="197"/>
      <c r="C727" s="198"/>
      <c r="D727" s="198"/>
      <c r="E727" s="200"/>
      <c r="F727" s="201"/>
    </row>
    <row r="728" spans="1:6" ht="14">
      <c r="A728" s="100"/>
      <c r="B728" s="197"/>
      <c r="C728" s="198"/>
      <c r="D728" s="198"/>
      <c r="E728" s="200"/>
      <c r="F728" s="201"/>
    </row>
    <row r="729" spans="1:6" ht="14">
      <c r="A729" s="100"/>
      <c r="B729" s="197"/>
      <c r="C729" s="198"/>
      <c r="D729" s="198"/>
      <c r="E729" s="200"/>
      <c r="F729" s="201"/>
    </row>
    <row r="730" spans="1:6" ht="14">
      <c r="A730" s="100"/>
      <c r="B730" s="197"/>
      <c r="C730" s="198"/>
      <c r="D730" s="198"/>
      <c r="E730" s="200"/>
      <c r="F730" s="201"/>
    </row>
    <row r="731" spans="1:6" ht="14">
      <c r="A731" s="100"/>
      <c r="B731" s="197"/>
      <c r="C731" s="198"/>
      <c r="D731" s="198"/>
      <c r="E731" s="200"/>
      <c r="F731" s="201"/>
    </row>
    <row r="732" spans="1:6" ht="14">
      <c r="A732" s="100"/>
      <c r="B732" s="197"/>
      <c r="C732" s="198"/>
      <c r="D732" s="198"/>
      <c r="E732" s="200"/>
      <c r="F732" s="201"/>
    </row>
    <row r="733" spans="1:6" ht="14">
      <c r="A733" s="100"/>
      <c r="B733" s="197"/>
      <c r="C733" s="198"/>
      <c r="D733" s="198"/>
      <c r="E733" s="200"/>
      <c r="F733" s="201"/>
    </row>
    <row r="734" spans="1:6" ht="14">
      <c r="A734" s="100"/>
      <c r="B734" s="197"/>
      <c r="C734" s="198"/>
      <c r="D734" s="198"/>
      <c r="E734" s="200"/>
      <c r="F734" s="201"/>
    </row>
    <row r="735" spans="1:6" ht="14">
      <c r="A735" s="100"/>
      <c r="B735" s="197"/>
      <c r="C735" s="198"/>
      <c r="D735" s="198"/>
      <c r="E735" s="200"/>
      <c r="F735" s="201"/>
    </row>
    <row r="736" spans="1:6" ht="14">
      <c r="A736" s="100"/>
      <c r="B736" s="197"/>
      <c r="C736" s="198"/>
      <c r="D736" s="198"/>
      <c r="E736" s="200"/>
      <c r="F736" s="201"/>
    </row>
    <row r="737" spans="1:6" ht="14">
      <c r="A737" s="100"/>
      <c r="B737" s="197"/>
      <c r="C737" s="198"/>
      <c r="D737" s="198"/>
      <c r="E737" s="200"/>
      <c r="F737" s="201"/>
    </row>
    <row r="738" spans="1:6" ht="14">
      <c r="A738" s="100"/>
      <c r="B738" s="197"/>
      <c r="C738" s="198"/>
      <c r="D738" s="198"/>
      <c r="E738" s="200"/>
      <c r="F738" s="201"/>
    </row>
    <row r="739" spans="1:6" ht="14">
      <c r="A739" s="100"/>
      <c r="B739" s="197"/>
      <c r="C739" s="198"/>
      <c r="D739" s="198"/>
      <c r="E739" s="200"/>
      <c r="F739" s="201"/>
    </row>
    <row r="740" spans="1:6" ht="14">
      <c r="A740" s="100"/>
      <c r="B740" s="197"/>
      <c r="C740" s="198"/>
      <c r="D740" s="198"/>
      <c r="E740" s="200"/>
      <c r="F740" s="201"/>
    </row>
    <row r="741" spans="1:6" ht="14">
      <c r="A741" s="100"/>
      <c r="B741" s="197"/>
      <c r="C741" s="198"/>
      <c r="D741" s="198"/>
      <c r="E741" s="200"/>
      <c r="F741" s="201"/>
    </row>
    <row r="742" spans="1:6" ht="14">
      <c r="A742" s="100"/>
      <c r="B742" s="197"/>
      <c r="C742" s="198"/>
      <c r="D742" s="198"/>
      <c r="E742" s="200"/>
      <c r="F742" s="201"/>
    </row>
    <row r="743" spans="1:6" ht="14">
      <c r="A743" s="100"/>
      <c r="B743" s="197"/>
      <c r="C743" s="198"/>
      <c r="D743" s="198"/>
      <c r="E743" s="200"/>
      <c r="F743" s="201"/>
    </row>
    <row r="744" spans="1:6" ht="14">
      <c r="A744" s="100"/>
      <c r="B744" s="197"/>
      <c r="C744" s="198"/>
      <c r="D744" s="198"/>
      <c r="E744" s="200"/>
      <c r="F744" s="201"/>
    </row>
    <row r="745" spans="1:6" ht="14">
      <c r="A745" s="100"/>
      <c r="B745" s="197"/>
      <c r="C745" s="198"/>
      <c r="D745" s="198"/>
      <c r="E745" s="200"/>
      <c r="F745" s="201"/>
    </row>
    <row r="746" spans="1:6" ht="14">
      <c r="A746" s="100"/>
      <c r="B746" s="197"/>
      <c r="C746" s="198"/>
      <c r="D746" s="198"/>
      <c r="E746" s="200"/>
      <c r="F746" s="201"/>
    </row>
    <row r="747" spans="1:6" ht="14">
      <c r="A747" s="100"/>
      <c r="B747" s="197"/>
      <c r="C747" s="198"/>
      <c r="D747" s="198"/>
      <c r="E747" s="200"/>
      <c r="F747" s="201"/>
    </row>
    <row r="748" spans="1:6" ht="14">
      <c r="A748" s="100"/>
      <c r="B748" s="197"/>
      <c r="C748" s="198"/>
      <c r="D748" s="198"/>
      <c r="E748" s="200"/>
      <c r="F748" s="201"/>
    </row>
    <row r="749" spans="1:6" ht="14">
      <c r="A749" s="100"/>
      <c r="B749" s="197"/>
      <c r="C749" s="198"/>
      <c r="D749" s="198"/>
      <c r="E749" s="200"/>
      <c r="F749" s="201"/>
    </row>
    <row r="750" spans="1:6" ht="14">
      <c r="A750" s="100"/>
      <c r="B750" s="197"/>
      <c r="C750" s="198"/>
      <c r="D750" s="198"/>
      <c r="E750" s="200"/>
      <c r="F750" s="201"/>
    </row>
    <row r="751" spans="1:6" ht="14">
      <c r="A751" s="100"/>
      <c r="B751" s="197"/>
      <c r="C751" s="198"/>
      <c r="D751" s="198"/>
      <c r="E751" s="200"/>
      <c r="F751" s="201"/>
    </row>
    <row r="752" spans="1:6" ht="14">
      <c r="A752" s="100"/>
      <c r="B752" s="197"/>
      <c r="C752" s="198"/>
      <c r="D752" s="198"/>
      <c r="E752" s="200"/>
      <c r="F752" s="201"/>
    </row>
    <row r="753" spans="1:6" ht="14">
      <c r="A753" s="100"/>
      <c r="B753" s="197"/>
      <c r="C753" s="198"/>
      <c r="D753" s="198"/>
      <c r="E753" s="200"/>
      <c r="F753" s="201"/>
    </row>
    <row r="754" spans="1:6" ht="14">
      <c r="A754" s="100"/>
      <c r="B754" s="197"/>
      <c r="C754" s="198"/>
      <c r="D754" s="198"/>
      <c r="E754" s="200"/>
      <c r="F754" s="201"/>
    </row>
    <row r="755" spans="1:6" ht="14">
      <c r="A755" s="100"/>
      <c r="B755" s="197"/>
      <c r="C755" s="198"/>
      <c r="D755" s="198"/>
      <c r="E755" s="200"/>
      <c r="F755" s="201"/>
    </row>
    <row r="756" spans="1:6" ht="14">
      <c r="A756" s="100"/>
      <c r="B756" s="197"/>
      <c r="C756" s="198"/>
      <c r="D756" s="198"/>
      <c r="E756" s="200"/>
      <c r="F756" s="201"/>
    </row>
    <row r="757" spans="1:6" ht="14">
      <c r="A757" s="100"/>
      <c r="B757" s="197"/>
      <c r="C757" s="198"/>
      <c r="D757" s="198"/>
      <c r="E757" s="200"/>
      <c r="F757" s="201"/>
    </row>
    <row r="758" spans="1:6" ht="14">
      <c r="A758" s="100"/>
      <c r="B758" s="197"/>
      <c r="C758" s="198"/>
      <c r="D758" s="198"/>
      <c r="E758" s="200"/>
      <c r="F758" s="201"/>
    </row>
    <row r="759" spans="1:6" ht="14">
      <c r="A759" s="100"/>
      <c r="B759" s="197"/>
      <c r="C759" s="198"/>
      <c r="D759" s="198"/>
      <c r="E759" s="200"/>
      <c r="F759" s="201"/>
    </row>
    <row r="760" spans="1:6" ht="14">
      <c r="A760" s="100"/>
      <c r="B760" s="197"/>
      <c r="C760" s="198"/>
      <c r="D760" s="198"/>
      <c r="E760" s="200"/>
      <c r="F760" s="201"/>
    </row>
    <row r="761" spans="1:6" ht="14">
      <c r="A761" s="100"/>
      <c r="B761" s="197"/>
      <c r="C761" s="198"/>
      <c r="D761" s="198"/>
      <c r="E761" s="200"/>
      <c r="F761" s="201"/>
    </row>
    <row r="762" spans="1:6" ht="14">
      <c r="A762" s="100"/>
      <c r="B762" s="197"/>
      <c r="C762" s="198"/>
      <c r="D762" s="198"/>
      <c r="E762" s="200"/>
      <c r="F762" s="201"/>
    </row>
    <row r="763" spans="1:6" ht="14">
      <c r="A763" s="100"/>
      <c r="B763" s="197"/>
      <c r="C763" s="198"/>
      <c r="D763" s="198"/>
      <c r="E763" s="200"/>
      <c r="F763" s="201"/>
    </row>
    <row r="764" spans="1:6" ht="14">
      <c r="A764" s="100"/>
      <c r="B764" s="197"/>
      <c r="C764" s="198"/>
      <c r="D764" s="198"/>
      <c r="E764" s="200"/>
      <c r="F764" s="201"/>
    </row>
    <row r="765" spans="1:6" ht="14">
      <c r="A765" s="100"/>
      <c r="B765" s="197"/>
      <c r="C765" s="198"/>
      <c r="D765" s="198"/>
      <c r="E765" s="200"/>
      <c r="F765" s="201"/>
    </row>
    <row r="766" spans="1:6" ht="14">
      <c r="A766" s="100"/>
      <c r="B766" s="197"/>
      <c r="C766" s="198"/>
      <c r="D766" s="198"/>
      <c r="E766" s="200"/>
      <c r="F766" s="201"/>
    </row>
    <row r="767" spans="1:6" ht="14">
      <c r="A767" s="100"/>
      <c r="B767" s="197"/>
      <c r="C767" s="198"/>
      <c r="D767" s="198"/>
      <c r="E767" s="200"/>
      <c r="F767" s="201"/>
    </row>
    <row r="768" spans="1:6" ht="14">
      <c r="A768" s="100"/>
      <c r="B768" s="197"/>
      <c r="C768" s="198"/>
      <c r="D768" s="198"/>
      <c r="E768" s="200"/>
      <c r="F768" s="201"/>
    </row>
    <row r="769" spans="1:6" ht="14">
      <c r="A769" s="100"/>
      <c r="B769" s="197"/>
      <c r="C769" s="198"/>
      <c r="D769" s="198"/>
      <c r="E769" s="200"/>
      <c r="F769" s="201"/>
    </row>
    <row r="770" spans="1:6" ht="14">
      <c r="A770" s="100"/>
      <c r="B770" s="197"/>
      <c r="C770" s="198"/>
      <c r="D770" s="198"/>
      <c r="E770" s="200"/>
      <c r="F770" s="201"/>
    </row>
    <row r="771" spans="1:6" ht="14">
      <c r="A771" s="100"/>
      <c r="B771" s="197"/>
      <c r="C771" s="198"/>
      <c r="D771" s="198"/>
      <c r="E771" s="200"/>
      <c r="F771" s="201"/>
    </row>
    <row r="772" spans="1:6" ht="14">
      <c r="A772" s="100"/>
      <c r="B772" s="197"/>
      <c r="C772" s="198"/>
      <c r="D772" s="198"/>
      <c r="E772" s="200"/>
      <c r="F772" s="201"/>
    </row>
    <row r="773" spans="1:6" ht="14">
      <c r="A773" s="100"/>
      <c r="B773" s="197"/>
      <c r="C773" s="198"/>
      <c r="D773" s="198"/>
      <c r="E773" s="200"/>
      <c r="F773" s="201"/>
    </row>
    <row r="774" spans="1:6" ht="14">
      <c r="A774" s="100"/>
      <c r="B774" s="197"/>
      <c r="C774" s="198"/>
      <c r="D774" s="198"/>
      <c r="E774" s="200"/>
      <c r="F774" s="201"/>
    </row>
    <row r="775" spans="1:6" ht="14">
      <c r="A775" s="100"/>
      <c r="B775" s="197"/>
      <c r="C775" s="198"/>
      <c r="D775" s="198"/>
      <c r="E775" s="200"/>
      <c r="F775" s="201"/>
    </row>
    <row r="776" spans="1:6" ht="14">
      <c r="A776" s="100"/>
      <c r="B776" s="197"/>
      <c r="C776" s="198"/>
      <c r="D776" s="198"/>
      <c r="E776" s="200"/>
      <c r="F776" s="201"/>
    </row>
    <row r="777" spans="1:6" ht="14">
      <c r="A777" s="100"/>
      <c r="B777" s="197"/>
      <c r="C777" s="198"/>
      <c r="D777" s="198"/>
      <c r="E777" s="200"/>
      <c r="F777" s="201"/>
    </row>
    <row r="778" spans="1:6" ht="14">
      <c r="A778" s="100"/>
      <c r="B778" s="197"/>
      <c r="C778" s="198"/>
      <c r="D778" s="198"/>
      <c r="E778" s="200"/>
      <c r="F778" s="201"/>
    </row>
    <row r="779" spans="1:6" ht="14">
      <c r="A779" s="100"/>
      <c r="B779" s="197"/>
      <c r="C779" s="198"/>
      <c r="D779" s="198"/>
      <c r="E779" s="200"/>
      <c r="F779" s="201"/>
    </row>
    <row r="780" spans="1:6" ht="14">
      <c r="A780" s="100"/>
      <c r="B780" s="197"/>
      <c r="C780" s="198"/>
      <c r="D780" s="198"/>
      <c r="E780" s="200"/>
      <c r="F780" s="201"/>
    </row>
    <row r="781" spans="1:6" ht="14">
      <c r="A781" s="100"/>
      <c r="B781" s="197"/>
      <c r="C781" s="198"/>
      <c r="D781" s="198"/>
      <c r="E781" s="200"/>
      <c r="F781" s="201"/>
    </row>
    <row r="782" spans="1:6" ht="14">
      <c r="A782" s="100"/>
      <c r="B782" s="197"/>
      <c r="C782" s="198"/>
      <c r="D782" s="198"/>
      <c r="E782" s="200"/>
      <c r="F782" s="201"/>
    </row>
    <row r="783" spans="1:6" ht="14">
      <c r="A783" s="100"/>
      <c r="B783" s="197"/>
      <c r="C783" s="198"/>
      <c r="D783" s="198"/>
      <c r="E783" s="200"/>
      <c r="F783" s="201"/>
    </row>
    <row r="784" spans="1:6" ht="14">
      <c r="A784" s="100"/>
      <c r="B784" s="197"/>
      <c r="C784" s="198"/>
      <c r="D784" s="198"/>
      <c r="E784" s="200"/>
      <c r="F784" s="201"/>
    </row>
    <row r="785" spans="1:6" ht="14">
      <c r="A785" s="100"/>
      <c r="B785" s="197"/>
      <c r="C785" s="198"/>
      <c r="D785" s="198"/>
      <c r="E785" s="200"/>
      <c r="F785" s="201"/>
    </row>
    <row r="786" spans="1:6" ht="14">
      <c r="A786" s="100"/>
      <c r="B786" s="197"/>
      <c r="C786" s="198"/>
      <c r="D786" s="198"/>
      <c r="E786" s="200"/>
      <c r="F786" s="201"/>
    </row>
    <row r="787" spans="1:6" ht="14">
      <c r="A787" s="100"/>
      <c r="B787" s="197"/>
      <c r="C787" s="198"/>
      <c r="D787" s="198"/>
      <c r="E787" s="200"/>
      <c r="F787" s="201"/>
    </row>
    <row r="788" spans="1:6" ht="14">
      <c r="A788" s="100"/>
      <c r="B788" s="197"/>
      <c r="C788" s="198"/>
      <c r="D788" s="198"/>
      <c r="E788" s="200"/>
      <c r="F788" s="201"/>
    </row>
    <row r="789" spans="1:6" ht="14">
      <c r="A789" s="100"/>
      <c r="B789" s="197"/>
      <c r="C789" s="198"/>
      <c r="D789" s="198"/>
      <c r="E789" s="200"/>
      <c r="F789" s="201"/>
    </row>
    <row r="790" spans="1:6" ht="14">
      <c r="A790" s="100"/>
      <c r="B790" s="197"/>
      <c r="C790" s="198"/>
      <c r="D790" s="198"/>
      <c r="E790" s="200"/>
      <c r="F790" s="201"/>
    </row>
    <row r="791" spans="1:6" ht="14">
      <c r="A791" s="100"/>
      <c r="B791" s="197"/>
      <c r="C791" s="198"/>
      <c r="D791" s="198"/>
      <c r="E791" s="200"/>
      <c r="F791" s="201"/>
    </row>
    <row r="792" spans="1:6" ht="14">
      <c r="A792" s="100"/>
      <c r="B792" s="197"/>
      <c r="C792" s="198"/>
      <c r="D792" s="198"/>
      <c r="E792" s="200"/>
      <c r="F792" s="201"/>
    </row>
    <row r="793" spans="1:6" ht="14">
      <c r="A793" s="100"/>
      <c r="B793" s="197"/>
      <c r="C793" s="198"/>
      <c r="D793" s="198"/>
      <c r="E793" s="200"/>
      <c r="F793" s="201"/>
    </row>
    <row r="794" spans="1:6" ht="14">
      <c r="A794" s="100"/>
      <c r="B794" s="197"/>
      <c r="C794" s="198"/>
      <c r="D794" s="198"/>
      <c r="E794" s="200"/>
      <c r="F794" s="201"/>
    </row>
    <row r="795" spans="1:6" ht="14">
      <c r="A795" s="100"/>
      <c r="B795" s="197"/>
      <c r="C795" s="198"/>
      <c r="D795" s="198"/>
      <c r="E795" s="200"/>
      <c r="F795" s="201"/>
    </row>
    <row r="796" spans="1:6" ht="14">
      <c r="A796" s="100"/>
      <c r="B796" s="197"/>
      <c r="C796" s="198"/>
      <c r="D796" s="198"/>
      <c r="E796" s="200"/>
      <c r="F796" s="201"/>
    </row>
    <row r="797" spans="1:6" ht="14">
      <c r="A797" s="100"/>
      <c r="B797" s="197"/>
      <c r="C797" s="198"/>
      <c r="D797" s="198"/>
      <c r="E797" s="200"/>
      <c r="F797" s="201"/>
    </row>
    <row r="798" spans="1:6" ht="14">
      <c r="A798" s="100"/>
      <c r="B798" s="197"/>
      <c r="C798" s="198"/>
      <c r="D798" s="198"/>
      <c r="E798" s="200"/>
      <c r="F798" s="201"/>
    </row>
    <row r="799" spans="1:6" ht="14">
      <c r="A799" s="100"/>
      <c r="B799" s="197"/>
      <c r="C799" s="198"/>
      <c r="D799" s="198"/>
      <c r="E799" s="200"/>
      <c r="F799" s="201"/>
    </row>
    <row r="800" spans="1:6" ht="14">
      <c r="A800" s="100"/>
      <c r="B800" s="197"/>
      <c r="C800" s="198"/>
      <c r="D800" s="198"/>
      <c r="E800" s="200"/>
      <c r="F800" s="201"/>
    </row>
    <row r="801" spans="1:6" ht="14">
      <c r="A801" s="100"/>
      <c r="B801" s="197"/>
      <c r="C801" s="198"/>
      <c r="D801" s="198"/>
      <c r="E801" s="200"/>
      <c r="F801" s="201"/>
    </row>
    <row r="802" spans="1:6" ht="14">
      <c r="A802" s="100"/>
      <c r="B802" s="197"/>
      <c r="C802" s="198"/>
      <c r="D802" s="198"/>
      <c r="E802" s="200"/>
      <c r="F802" s="201"/>
    </row>
    <row r="803" spans="1:6" ht="14">
      <c r="A803" s="100"/>
      <c r="B803" s="197"/>
      <c r="C803" s="198"/>
      <c r="D803" s="198"/>
      <c r="E803" s="200"/>
      <c r="F803" s="201"/>
    </row>
    <row r="804" spans="1:6" ht="14">
      <c r="A804" s="100"/>
      <c r="B804" s="197"/>
      <c r="C804" s="198"/>
      <c r="D804" s="198"/>
      <c r="E804" s="200"/>
      <c r="F804" s="201"/>
    </row>
    <row r="805" spans="1:6" ht="14">
      <c r="A805" s="100"/>
      <c r="B805" s="197"/>
      <c r="C805" s="198"/>
      <c r="D805" s="198"/>
      <c r="E805" s="200"/>
      <c r="F805" s="201"/>
    </row>
    <row r="806" spans="1:6" ht="14">
      <c r="A806" s="100"/>
      <c r="B806" s="197"/>
      <c r="C806" s="198"/>
      <c r="D806" s="198"/>
      <c r="E806" s="200"/>
      <c r="F806" s="201"/>
    </row>
    <row r="807" spans="1:6" ht="14">
      <c r="A807" s="100"/>
      <c r="B807" s="197"/>
      <c r="C807" s="198"/>
      <c r="D807" s="198"/>
      <c r="E807" s="200"/>
      <c r="F807" s="201"/>
    </row>
    <row r="808" spans="1:6" ht="14">
      <c r="A808" s="100"/>
      <c r="B808" s="197"/>
      <c r="C808" s="198"/>
      <c r="D808" s="198"/>
      <c r="E808" s="200"/>
      <c r="F808" s="201"/>
    </row>
    <row r="809" spans="1:6" ht="14">
      <c r="A809" s="100"/>
      <c r="B809" s="197"/>
      <c r="C809" s="198"/>
      <c r="D809" s="198"/>
      <c r="E809" s="200"/>
      <c r="F809" s="201"/>
    </row>
    <row r="810" spans="1:6" ht="14">
      <c r="A810" s="100"/>
      <c r="B810" s="197"/>
      <c r="C810" s="198"/>
      <c r="D810" s="198"/>
      <c r="E810" s="200"/>
      <c r="F810" s="201"/>
    </row>
    <row r="811" spans="1:6" ht="14">
      <c r="A811" s="100"/>
      <c r="B811" s="197"/>
      <c r="C811" s="198"/>
      <c r="D811" s="198"/>
      <c r="E811" s="200"/>
      <c r="F811" s="201"/>
    </row>
    <row r="812" spans="1:6" ht="14">
      <c r="A812" s="100"/>
      <c r="B812" s="197"/>
      <c r="C812" s="198"/>
      <c r="D812" s="198"/>
      <c r="E812" s="200"/>
      <c r="F812" s="201"/>
    </row>
    <row r="813" spans="1:6" ht="14">
      <c r="A813" s="100"/>
      <c r="B813" s="197"/>
      <c r="C813" s="198"/>
      <c r="D813" s="198"/>
      <c r="E813" s="200"/>
      <c r="F813" s="201"/>
    </row>
    <row r="814" spans="1:6" ht="14">
      <c r="A814" s="100"/>
      <c r="B814" s="197"/>
      <c r="C814" s="198"/>
      <c r="D814" s="198"/>
      <c r="E814" s="200"/>
      <c r="F814" s="201"/>
    </row>
    <row r="815" spans="1:6" ht="14">
      <c r="A815" s="100"/>
      <c r="B815" s="197"/>
      <c r="C815" s="198"/>
      <c r="D815" s="198"/>
      <c r="E815" s="200"/>
      <c r="F815" s="201"/>
    </row>
    <row r="816" spans="1:6" ht="14">
      <c r="A816" s="100"/>
      <c r="B816" s="197"/>
      <c r="C816" s="198"/>
      <c r="D816" s="198"/>
      <c r="E816" s="200"/>
      <c r="F816" s="201"/>
    </row>
    <row r="817" spans="1:6" ht="14">
      <c r="A817" s="100"/>
      <c r="B817" s="197"/>
      <c r="C817" s="198"/>
      <c r="D817" s="198"/>
      <c r="E817" s="200"/>
      <c r="F817" s="201"/>
    </row>
    <row r="818" spans="1:6" ht="14">
      <c r="A818" s="100"/>
      <c r="B818" s="197"/>
      <c r="C818" s="198"/>
      <c r="D818" s="198"/>
      <c r="E818" s="200"/>
      <c r="F818" s="201"/>
    </row>
    <row r="819" spans="1:6" ht="14">
      <c r="A819" s="100"/>
      <c r="B819" s="197"/>
      <c r="C819" s="198"/>
      <c r="D819" s="198"/>
      <c r="E819" s="200"/>
      <c r="F819" s="201"/>
    </row>
    <row r="820" spans="1:6" ht="14">
      <c r="A820" s="100"/>
      <c r="B820" s="197"/>
      <c r="C820" s="198"/>
      <c r="D820" s="198"/>
      <c r="E820" s="200"/>
      <c r="F820" s="201"/>
    </row>
    <row r="821" spans="1:6" ht="14">
      <c r="A821" s="100"/>
      <c r="B821" s="197"/>
      <c r="C821" s="198"/>
      <c r="D821" s="198"/>
      <c r="E821" s="200"/>
      <c r="F821" s="201"/>
    </row>
    <row r="822" spans="1:6" ht="14">
      <c r="A822" s="100"/>
      <c r="B822" s="197"/>
      <c r="C822" s="198"/>
      <c r="D822" s="198"/>
      <c r="E822" s="200"/>
      <c r="F822" s="201"/>
    </row>
    <row r="823" spans="1:6" ht="14">
      <c r="A823" s="100"/>
      <c r="B823" s="197"/>
      <c r="C823" s="198"/>
      <c r="D823" s="198"/>
      <c r="E823" s="200"/>
      <c r="F823" s="201"/>
    </row>
    <row r="824" spans="1:6" ht="14">
      <c r="A824" s="100"/>
      <c r="B824" s="197"/>
      <c r="C824" s="198"/>
      <c r="D824" s="198"/>
      <c r="E824" s="200"/>
      <c r="F824" s="201"/>
    </row>
    <row r="825" spans="1:6" ht="14">
      <c r="A825" s="100"/>
      <c r="B825" s="197"/>
      <c r="C825" s="198"/>
      <c r="D825" s="198"/>
      <c r="E825" s="200"/>
      <c r="F825" s="201"/>
    </row>
    <row r="826" spans="1:6" ht="14">
      <c r="A826" s="100"/>
      <c r="B826" s="197"/>
      <c r="C826" s="198"/>
      <c r="D826" s="198"/>
      <c r="E826" s="200"/>
      <c r="F826" s="201"/>
    </row>
    <row r="827" spans="1:6" ht="14">
      <c r="A827" s="100"/>
      <c r="B827" s="197"/>
      <c r="C827" s="198"/>
      <c r="D827" s="198"/>
      <c r="E827" s="200"/>
      <c r="F827" s="201"/>
    </row>
    <row r="828" spans="1:6" ht="14">
      <c r="A828" s="100"/>
      <c r="B828" s="197"/>
      <c r="C828" s="198"/>
      <c r="D828" s="198"/>
      <c r="E828" s="200"/>
      <c r="F828" s="201"/>
    </row>
    <row r="829" spans="1:6" ht="14">
      <c r="A829" s="100"/>
      <c r="B829" s="197"/>
      <c r="C829" s="198"/>
      <c r="D829" s="198"/>
      <c r="E829" s="200"/>
      <c r="F829" s="201"/>
    </row>
    <row r="830" spans="1:6" ht="14">
      <c r="A830" s="100"/>
      <c r="B830" s="197"/>
      <c r="C830" s="198"/>
      <c r="D830" s="198"/>
      <c r="E830" s="200"/>
      <c r="F830" s="201"/>
    </row>
    <row r="831" spans="1:6" ht="14">
      <c r="A831" s="100"/>
      <c r="B831" s="197"/>
      <c r="C831" s="198"/>
      <c r="D831" s="198"/>
      <c r="E831" s="200"/>
      <c r="F831" s="201"/>
    </row>
    <row r="832" spans="1:6" ht="14">
      <c r="A832" s="100"/>
      <c r="B832" s="197"/>
      <c r="C832" s="198"/>
      <c r="D832" s="198"/>
      <c r="E832" s="200"/>
      <c r="F832" s="201"/>
    </row>
    <row r="833" spans="1:6" ht="14">
      <c r="A833" s="100"/>
      <c r="B833" s="197"/>
      <c r="C833" s="198"/>
      <c r="D833" s="198"/>
      <c r="E833" s="200"/>
      <c r="F833" s="201"/>
    </row>
    <row r="834" spans="1:6" ht="14">
      <c r="A834" s="100"/>
      <c r="B834" s="197"/>
      <c r="C834" s="198"/>
      <c r="D834" s="198"/>
      <c r="E834" s="200"/>
      <c r="F834" s="201"/>
    </row>
    <row r="835" spans="1:6" ht="14">
      <c r="A835" s="100"/>
      <c r="B835" s="197"/>
      <c r="C835" s="198"/>
      <c r="D835" s="198"/>
      <c r="E835" s="200"/>
      <c r="F835" s="201"/>
    </row>
    <row r="836" spans="1:6" ht="14">
      <c r="A836" s="100"/>
      <c r="B836" s="197"/>
      <c r="C836" s="198"/>
      <c r="D836" s="198"/>
      <c r="E836" s="200"/>
      <c r="F836" s="201"/>
    </row>
    <row r="837" spans="1:6" ht="14">
      <c r="A837" s="100"/>
      <c r="B837" s="197"/>
      <c r="C837" s="198"/>
      <c r="D837" s="198"/>
      <c r="E837" s="200"/>
      <c r="F837" s="201"/>
    </row>
    <row r="838" spans="1:6" ht="14">
      <c r="A838" s="100"/>
      <c r="B838" s="197"/>
      <c r="C838" s="198"/>
      <c r="D838" s="198"/>
      <c r="E838" s="200"/>
      <c r="F838" s="201"/>
    </row>
    <row r="839" spans="1:6" ht="14">
      <c r="A839" s="100"/>
      <c r="B839" s="197"/>
      <c r="C839" s="198"/>
      <c r="D839" s="198"/>
      <c r="E839" s="200"/>
      <c r="F839" s="201"/>
    </row>
    <row r="840" spans="1:6" ht="14">
      <c r="A840" s="100"/>
      <c r="B840" s="197"/>
      <c r="C840" s="198"/>
      <c r="D840" s="198"/>
      <c r="E840" s="200"/>
      <c r="F840" s="201"/>
    </row>
    <row r="841" spans="1:6" ht="14">
      <c r="A841" s="100"/>
      <c r="B841" s="197"/>
      <c r="C841" s="198"/>
      <c r="D841" s="198"/>
      <c r="E841" s="200"/>
      <c r="F841" s="201"/>
    </row>
    <row r="842" spans="1:6" ht="14">
      <c r="A842" s="100"/>
      <c r="B842" s="197"/>
      <c r="C842" s="198"/>
      <c r="D842" s="198"/>
      <c r="E842" s="200"/>
      <c r="F842" s="201"/>
    </row>
    <row r="843" spans="1:6" ht="14">
      <c r="A843" s="100"/>
      <c r="B843" s="197"/>
      <c r="C843" s="198"/>
      <c r="D843" s="198"/>
      <c r="E843" s="200"/>
      <c r="F843" s="201"/>
    </row>
    <row r="844" spans="1:6" ht="14">
      <c r="A844" s="100"/>
      <c r="B844" s="197"/>
      <c r="C844" s="198"/>
      <c r="D844" s="198"/>
      <c r="E844" s="200"/>
      <c r="F844" s="201"/>
    </row>
    <row r="845" spans="1:6" ht="14">
      <c r="A845" s="100"/>
      <c r="B845" s="197"/>
      <c r="C845" s="198"/>
      <c r="D845" s="198"/>
      <c r="E845" s="200"/>
      <c r="F845" s="201"/>
    </row>
    <row r="846" spans="1:6" ht="14">
      <c r="A846" s="100"/>
      <c r="B846" s="197"/>
      <c r="C846" s="198"/>
      <c r="D846" s="198"/>
      <c r="E846" s="200"/>
      <c r="F846" s="201"/>
    </row>
    <row r="847" spans="1:6" ht="14">
      <c r="A847" s="100"/>
      <c r="B847" s="197"/>
      <c r="C847" s="198"/>
      <c r="D847" s="198"/>
      <c r="E847" s="200"/>
      <c r="F847" s="201"/>
    </row>
    <row r="848" spans="1:6" ht="14">
      <c r="A848" s="100"/>
      <c r="B848" s="197"/>
      <c r="C848" s="198"/>
      <c r="D848" s="198"/>
      <c r="E848" s="200"/>
      <c r="F848" s="201"/>
    </row>
    <row r="849" spans="1:6" ht="14">
      <c r="A849" s="100"/>
      <c r="B849" s="197"/>
      <c r="C849" s="198"/>
      <c r="D849" s="198"/>
      <c r="E849" s="200"/>
      <c r="F849" s="201"/>
    </row>
    <row r="850" spans="1:6" ht="14">
      <c r="A850" s="100"/>
      <c r="B850" s="197"/>
      <c r="C850" s="198"/>
      <c r="D850" s="198"/>
      <c r="E850" s="200"/>
      <c r="F850" s="201"/>
    </row>
    <row r="851" spans="1:6" ht="14">
      <c r="A851" s="100"/>
      <c r="B851" s="197"/>
      <c r="C851" s="198"/>
      <c r="D851" s="198"/>
      <c r="E851" s="200"/>
      <c r="F851" s="201"/>
    </row>
    <row r="852" spans="1:6" ht="14">
      <c r="A852" s="100"/>
      <c r="B852" s="197"/>
      <c r="C852" s="198"/>
      <c r="D852" s="198"/>
      <c r="E852" s="200"/>
      <c r="F852" s="201"/>
    </row>
    <row r="853" spans="1:6" ht="14">
      <c r="A853" s="100"/>
      <c r="B853" s="197"/>
      <c r="C853" s="198"/>
      <c r="D853" s="198"/>
      <c r="E853" s="200"/>
      <c r="F853" s="201"/>
    </row>
    <row r="854" spans="1:6" ht="14">
      <c r="A854" s="100"/>
      <c r="B854" s="197"/>
      <c r="C854" s="198"/>
      <c r="D854" s="198"/>
      <c r="E854" s="200"/>
      <c r="F854" s="201"/>
    </row>
    <row r="855" spans="1:6" ht="14">
      <c r="A855" s="100"/>
      <c r="B855" s="197"/>
      <c r="C855" s="198"/>
      <c r="D855" s="198"/>
      <c r="E855" s="200"/>
      <c r="F855" s="201"/>
    </row>
    <row r="856" spans="1:6" ht="14">
      <c r="A856" s="100"/>
      <c r="B856" s="197"/>
      <c r="C856" s="198"/>
      <c r="D856" s="198"/>
      <c r="E856" s="200"/>
      <c r="F856" s="201"/>
    </row>
    <row r="857" spans="1:6" ht="14">
      <c r="A857" s="100"/>
      <c r="B857" s="197"/>
      <c r="C857" s="198"/>
      <c r="D857" s="198"/>
      <c r="E857" s="200"/>
      <c r="F857" s="201"/>
    </row>
    <row r="858" spans="1:6" ht="14">
      <c r="A858" s="100"/>
      <c r="B858" s="197"/>
      <c r="C858" s="198"/>
      <c r="D858" s="198"/>
      <c r="E858" s="200"/>
      <c r="F858" s="201"/>
    </row>
    <row r="859" spans="1:6" ht="14">
      <c r="A859" s="100"/>
      <c r="B859" s="197"/>
      <c r="C859" s="198"/>
      <c r="D859" s="198"/>
      <c r="E859" s="200"/>
      <c r="F859" s="201"/>
    </row>
    <row r="860" spans="1:6" ht="14">
      <c r="A860" s="100"/>
      <c r="B860" s="197"/>
      <c r="C860" s="198"/>
      <c r="D860" s="198"/>
      <c r="E860" s="200"/>
      <c r="F860" s="201"/>
    </row>
    <row r="861" spans="1:6" ht="14">
      <c r="A861" s="100"/>
      <c r="B861" s="197"/>
      <c r="C861" s="198"/>
      <c r="D861" s="198"/>
      <c r="E861" s="200"/>
      <c r="F861" s="201"/>
    </row>
    <row r="862" spans="1:6" ht="14">
      <c r="A862" s="100"/>
      <c r="B862" s="197"/>
      <c r="C862" s="198"/>
      <c r="D862" s="198"/>
      <c r="E862" s="200"/>
      <c r="F862" s="201"/>
    </row>
    <row r="863" spans="1:6" ht="14">
      <c r="A863" s="100"/>
      <c r="B863" s="197"/>
      <c r="C863" s="198"/>
      <c r="D863" s="198"/>
      <c r="E863" s="200"/>
      <c r="F863" s="201"/>
    </row>
    <row r="864" spans="1:6" ht="14">
      <c r="A864" s="100"/>
      <c r="B864" s="197"/>
      <c r="C864" s="198"/>
      <c r="D864" s="198"/>
      <c r="E864" s="200"/>
      <c r="F864" s="201"/>
    </row>
    <row r="865" spans="1:6" ht="14">
      <c r="A865" s="100"/>
      <c r="B865" s="197"/>
      <c r="C865" s="198"/>
      <c r="D865" s="198"/>
      <c r="E865" s="200"/>
      <c r="F865" s="201"/>
    </row>
    <row r="866" spans="1:6" ht="14">
      <c r="A866" s="100"/>
      <c r="B866" s="197"/>
      <c r="C866" s="198"/>
      <c r="D866" s="198"/>
      <c r="E866" s="200"/>
      <c r="F866" s="201"/>
    </row>
    <row r="867" spans="1:6" ht="14">
      <c r="A867" s="100"/>
      <c r="B867" s="197"/>
      <c r="C867" s="198"/>
      <c r="D867" s="198"/>
      <c r="E867" s="200"/>
      <c r="F867" s="201"/>
    </row>
    <row r="868" spans="1:6" ht="14">
      <c r="A868" s="100"/>
      <c r="B868" s="197"/>
      <c r="C868" s="198"/>
      <c r="D868" s="198"/>
      <c r="E868" s="200"/>
      <c r="F868" s="201"/>
    </row>
    <row r="869" spans="1:6" ht="14">
      <c r="A869" s="100"/>
      <c r="B869" s="197"/>
      <c r="C869" s="198"/>
      <c r="D869" s="198"/>
      <c r="E869" s="200"/>
      <c r="F869" s="201"/>
    </row>
    <row r="870" spans="1:6" ht="14">
      <c r="A870" s="100"/>
      <c r="B870" s="197"/>
      <c r="C870" s="198"/>
      <c r="D870" s="198"/>
      <c r="E870" s="200"/>
      <c r="F870" s="201"/>
    </row>
    <row r="871" spans="1:6" ht="14">
      <c r="A871" s="100"/>
      <c r="B871" s="197"/>
      <c r="C871" s="198"/>
      <c r="D871" s="198"/>
      <c r="E871" s="200"/>
      <c r="F871" s="201"/>
    </row>
    <row r="872" spans="1:6" ht="14">
      <c r="A872" s="100"/>
      <c r="B872" s="197"/>
      <c r="C872" s="198"/>
      <c r="D872" s="198"/>
      <c r="E872" s="200"/>
      <c r="F872" s="201"/>
    </row>
    <row r="873" spans="1:6" ht="14">
      <c r="A873" s="100"/>
      <c r="B873" s="197"/>
      <c r="C873" s="198"/>
      <c r="D873" s="198"/>
      <c r="E873" s="200"/>
      <c r="F873" s="201"/>
    </row>
    <row r="874" spans="1:6" ht="14">
      <c r="A874" s="100"/>
      <c r="B874" s="197"/>
      <c r="C874" s="198"/>
      <c r="D874" s="198"/>
      <c r="E874" s="200"/>
      <c r="F874" s="201"/>
    </row>
    <row r="875" spans="1:6" ht="14">
      <c r="A875" s="100"/>
      <c r="B875" s="197"/>
      <c r="C875" s="198"/>
      <c r="D875" s="198"/>
      <c r="E875" s="200"/>
      <c r="F875" s="201"/>
    </row>
    <row r="876" spans="1:6" ht="14">
      <c r="A876" s="100"/>
      <c r="B876" s="197"/>
      <c r="C876" s="198"/>
      <c r="D876" s="198"/>
      <c r="E876" s="200"/>
      <c r="F876" s="201"/>
    </row>
    <row r="877" spans="1:6" ht="14">
      <c r="A877" s="100"/>
      <c r="B877" s="197"/>
      <c r="C877" s="198"/>
      <c r="D877" s="198"/>
      <c r="E877" s="200"/>
      <c r="F877" s="201"/>
    </row>
    <row r="878" spans="1:6" ht="14">
      <c r="A878" s="100"/>
      <c r="B878" s="197"/>
      <c r="C878" s="198"/>
      <c r="D878" s="198"/>
      <c r="E878" s="200"/>
      <c r="F878" s="201"/>
    </row>
    <row r="879" spans="1:6" ht="14">
      <c r="A879" s="100"/>
      <c r="B879" s="197"/>
      <c r="C879" s="198"/>
      <c r="D879" s="198"/>
      <c r="E879" s="200"/>
      <c r="F879" s="201"/>
    </row>
    <row r="880" spans="1:6" ht="14">
      <c r="A880" s="100"/>
      <c r="B880" s="197"/>
      <c r="C880" s="198"/>
      <c r="D880" s="198"/>
      <c r="E880" s="200"/>
      <c r="F880" s="201"/>
    </row>
    <row r="881" spans="1:6" ht="14">
      <c r="A881" s="100"/>
      <c r="B881" s="197"/>
      <c r="C881" s="198"/>
      <c r="D881" s="198"/>
      <c r="E881" s="200"/>
      <c r="F881" s="201"/>
    </row>
    <row r="882" spans="1:6" ht="14">
      <c r="A882" s="100"/>
      <c r="B882" s="197"/>
      <c r="C882" s="198"/>
      <c r="D882" s="198"/>
      <c r="E882" s="200"/>
      <c r="F882" s="201"/>
    </row>
    <row r="883" spans="1:6" ht="14">
      <c r="A883" s="100"/>
      <c r="B883" s="197"/>
      <c r="C883" s="198"/>
      <c r="D883" s="198"/>
      <c r="E883" s="200"/>
      <c r="F883" s="201"/>
    </row>
    <row r="884" spans="1:6" ht="14">
      <c r="A884" s="100"/>
      <c r="B884" s="197"/>
      <c r="C884" s="198"/>
      <c r="D884" s="198"/>
      <c r="E884" s="200"/>
      <c r="F884" s="201"/>
    </row>
    <row r="885" spans="1:6" ht="14">
      <c r="A885" s="100"/>
      <c r="B885" s="197"/>
      <c r="C885" s="198"/>
      <c r="D885" s="198"/>
      <c r="E885" s="200"/>
      <c r="F885" s="201"/>
    </row>
    <row r="886" spans="1:6" ht="14">
      <c r="A886" s="100"/>
      <c r="B886" s="197"/>
      <c r="C886" s="198"/>
      <c r="D886" s="198"/>
      <c r="E886" s="200"/>
      <c r="F886" s="201"/>
    </row>
    <row r="887" spans="1:6" ht="14">
      <c r="A887" s="100"/>
      <c r="B887" s="197"/>
      <c r="C887" s="198"/>
      <c r="D887" s="198"/>
      <c r="E887" s="200"/>
      <c r="F887" s="201"/>
    </row>
    <row r="888" spans="1:6" ht="14">
      <c r="A888" s="100"/>
      <c r="B888" s="197"/>
      <c r="C888" s="198"/>
      <c r="D888" s="198"/>
      <c r="E888" s="200"/>
      <c r="F888" s="201"/>
    </row>
    <row r="889" spans="1:6" ht="14">
      <c r="A889" s="100"/>
      <c r="B889" s="197"/>
      <c r="C889" s="198"/>
      <c r="D889" s="198"/>
      <c r="E889" s="200"/>
      <c r="F889" s="201"/>
    </row>
    <row r="890" spans="1:6" ht="14">
      <c r="A890" s="100"/>
      <c r="B890" s="197"/>
      <c r="C890" s="198"/>
      <c r="D890" s="198"/>
      <c r="E890" s="200"/>
      <c r="F890" s="201"/>
    </row>
    <row r="891" spans="1:6" ht="14">
      <c r="A891" s="100"/>
      <c r="B891" s="197"/>
      <c r="C891" s="198"/>
      <c r="D891" s="198"/>
      <c r="E891" s="200"/>
      <c r="F891" s="201"/>
    </row>
    <row r="892" spans="1:6" ht="14">
      <c r="A892" s="100"/>
      <c r="B892" s="197"/>
      <c r="C892" s="198"/>
      <c r="D892" s="198"/>
      <c r="E892" s="200"/>
      <c r="F892" s="201"/>
    </row>
    <row r="893" spans="1:6" ht="14">
      <c r="A893" s="100"/>
      <c r="B893" s="197"/>
      <c r="C893" s="198"/>
      <c r="D893" s="198"/>
      <c r="E893" s="200"/>
      <c r="F893" s="201"/>
    </row>
    <row r="894" spans="1:6" ht="14">
      <c r="A894" s="100"/>
      <c r="B894" s="197"/>
      <c r="C894" s="198"/>
      <c r="D894" s="198"/>
      <c r="E894" s="200"/>
      <c r="F894" s="201"/>
    </row>
    <row r="895" spans="1:6" ht="14">
      <c r="A895" s="100"/>
      <c r="B895" s="197"/>
      <c r="C895" s="198"/>
      <c r="D895" s="198"/>
      <c r="E895" s="200"/>
      <c r="F895" s="201"/>
    </row>
    <row r="896" spans="1:6" ht="14">
      <c r="A896" s="100"/>
      <c r="B896" s="197"/>
      <c r="C896" s="198"/>
      <c r="D896" s="198"/>
      <c r="E896" s="200"/>
      <c r="F896" s="201"/>
    </row>
    <row r="897" spans="1:6" ht="14">
      <c r="A897" s="100"/>
      <c r="B897" s="197"/>
      <c r="C897" s="198"/>
      <c r="D897" s="198"/>
      <c r="E897" s="200"/>
      <c r="F897" s="201"/>
    </row>
    <row r="898" spans="1:6" ht="14">
      <c r="A898" s="100"/>
      <c r="B898" s="197"/>
      <c r="C898" s="198"/>
      <c r="D898" s="198"/>
      <c r="E898" s="200"/>
      <c r="F898" s="201"/>
    </row>
    <row r="899" spans="1:6" ht="14">
      <c r="A899" s="100"/>
      <c r="B899" s="197"/>
      <c r="C899" s="198"/>
      <c r="D899" s="198"/>
      <c r="E899" s="200"/>
      <c r="F899" s="201"/>
    </row>
    <row r="900" spans="1:6" ht="14">
      <c r="A900" s="100"/>
      <c r="B900" s="197"/>
      <c r="C900" s="198"/>
      <c r="D900" s="198"/>
      <c r="E900" s="200"/>
      <c r="F900" s="201"/>
    </row>
    <row r="901" spans="1:6" ht="14">
      <c r="A901" s="100"/>
      <c r="B901" s="197"/>
      <c r="C901" s="198"/>
      <c r="D901" s="198"/>
      <c r="E901" s="200"/>
      <c r="F901" s="201"/>
    </row>
    <row r="902" spans="1:6" ht="14">
      <c r="A902" s="100"/>
      <c r="B902" s="197"/>
      <c r="C902" s="198"/>
      <c r="D902" s="198"/>
      <c r="E902" s="200"/>
      <c r="F902" s="201"/>
    </row>
    <row r="903" spans="1:6" ht="14">
      <c r="A903" s="100"/>
      <c r="B903" s="197"/>
      <c r="C903" s="198"/>
      <c r="D903" s="198"/>
      <c r="E903" s="200"/>
      <c r="F903" s="201"/>
    </row>
    <row r="904" spans="1:6" ht="14">
      <c r="A904" s="100"/>
      <c r="B904" s="197"/>
      <c r="C904" s="198"/>
      <c r="D904" s="198"/>
      <c r="E904" s="200"/>
      <c r="F904" s="201"/>
    </row>
    <row r="905" spans="1:6" ht="14">
      <c r="A905" s="100"/>
      <c r="B905" s="197"/>
      <c r="C905" s="198"/>
      <c r="D905" s="198"/>
      <c r="E905" s="200"/>
      <c r="F905" s="201"/>
    </row>
    <row r="906" spans="1:6" ht="14">
      <c r="A906" s="100"/>
      <c r="B906" s="197"/>
      <c r="C906" s="198"/>
      <c r="D906" s="198"/>
      <c r="E906" s="200"/>
      <c r="F906" s="201"/>
    </row>
    <row r="907" spans="1:6" ht="14">
      <c r="A907" s="100"/>
      <c r="B907" s="197"/>
      <c r="C907" s="198"/>
      <c r="D907" s="198"/>
      <c r="E907" s="200"/>
      <c r="F907" s="201"/>
    </row>
    <row r="908" spans="1:6" ht="14">
      <c r="A908" s="100"/>
      <c r="B908" s="197"/>
      <c r="C908" s="198"/>
      <c r="D908" s="198"/>
      <c r="E908" s="200"/>
      <c r="F908" s="201"/>
    </row>
    <row r="909" spans="1:6" ht="14">
      <c r="A909" s="100"/>
      <c r="B909" s="197"/>
      <c r="C909" s="198"/>
      <c r="D909" s="198"/>
      <c r="E909" s="200"/>
      <c r="F909" s="201"/>
    </row>
    <row r="910" spans="1:6" ht="14">
      <c r="A910" s="100"/>
      <c r="B910" s="197"/>
      <c r="C910" s="198"/>
      <c r="D910" s="198"/>
      <c r="E910" s="200"/>
      <c r="F910" s="201"/>
    </row>
    <row r="911" spans="1:6" ht="14">
      <c r="A911" s="100"/>
      <c r="B911" s="197"/>
      <c r="C911" s="198"/>
      <c r="D911" s="198"/>
      <c r="E911" s="200"/>
      <c r="F911" s="201"/>
    </row>
    <row r="912" spans="1:6" ht="14">
      <c r="A912" s="100"/>
      <c r="B912" s="197"/>
      <c r="C912" s="198"/>
      <c r="D912" s="198"/>
      <c r="E912" s="200"/>
      <c r="F912" s="201"/>
    </row>
    <row r="913" spans="1:6" ht="14">
      <c r="A913" s="100"/>
      <c r="B913" s="197"/>
      <c r="C913" s="198"/>
      <c r="D913" s="198"/>
      <c r="E913" s="200"/>
      <c r="F913" s="201"/>
    </row>
    <row r="914" spans="1:6" ht="14">
      <c r="A914" s="100"/>
      <c r="B914" s="197"/>
      <c r="C914" s="198"/>
      <c r="D914" s="198"/>
      <c r="E914" s="200"/>
      <c r="F914" s="201"/>
    </row>
    <row r="915" spans="1:6" ht="14">
      <c r="A915" s="100"/>
      <c r="B915" s="197"/>
      <c r="C915" s="198"/>
      <c r="D915" s="198"/>
      <c r="E915" s="200"/>
      <c r="F915" s="201"/>
    </row>
    <row r="916" spans="1:6" ht="14">
      <c r="A916" s="100"/>
      <c r="B916" s="197"/>
      <c r="C916" s="198"/>
      <c r="D916" s="198"/>
      <c r="E916" s="200"/>
      <c r="F916" s="201"/>
    </row>
    <row r="917" spans="1:6" ht="14">
      <c r="A917" s="100"/>
      <c r="B917" s="197"/>
      <c r="C917" s="198"/>
      <c r="D917" s="198"/>
      <c r="E917" s="200"/>
      <c r="F917" s="201"/>
    </row>
    <row r="918" spans="1:6" ht="14">
      <c r="A918" s="100"/>
      <c r="B918" s="197"/>
      <c r="C918" s="198"/>
      <c r="D918" s="198"/>
      <c r="E918" s="200"/>
      <c r="F918" s="201"/>
    </row>
    <row r="919" spans="1:6" ht="14">
      <c r="A919" s="100"/>
      <c r="B919" s="197"/>
      <c r="C919" s="198"/>
      <c r="D919" s="198"/>
      <c r="E919" s="200"/>
      <c r="F919" s="201"/>
    </row>
    <row r="920" spans="1:6" ht="14">
      <c r="A920" s="100"/>
      <c r="B920" s="197"/>
      <c r="C920" s="198"/>
      <c r="D920" s="198"/>
      <c r="E920" s="200"/>
      <c r="F920" s="201"/>
    </row>
    <row r="921" spans="1:6" ht="14">
      <c r="A921" s="100"/>
      <c r="B921" s="197"/>
      <c r="C921" s="198"/>
      <c r="D921" s="198"/>
      <c r="E921" s="200"/>
      <c r="F921" s="201"/>
    </row>
    <row r="922" spans="1:6" ht="14">
      <c r="A922" s="100"/>
      <c r="B922" s="197"/>
      <c r="C922" s="198"/>
      <c r="D922" s="198"/>
      <c r="E922" s="200"/>
      <c r="F922" s="201"/>
    </row>
    <row r="923" spans="1:6" ht="14">
      <c r="A923" s="100"/>
      <c r="B923" s="197"/>
      <c r="C923" s="198"/>
      <c r="D923" s="198"/>
      <c r="E923" s="200"/>
      <c r="F923" s="201"/>
    </row>
    <row r="924" spans="1:6" ht="14">
      <c r="A924" s="100"/>
      <c r="B924" s="197"/>
      <c r="C924" s="198"/>
      <c r="D924" s="198"/>
      <c r="E924" s="200"/>
      <c r="F924" s="201"/>
    </row>
    <row r="925" spans="1:6" ht="14">
      <c r="A925" s="100"/>
      <c r="B925" s="197"/>
      <c r="C925" s="198"/>
      <c r="D925" s="198"/>
      <c r="E925" s="200"/>
      <c r="F925" s="201"/>
    </row>
    <row r="926" spans="1:6" ht="14">
      <c r="A926" s="100"/>
      <c r="B926" s="197"/>
      <c r="C926" s="198"/>
      <c r="D926" s="198"/>
      <c r="E926" s="200"/>
      <c r="F926" s="201"/>
    </row>
    <row r="927" spans="1:6" ht="14">
      <c r="A927" s="100"/>
      <c r="B927" s="197"/>
      <c r="C927" s="198"/>
      <c r="D927" s="198"/>
      <c r="E927" s="200"/>
      <c r="F927" s="201"/>
    </row>
    <row r="928" spans="1:6" ht="14">
      <c r="A928" s="100"/>
      <c r="B928" s="197"/>
      <c r="C928" s="198"/>
      <c r="D928" s="198"/>
      <c r="E928" s="200"/>
      <c r="F928" s="201"/>
    </row>
    <row r="929" spans="1:6" ht="14">
      <c r="A929" s="100"/>
      <c r="B929" s="197"/>
      <c r="C929" s="198"/>
      <c r="D929" s="198"/>
      <c r="E929" s="200"/>
      <c r="F929" s="201"/>
    </row>
    <row r="930" spans="1:6" ht="14">
      <c r="A930" s="100"/>
      <c r="B930" s="197"/>
      <c r="C930" s="198"/>
      <c r="D930" s="198"/>
      <c r="E930" s="200"/>
      <c r="F930" s="201"/>
    </row>
    <row r="931" spans="1:6" ht="14">
      <c r="A931" s="100"/>
      <c r="B931" s="197"/>
      <c r="C931" s="198"/>
      <c r="D931" s="198"/>
      <c r="E931" s="200"/>
      <c r="F931" s="201"/>
    </row>
    <row r="932" spans="1:6" ht="14">
      <c r="A932" s="100"/>
      <c r="B932" s="197"/>
      <c r="C932" s="198"/>
      <c r="D932" s="198"/>
      <c r="E932" s="200"/>
      <c r="F932" s="201"/>
    </row>
    <row r="933" spans="1:6" ht="14">
      <c r="A933" s="100"/>
      <c r="B933" s="197"/>
      <c r="C933" s="198"/>
      <c r="D933" s="198"/>
      <c r="E933" s="200"/>
      <c r="F933" s="201"/>
    </row>
    <row r="934" spans="1:6" ht="14">
      <c r="A934" s="100"/>
      <c r="B934" s="197"/>
      <c r="C934" s="198"/>
      <c r="D934" s="198"/>
      <c r="E934" s="200"/>
      <c r="F934" s="201"/>
    </row>
    <row r="935" spans="1:6" ht="14">
      <c r="A935" s="100"/>
      <c r="B935" s="197"/>
      <c r="C935" s="198"/>
      <c r="D935" s="198"/>
      <c r="E935" s="200"/>
      <c r="F935" s="201"/>
    </row>
    <row r="936" spans="1:6" ht="14">
      <c r="A936" s="100"/>
      <c r="B936" s="197"/>
      <c r="C936" s="198"/>
      <c r="D936" s="198"/>
      <c r="E936" s="200"/>
      <c r="F936" s="201"/>
    </row>
    <row r="937" spans="1:6" ht="14">
      <c r="A937" s="100"/>
      <c r="B937" s="197"/>
      <c r="C937" s="198"/>
      <c r="D937" s="198"/>
      <c r="E937" s="200"/>
      <c r="F937" s="201"/>
    </row>
    <row r="938" spans="1:6" ht="14">
      <c r="A938" s="100"/>
      <c r="B938" s="197"/>
      <c r="C938" s="198"/>
      <c r="D938" s="198"/>
      <c r="E938" s="200"/>
      <c r="F938" s="201"/>
    </row>
    <row r="939" spans="1:6" ht="14">
      <c r="A939" s="100"/>
      <c r="B939" s="197"/>
      <c r="C939" s="198"/>
      <c r="D939" s="198"/>
      <c r="E939" s="200"/>
      <c r="F939" s="201"/>
    </row>
    <row r="940" spans="1:6" ht="14">
      <c r="A940" s="100"/>
      <c r="B940" s="197"/>
      <c r="C940" s="198"/>
      <c r="D940" s="198"/>
      <c r="E940" s="200"/>
      <c r="F940" s="201"/>
    </row>
    <row r="941" spans="1:6" ht="14">
      <c r="A941" s="100"/>
      <c r="B941" s="197"/>
      <c r="C941" s="198"/>
      <c r="D941" s="198"/>
      <c r="E941" s="200"/>
      <c r="F941" s="201"/>
    </row>
    <row r="942" spans="1:6" ht="14">
      <c r="A942" s="100"/>
      <c r="B942" s="197"/>
      <c r="C942" s="198"/>
      <c r="D942" s="198"/>
      <c r="E942" s="200"/>
      <c r="F942" s="201"/>
    </row>
    <row r="943" spans="1:6" ht="14">
      <c r="A943" s="100"/>
      <c r="B943" s="197"/>
      <c r="C943" s="198"/>
      <c r="D943" s="198"/>
      <c r="E943" s="200"/>
      <c r="F943" s="201"/>
    </row>
    <row r="944" spans="1:6" ht="14">
      <c r="A944" s="100"/>
      <c r="B944" s="197"/>
      <c r="C944" s="198"/>
      <c r="D944" s="198"/>
      <c r="E944" s="200"/>
      <c r="F944" s="201"/>
    </row>
    <row r="945" spans="1:6" ht="14">
      <c r="A945" s="100"/>
      <c r="B945" s="197"/>
      <c r="C945" s="198"/>
      <c r="D945" s="198"/>
      <c r="E945" s="200"/>
      <c r="F945" s="201"/>
    </row>
    <row r="946" spans="1:6" ht="14">
      <c r="A946" s="100"/>
      <c r="B946" s="197"/>
      <c r="C946" s="198"/>
      <c r="D946" s="198"/>
      <c r="E946" s="200"/>
      <c r="F946" s="201"/>
    </row>
    <row r="947" spans="1:6" ht="14">
      <c r="A947" s="100"/>
      <c r="B947" s="197"/>
      <c r="C947" s="198"/>
      <c r="D947" s="198"/>
      <c r="E947" s="200"/>
      <c r="F947" s="201"/>
    </row>
    <row r="948" spans="1:6" ht="14">
      <c r="A948" s="100"/>
      <c r="B948" s="197"/>
      <c r="C948" s="198"/>
      <c r="D948" s="198"/>
      <c r="E948" s="200"/>
      <c r="F948" s="201"/>
    </row>
    <row r="949" spans="1:6" ht="14">
      <c r="A949" s="100"/>
      <c r="B949" s="197"/>
      <c r="C949" s="198"/>
      <c r="D949" s="198"/>
      <c r="E949" s="200"/>
      <c r="F949" s="201"/>
    </row>
    <row r="950" spans="1:6" ht="14">
      <c r="A950" s="100"/>
      <c r="B950" s="197"/>
      <c r="C950" s="198"/>
      <c r="D950" s="198"/>
      <c r="E950" s="200"/>
      <c r="F950" s="201"/>
    </row>
    <row r="951" spans="1:6" ht="14">
      <c r="A951" s="100"/>
      <c r="B951" s="197"/>
      <c r="C951" s="198"/>
      <c r="D951" s="198"/>
      <c r="E951" s="200"/>
      <c r="F951" s="201"/>
    </row>
    <row r="952" spans="1:6" ht="14">
      <c r="A952" s="100"/>
      <c r="B952" s="197"/>
      <c r="C952" s="198"/>
      <c r="D952" s="198"/>
      <c r="E952" s="200"/>
      <c r="F952" s="201"/>
    </row>
    <row r="953" spans="1:6" ht="14">
      <c r="A953" s="100"/>
      <c r="B953" s="197"/>
      <c r="C953" s="198"/>
      <c r="D953" s="198"/>
      <c r="E953" s="200"/>
      <c r="F953" s="201"/>
    </row>
    <row r="954" spans="1:6" ht="14">
      <c r="A954" s="100"/>
      <c r="B954" s="197"/>
      <c r="C954" s="198"/>
      <c r="D954" s="198"/>
      <c r="E954" s="200"/>
      <c r="F954" s="201"/>
    </row>
    <row r="955" spans="1:6" ht="14">
      <c r="A955" s="100"/>
      <c r="B955" s="197"/>
      <c r="C955" s="198"/>
      <c r="D955" s="198"/>
      <c r="E955" s="200"/>
      <c r="F955" s="201"/>
    </row>
    <row r="956" spans="1:6" ht="14">
      <c r="A956" s="100"/>
      <c r="B956" s="197"/>
      <c r="C956" s="198"/>
      <c r="D956" s="198"/>
      <c r="E956" s="200"/>
      <c r="F956" s="201"/>
    </row>
    <row r="957" spans="1:6" ht="14">
      <c r="A957" s="100"/>
      <c r="B957" s="197"/>
      <c r="C957" s="198"/>
      <c r="D957" s="198"/>
      <c r="E957" s="200"/>
      <c r="F957" s="201"/>
    </row>
    <row r="958" spans="1:6" ht="14">
      <c r="A958" s="100"/>
      <c r="B958" s="197"/>
      <c r="C958" s="198"/>
      <c r="D958" s="198"/>
      <c r="E958" s="200"/>
      <c r="F958" s="201"/>
    </row>
    <row r="959" spans="1:6" ht="14">
      <c r="A959" s="100"/>
      <c r="B959" s="197"/>
      <c r="C959" s="198"/>
      <c r="D959" s="198"/>
      <c r="E959" s="200"/>
      <c r="F959" s="201"/>
    </row>
    <row r="960" spans="1:6" ht="14">
      <c r="A960" s="100"/>
      <c r="B960" s="197"/>
      <c r="C960" s="198"/>
      <c r="D960" s="198"/>
      <c r="E960" s="200"/>
      <c r="F960" s="201"/>
    </row>
    <row r="961" spans="1:6" ht="14">
      <c r="A961" s="100"/>
      <c r="B961" s="197"/>
      <c r="C961" s="198"/>
      <c r="D961" s="198"/>
      <c r="E961" s="200"/>
      <c r="F961" s="201"/>
    </row>
    <row r="962" spans="1:6" ht="14">
      <c r="A962" s="100"/>
      <c r="B962" s="197"/>
      <c r="C962" s="198"/>
      <c r="D962" s="198"/>
      <c r="E962" s="200"/>
      <c r="F962" s="201"/>
    </row>
    <row r="963" spans="1:6" ht="14">
      <c r="A963" s="100"/>
      <c r="B963" s="197"/>
      <c r="C963" s="198"/>
      <c r="D963" s="198"/>
      <c r="E963" s="200"/>
      <c r="F963" s="201"/>
    </row>
    <row r="964" spans="1:6" ht="14">
      <c r="A964" s="100"/>
      <c r="B964" s="197"/>
      <c r="C964" s="198"/>
      <c r="D964" s="198"/>
      <c r="E964" s="200"/>
      <c r="F964" s="201"/>
    </row>
    <row r="965" spans="1:6" ht="14">
      <c r="A965" s="100"/>
      <c r="B965" s="197"/>
      <c r="C965" s="198"/>
      <c r="D965" s="198"/>
      <c r="E965" s="200"/>
      <c r="F965" s="201"/>
    </row>
    <row r="966" spans="1:6" ht="14">
      <c r="A966" s="100"/>
      <c r="B966" s="197"/>
      <c r="C966" s="198"/>
      <c r="D966" s="198"/>
      <c r="E966" s="200"/>
      <c r="F966" s="201"/>
    </row>
    <row r="967" spans="1:6" ht="14">
      <c r="A967" s="100"/>
      <c r="B967" s="197"/>
      <c r="C967" s="198"/>
      <c r="D967" s="198"/>
      <c r="E967" s="200"/>
      <c r="F967" s="201"/>
    </row>
    <row r="968" spans="1:6" ht="14">
      <c r="A968" s="100"/>
      <c r="B968" s="197"/>
      <c r="C968" s="198"/>
      <c r="D968" s="198"/>
      <c r="E968" s="200"/>
      <c r="F968" s="201"/>
    </row>
    <row r="969" spans="1:6" ht="14">
      <c r="A969" s="100"/>
      <c r="B969" s="197"/>
      <c r="C969" s="198"/>
      <c r="D969" s="198"/>
      <c r="E969" s="200"/>
      <c r="F969" s="201"/>
    </row>
    <row r="970" spans="1:6" ht="14">
      <c r="A970" s="100"/>
      <c r="B970" s="197"/>
      <c r="C970" s="198"/>
      <c r="D970" s="198"/>
      <c r="E970" s="200"/>
      <c r="F970" s="201"/>
    </row>
    <row r="971" spans="1:6" ht="14">
      <c r="A971" s="100"/>
      <c r="B971" s="197"/>
      <c r="C971" s="198"/>
      <c r="D971" s="198"/>
      <c r="E971" s="200"/>
      <c r="F971" s="201"/>
    </row>
    <row r="972" spans="1:6" ht="14">
      <c r="A972" s="100"/>
      <c r="B972" s="197"/>
      <c r="C972" s="198"/>
      <c r="D972" s="198"/>
      <c r="E972" s="200"/>
      <c r="F972" s="201"/>
    </row>
    <row r="973" spans="1:6" ht="14">
      <c r="A973" s="100"/>
      <c r="B973" s="197"/>
      <c r="C973" s="198"/>
      <c r="D973" s="198"/>
      <c r="E973" s="200"/>
      <c r="F973" s="201"/>
    </row>
    <row r="974" spans="1:6" ht="14">
      <c r="A974" s="100"/>
      <c r="B974" s="197"/>
      <c r="C974" s="198"/>
      <c r="D974" s="198"/>
      <c r="E974" s="200"/>
      <c r="F974" s="201"/>
    </row>
    <row r="975" spans="1:6" ht="14">
      <c r="A975" s="100"/>
      <c r="B975" s="197"/>
      <c r="C975" s="198"/>
      <c r="D975" s="198"/>
      <c r="E975" s="200"/>
      <c r="F975" s="201"/>
    </row>
    <row r="976" spans="1:6" ht="14">
      <c r="A976" s="100"/>
      <c r="B976" s="197"/>
      <c r="C976" s="198"/>
      <c r="D976" s="198"/>
      <c r="E976" s="200"/>
      <c r="F976" s="201"/>
    </row>
    <row r="977" spans="1:6" ht="14">
      <c r="A977" s="100"/>
      <c r="B977" s="197"/>
      <c r="C977" s="198"/>
      <c r="D977" s="198"/>
      <c r="E977" s="200"/>
      <c r="F977" s="201"/>
    </row>
    <row r="978" spans="1:6" ht="14">
      <c r="A978" s="100"/>
      <c r="B978" s="197"/>
      <c r="C978" s="198"/>
      <c r="D978" s="198"/>
      <c r="E978" s="200"/>
      <c r="F978" s="201"/>
    </row>
    <row r="979" spans="1:6" ht="14">
      <c r="A979" s="100"/>
      <c r="B979" s="197"/>
      <c r="C979" s="198"/>
      <c r="D979" s="198"/>
      <c r="E979" s="200"/>
      <c r="F979" s="201"/>
    </row>
    <row r="980" spans="1:6" ht="14">
      <c r="A980" s="100"/>
      <c r="B980" s="197"/>
      <c r="C980" s="198"/>
      <c r="D980" s="198"/>
      <c r="E980" s="200"/>
      <c r="F980" s="201"/>
    </row>
    <row r="981" spans="1:6" ht="14">
      <c r="A981" s="100"/>
      <c r="B981" s="197"/>
      <c r="C981" s="198"/>
      <c r="D981" s="198"/>
      <c r="E981" s="200"/>
      <c r="F981" s="201"/>
    </row>
    <row r="982" spans="1:6" ht="14">
      <c r="A982" s="100"/>
      <c r="B982" s="197"/>
      <c r="C982" s="198"/>
      <c r="D982" s="198"/>
      <c r="E982" s="200"/>
      <c r="F982" s="201"/>
    </row>
    <row r="983" spans="1:6" ht="14">
      <c r="A983" s="100"/>
      <c r="B983" s="197"/>
      <c r="C983" s="198"/>
      <c r="D983" s="198"/>
      <c r="E983" s="200"/>
      <c r="F983" s="201"/>
    </row>
    <row r="984" spans="1:6" ht="14">
      <c r="A984" s="100"/>
      <c r="B984" s="197"/>
      <c r="C984" s="198"/>
      <c r="D984" s="198"/>
      <c r="E984" s="200"/>
      <c r="F984" s="201"/>
    </row>
    <row r="985" spans="1:6" ht="14">
      <c r="A985" s="100"/>
      <c r="B985" s="197"/>
      <c r="C985" s="198"/>
      <c r="D985" s="198"/>
      <c r="E985" s="200"/>
      <c r="F985" s="201"/>
    </row>
    <row r="986" spans="1:6" ht="14">
      <c r="A986" s="100"/>
      <c r="B986" s="197"/>
      <c r="C986" s="198"/>
      <c r="D986" s="198"/>
      <c r="E986" s="200"/>
      <c r="F986" s="201"/>
    </row>
    <row r="987" spans="1:6" ht="14">
      <c r="A987" s="100"/>
      <c r="B987" s="197"/>
      <c r="C987" s="198"/>
      <c r="D987" s="198"/>
      <c r="E987" s="200"/>
      <c r="F987" s="201"/>
    </row>
    <row r="988" spans="1:6" ht="14">
      <c r="A988" s="100"/>
      <c r="B988" s="197"/>
      <c r="C988" s="198"/>
      <c r="D988" s="198"/>
      <c r="E988" s="200"/>
      <c r="F988" s="201"/>
    </row>
    <row r="989" spans="1:6" ht="14">
      <c r="A989" s="100"/>
      <c r="B989" s="197"/>
      <c r="C989" s="198"/>
      <c r="D989" s="198"/>
      <c r="E989" s="200"/>
      <c r="F989" s="201"/>
    </row>
    <row r="990" spans="1:6" ht="14">
      <c r="A990" s="100"/>
      <c r="B990" s="197"/>
      <c r="C990" s="198"/>
      <c r="D990" s="198"/>
      <c r="E990" s="200"/>
      <c r="F990" s="201"/>
    </row>
    <row r="991" spans="1:6" ht="14">
      <c r="A991" s="100"/>
      <c r="B991" s="197"/>
      <c r="C991" s="198"/>
      <c r="D991" s="198"/>
      <c r="E991" s="200"/>
      <c r="F991" s="201"/>
    </row>
    <row r="992" spans="1:6" ht="14">
      <c r="A992" s="100"/>
      <c r="B992" s="197"/>
      <c r="C992" s="198"/>
      <c r="D992" s="198"/>
      <c r="E992" s="200"/>
      <c r="F992" s="201"/>
    </row>
    <row r="993" spans="1:6" ht="14">
      <c r="A993" s="100"/>
      <c r="B993" s="197"/>
      <c r="C993" s="198"/>
      <c r="D993" s="198"/>
      <c r="E993" s="200"/>
      <c r="F993" s="201"/>
    </row>
    <row r="994" spans="1:6" ht="14">
      <c r="A994" s="100"/>
      <c r="B994" s="197"/>
      <c r="C994" s="198"/>
      <c r="D994" s="198"/>
      <c r="E994" s="200"/>
      <c r="F994" s="201"/>
    </row>
    <row r="995" spans="1:6" ht="14">
      <c r="A995" s="100"/>
      <c r="B995" s="197"/>
      <c r="C995" s="198"/>
      <c r="D995" s="198"/>
      <c r="E995" s="200"/>
      <c r="F995" s="201"/>
    </row>
    <row r="996" spans="1:6" ht="14">
      <c r="A996" s="100"/>
      <c r="B996" s="197"/>
      <c r="C996" s="198"/>
      <c r="D996" s="198"/>
      <c r="E996" s="200"/>
      <c r="F996" s="201"/>
    </row>
    <row r="997" spans="1:6" ht="14">
      <c r="A997" s="100"/>
      <c r="B997" s="197"/>
      <c r="C997" s="198"/>
      <c r="D997" s="198"/>
      <c r="E997" s="200"/>
      <c r="F997" s="201"/>
    </row>
    <row r="998" spans="1:6" ht="14">
      <c r="A998" s="100"/>
      <c r="B998" s="197"/>
      <c r="C998" s="198"/>
      <c r="D998" s="198"/>
      <c r="E998" s="200"/>
      <c r="F998" s="201"/>
    </row>
    <row r="999" spans="1:6" ht="14">
      <c r="A999" s="100"/>
      <c r="B999" s="197"/>
      <c r="C999" s="198"/>
      <c r="D999" s="198"/>
      <c r="E999" s="200"/>
      <c r="F999" s="201"/>
    </row>
    <row r="1000" spans="1:6" ht="14">
      <c r="A1000" s="100"/>
      <c r="B1000" s="197"/>
      <c r="C1000" s="198"/>
      <c r="D1000" s="198"/>
      <c r="E1000" s="200"/>
      <c r="F1000" s="201"/>
    </row>
    <row r="1001" spans="1:6" ht="14">
      <c r="A1001" s="100"/>
      <c r="B1001" s="197"/>
      <c r="C1001" s="198"/>
      <c r="D1001" s="198"/>
      <c r="E1001" s="200"/>
      <c r="F1001" s="20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A1000"/>
  <sheetViews>
    <sheetView topLeftCell="AR1" workbookViewId="0"/>
  </sheetViews>
  <sheetFormatPr baseColWidth="10" defaultColWidth="14.5" defaultRowHeight="15.75" customHeight="1"/>
  <cols>
    <col min="1" max="1" width="9.6640625" customWidth="1"/>
    <col min="2" max="2" width="35.1640625" customWidth="1"/>
    <col min="3" max="3" width="41" customWidth="1"/>
    <col min="4" max="4" width="6" customWidth="1"/>
    <col min="5" max="5" width="23.5" customWidth="1"/>
    <col min="6" max="8" width="47" customWidth="1"/>
    <col min="9" max="9" width="45" customWidth="1"/>
    <col min="10" max="11" width="14.5" customWidth="1"/>
    <col min="13" max="13" width="210.83203125" customWidth="1"/>
    <col min="15" max="15" width="419" customWidth="1"/>
    <col min="17" max="17" width="318.83203125" customWidth="1"/>
    <col min="19" max="19" width="179.33203125" customWidth="1"/>
    <col min="21" max="21" width="516.33203125" customWidth="1"/>
    <col min="23" max="23" width="439.5" customWidth="1"/>
    <col min="25" max="25" width="419.5" customWidth="1"/>
    <col min="27" max="27" width="21.33203125" customWidth="1"/>
  </cols>
  <sheetData>
    <row r="1" spans="1:27" ht="15.75" customHeight="1">
      <c r="A1" s="127" t="s">
        <v>1790</v>
      </c>
      <c r="B1" s="128" t="s">
        <v>1793</v>
      </c>
      <c r="C1" s="127" t="s">
        <v>1795</v>
      </c>
      <c r="D1" s="129" t="s">
        <v>1796</v>
      </c>
      <c r="E1" s="127" t="s">
        <v>25</v>
      </c>
      <c r="F1" s="127" t="s">
        <v>1799</v>
      </c>
      <c r="G1" s="127" t="s">
        <v>1775</v>
      </c>
      <c r="I1" s="127" t="s">
        <v>22</v>
      </c>
      <c r="J1" s="127" t="s">
        <v>24</v>
      </c>
      <c r="K1" s="127" t="s">
        <v>26</v>
      </c>
      <c r="L1" s="128" t="s">
        <v>1800</v>
      </c>
      <c r="M1" s="127" t="s">
        <v>1801</v>
      </c>
      <c r="N1" s="128" t="s">
        <v>1802</v>
      </c>
      <c r="O1" s="127" t="s">
        <v>1803</v>
      </c>
      <c r="P1" s="128" t="s">
        <v>1804</v>
      </c>
      <c r="Q1" s="127" t="s">
        <v>1806</v>
      </c>
      <c r="R1" s="128" t="s">
        <v>1807</v>
      </c>
      <c r="S1" s="127" t="s">
        <v>1808</v>
      </c>
      <c r="T1" s="128" t="s">
        <v>1809</v>
      </c>
      <c r="U1" s="127" t="s">
        <v>1810</v>
      </c>
      <c r="V1" s="128" t="s">
        <v>1811</v>
      </c>
      <c r="W1" s="127" t="s">
        <v>1812</v>
      </c>
      <c r="X1" s="128" t="s">
        <v>1813</v>
      </c>
      <c r="Y1" s="127" t="s">
        <v>1814</v>
      </c>
      <c r="Z1" s="127" t="s">
        <v>1815</v>
      </c>
      <c r="AA1" s="130" t="s">
        <v>1816</v>
      </c>
    </row>
    <row r="2" spans="1:27">
      <c r="A2" s="131"/>
      <c r="B2" s="132" t="s">
        <v>1818</v>
      </c>
      <c r="C2" s="133" t="s">
        <v>1819</v>
      </c>
      <c r="D2" s="134">
        <v>1954</v>
      </c>
      <c r="E2" s="135"/>
      <c r="F2" s="136" t="s">
        <v>1821</v>
      </c>
      <c r="G2" s="137" t="s">
        <v>1823</v>
      </c>
      <c r="H2" s="137"/>
      <c r="I2" s="137" t="s">
        <v>1824</v>
      </c>
      <c r="J2" s="137">
        <v>32.462068000000002</v>
      </c>
      <c r="K2" s="137">
        <v>35.302534999999999</v>
      </c>
      <c r="L2" s="135"/>
      <c r="M2" s="135"/>
      <c r="N2" s="135"/>
      <c r="O2" s="135"/>
      <c r="P2" s="135"/>
      <c r="Q2" s="135"/>
      <c r="R2" s="135"/>
      <c r="S2" s="135"/>
      <c r="T2" s="135"/>
      <c r="U2" s="135"/>
      <c r="V2" s="135"/>
      <c r="W2" s="135"/>
      <c r="X2" s="135"/>
      <c r="Y2" s="135"/>
      <c r="Z2" s="135"/>
      <c r="AA2" s="138"/>
    </row>
    <row r="3" spans="1:27">
      <c r="A3" s="131"/>
      <c r="B3" s="132" t="s">
        <v>1826</v>
      </c>
      <c r="C3" s="133" t="s">
        <v>1827</v>
      </c>
      <c r="D3" s="134">
        <v>1953</v>
      </c>
      <c r="E3" s="133" t="s">
        <v>1828</v>
      </c>
      <c r="F3" s="136" t="s">
        <v>1829</v>
      </c>
      <c r="G3" s="137" t="s">
        <v>1830</v>
      </c>
      <c r="H3" s="137"/>
      <c r="I3" s="133" t="s">
        <v>1831</v>
      </c>
      <c r="J3" s="139"/>
      <c r="K3" s="139"/>
      <c r="L3" s="132" t="s">
        <v>1832</v>
      </c>
      <c r="M3" s="133" t="s">
        <v>1833</v>
      </c>
      <c r="N3" s="132" t="s">
        <v>1834</v>
      </c>
      <c r="O3" s="133" t="s">
        <v>1835</v>
      </c>
      <c r="P3" s="132" t="s">
        <v>1836</v>
      </c>
      <c r="Q3" s="133" t="s">
        <v>1838</v>
      </c>
      <c r="R3" s="133">
        <v>101</v>
      </c>
      <c r="S3" s="133">
        <v>101</v>
      </c>
      <c r="T3" s="132" t="s">
        <v>1839</v>
      </c>
      <c r="U3" s="133" t="s">
        <v>1840</v>
      </c>
      <c r="V3" s="132" t="s">
        <v>1841</v>
      </c>
      <c r="W3" s="133" t="s">
        <v>1842</v>
      </c>
      <c r="X3" s="135"/>
      <c r="Y3" s="135"/>
      <c r="Z3" s="135"/>
      <c r="AA3" s="140">
        <v>19714</v>
      </c>
    </row>
    <row r="4" spans="1:27">
      <c r="A4" s="131"/>
      <c r="B4" s="132" t="s">
        <v>1843</v>
      </c>
      <c r="C4" s="133" t="s">
        <v>1844</v>
      </c>
      <c r="D4" s="134">
        <v>1953</v>
      </c>
      <c r="E4" s="133">
        <v>25.1953</v>
      </c>
      <c r="F4" s="132" t="s">
        <v>1845</v>
      </c>
      <c r="G4" s="133" t="s">
        <v>1846</v>
      </c>
      <c r="H4" s="133"/>
      <c r="I4" s="133" t="s">
        <v>1847</v>
      </c>
      <c r="J4" s="133">
        <v>31.557251999999998</v>
      </c>
      <c r="K4" s="133">
        <v>34.979242999999997</v>
      </c>
      <c r="L4" s="132" t="s">
        <v>1848</v>
      </c>
      <c r="M4" s="133" t="s">
        <v>1849</v>
      </c>
      <c r="N4" s="132" t="s">
        <v>1850</v>
      </c>
      <c r="O4" s="133" t="s">
        <v>1851</v>
      </c>
      <c r="P4" s="132" t="s">
        <v>1852</v>
      </c>
      <c r="Q4" s="133" t="s">
        <v>1853</v>
      </c>
      <c r="R4" s="132" t="s">
        <v>1854</v>
      </c>
      <c r="S4" s="133" t="s">
        <v>1855</v>
      </c>
      <c r="T4" s="132" t="s">
        <v>1839</v>
      </c>
      <c r="U4" s="133" t="s">
        <v>1840</v>
      </c>
      <c r="V4" s="132" t="s">
        <v>1857</v>
      </c>
      <c r="W4" s="133" t="s">
        <v>1858</v>
      </c>
      <c r="X4" s="135"/>
      <c r="Y4" s="135"/>
      <c r="Z4" s="135"/>
      <c r="AA4" s="138"/>
    </row>
    <row r="5" spans="1:27">
      <c r="A5" s="131"/>
      <c r="B5" s="132" t="s">
        <v>1859</v>
      </c>
      <c r="C5" s="133" t="s">
        <v>1860</v>
      </c>
      <c r="D5" s="134">
        <v>1953</v>
      </c>
      <c r="E5" s="133" t="s">
        <v>1861</v>
      </c>
      <c r="F5" s="132" t="s">
        <v>1862</v>
      </c>
      <c r="G5" s="133" t="s">
        <v>1863</v>
      </c>
      <c r="H5" s="133"/>
      <c r="I5" s="141" t="s">
        <v>1864</v>
      </c>
      <c r="J5" s="133">
        <v>40.625931600000001</v>
      </c>
      <c r="K5" s="133">
        <v>-75.370457899999906</v>
      </c>
      <c r="L5" s="135"/>
      <c r="M5" s="135"/>
      <c r="N5" s="132" t="s">
        <v>1866</v>
      </c>
      <c r="O5" s="133" t="s">
        <v>1867</v>
      </c>
      <c r="P5" s="132" t="s">
        <v>1869</v>
      </c>
      <c r="Q5" s="133" t="s">
        <v>1870</v>
      </c>
      <c r="R5" s="133">
        <v>101</v>
      </c>
      <c r="S5" s="133">
        <v>101</v>
      </c>
      <c r="T5" s="132" t="s">
        <v>1839</v>
      </c>
      <c r="U5" s="133" t="s">
        <v>1840</v>
      </c>
      <c r="V5" s="135"/>
      <c r="W5" s="135"/>
      <c r="X5" s="135"/>
      <c r="Y5" s="135"/>
      <c r="Z5" s="135"/>
      <c r="AA5" s="140">
        <v>19717</v>
      </c>
    </row>
    <row r="6" spans="1:27">
      <c r="A6" s="131"/>
      <c r="B6" s="132" t="s">
        <v>1872</v>
      </c>
      <c r="C6" s="133" t="s">
        <v>1873</v>
      </c>
      <c r="D6" s="134">
        <v>1953</v>
      </c>
      <c r="E6" s="133" t="s">
        <v>1828</v>
      </c>
      <c r="F6" s="132" t="s">
        <v>1874</v>
      </c>
      <c r="G6" s="133" t="s">
        <v>1875</v>
      </c>
      <c r="H6" s="133"/>
      <c r="I6" s="133" t="s">
        <v>1831</v>
      </c>
      <c r="J6" s="139"/>
      <c r="K6" s="139"/>
      <c r="L6" s="132" t="s">
        <v>1876</v>
      </c>
      <c r="M6" s="133" t="s">
        <v>1877</v>
      </c>
      <c r="N6" s="132" t="s">
        <v>1850</v>
      </c>
      <c r="O6" s="133" t="s">
        <v>1851</v>
      </c>
      <c r="P6" s="135"/>
      <c r="Q6" s="135"/>
      <c r="R6" s="133">
        <v>101</v>
      </c>
      <c r="S6" s="133">
        <v>101</v>
      </c>
      <c r="T6" s="135"/>
      <c r="U6" s="135"/>
      <c r="V6" s="135"/>
      <c r="W6" s="135"/>
      <c r="X6" s="135"/>
      <c r="Y6" s="135"/>
      <c r="Z6" s="135"/>
      <c r="AA6" s="140">
        <v>19714</v>
      </c>
    </row>
    <row r="7" spans="1:27">
      <c r="A7" s="131"/>
      <c r="B7" s="132" t="s">
        <v>1878</v>
      </c>
      <c r="C7" s="133" t="s">
        <v>1879</v>
      </c>
      <c r="D7" s="134">
        <v>1953</v>
      </c>
      <c r="E7" s="133" t="s">
        <v>1880</v>
      </c>
      <c r="F7" s="132" t="s">
        <v>1881</v>
      </c>
      <c r="G7" s="133" t="s">
        <v>1882</v>
      </c>
      <c r="H7" s="133"/>
      <c r="I7" s="133" t="s">
        <v>1883</v>
      </c>
      <c r="J7" s="133">
        <v>31.598421999999999</v>
      </c>
      <c r="K7" s="133">
        <v>35.026375000000002</v>
      </c>
      <c r="L7" s="132" t="s">
        <v>1884</v>
      </c>
      <c r="M7" s="133" t="s">
        <v>1885</v>
      </c>
      <c r="N7" s="132" t="s">
        <v>1886</v>
      </c>
      <c r="O7" s="133" t="s">
        <v>1887</v>
      </c>
      <c r="P7" s="132" t="s">
        <v>1832</v>
      </c>
      <c r="Q7" s="133" t="s">
        <v>1833</v>
      </c>
      <c r="R7" s="132" t="s">
        <v>1888</v>
      </c>
      <c r="S7" s="133" t="s">
        <v>1889</v>
      </c>
      <c r="T7" s="132" t="s">
        <v>1890</v>
      </c>
      <c r="U7" s="133" t="s">
        <v>1891</v>
      </c>
      <c r="V7" s="132" t="s">
        <v>1832</v>
      </c>
      <c r="W7" s="133" t="s">
        <v>1833</v>
      </c>
      <c r="X7" s="135"/>
      <c r="Y7" s="135"/>
      <c r="Z7" s="135"/>
      <c r="AA7" s="140" t="s">
        <v>1893</v>
      </c>
    </row>
    <row r="8" spans="1:27">
      <c r="A8" s="131"/>
      <c r="B8" s="132" t="s">
        <v>1894</v>
      </c>
      <c r="C8" s="133" t="s">
        <v>1895</v>
      </c>
      <c r="D8" s="134">
        <v>1953</v>
      </c>
      <c r="E8" s="133" t="s">
        <v>1896</v>
      </c>
      <c r="F8" s="132" t="s">
        <v>1897</v>
      </c>
      <c r="G8" s="133" t="s">
        <v>1898</v>
      </c>
      <c r="H8" s="133"/>
      <c r="I8" s="133" t="s">
        <v>1899</v>
      </c>
      <c r="J8" s="133">
        <v>32.029972999999998</v>
      </c>
      <c r="K8" s="133">
        <v>35.018973000000003</v>
      </c>
      <c r="L8" s="132" t="s">
        <v>1900</v>
      </c>
      <c r="M8" s="133" t="s">
        <v>1901</v>
      </c>
      <c r="N8" s="132" t="s">
        <v>1902</v>
      </c>
      <c r="O8" s="133" t="s">
        <v>1903</v>
      </c>
      <c r="P8" s="132" t="s">
        <v>1904</v>
      </c>
      <c r="Q8" s="133" t="s">
        <v>1905</v>
      </c>
      <c r="R8" s="132" t="s">
        <v>1854</v>
      </c>
      <c r="S8" s="133" t="s">
        <v>1855</v>
      </c>
      <c r="T8" s="132" t="s">
        <v>1906</v>
      </c>
      <c r="U8" s="133" t="s">
        <v>1907</v>
      </c>
      <c r="V8" s="132" t="s">
        <v>1908</v>
      </c>
      <c r="W8" s="133" t="s">
        <v>1909</v>
      </c>
      <c r="X8" s="135"/>
      <c r="Y8" s="135"/>
      <c r="Z8" s="135"/>
      <c r="AA8" s="140">
        <v>19387</v>
      </c>
    </row>
    <row r="9" spans="1:27">
      <c r="A9" s="131"/>
      <c r="B9" s="132" t="s">
        <v>1910</v>
      </c>
      <c r="C9" s="133" t="s">
        <v>1911</v>
      </c>
      <c r="D9" s="134">
        <v>1953</v>
      </c>
      <c r="E9" s="133" t="s">
        <v>1912</v>
      </c>
      <c r="F9" s="132" t="s">
        <v>1913</v>
      </c>
      <c r="G9" s="133" t="s">
        <v>1914</v>
      </c>
      <c r="H9" s="133"/>
      <c r="I9" s="133" t="s">
        <v>1915</v>
      </c>
      <c r="J9" s="139"/>
      <c r="K9" s="139"/>
      <c r="L9" s="135"/>
      <c r="M9" s="135"/>
      <c r="N9" s="132" t="s">
        <v>1850</v>
      </c>
      <c r="O9" s="133" t="s">
        <v>1851</v>
      </c>
      <c r="P9" s="132" t="s">
        <v>1832</v>
      </c>
      <c r="Q9" s="133" t="s">
        <v>1833</v>
      </c>
      <c r="R9" s="132" t="s">
        <v>1854</v>
      </c>
      <c r="S9" s="133" t="s">
        <v>1855</v>
      </c>
      <c r="T9" s="135"/>
      <c r="U9" s="135"/>
      <c r="V9" s="132" t="s">
        <v>1918</v>
      </c>
      <c r="W9" s="133" t="s">
        <v>1919</v>
      </c>
      <c r="X9" s="135"/>
      <c r="Y9" s="135"/>
      <c r="Z9" s="132" t="s">
        <v>1920</v>
      </c>
      <c r="AA9" s="140" t="s">
        <v>1921</v>
      </c>
    </row>
    <row r="10" spans="1:27">
      <c r="A10" s="131"/>
      <c r="B10" s="132" t="s">
        <v>1922</v>
      </c>
      <c r="C10" s="133" t="s">
        <v>1924</v>
      </c>
      <c r="D10" s="134">
        <v>1953</v>
      </c>
      <c r="E10" s="133">
        <v>9.1952999999999996</v>
      </c>
      <c r="F10" s="132" t="s">
        <v>1925</v>
      </c>
      <c r="G10" s="133" t="s">
        <v>1926</v>
      </c>
      <c r="H10" s="133"/>
      <c r="I10" s="133" t="s">
        <v>1927</v>
      </c>
      <c r="J10" s="139"/>
      <c r="K10" s="139"/>
      <c r="L10" s="132" t="s">
        <v>1928</v>
      </c>
      <c r="M10" s="133" t="s">
        <v>1929</v>
      </c>
      <c r="N10" s="132" t="s">
        <v>1930</v>
      </c>
      <c r="O10" s="133" t="s">
        <v>1931</v>
      </c>
      <c r="P10" s="132" t="s">
        <v>1832</v>
      </c>
      <c r="Q10" s="133" t="s">
        <v>1833</v>
      </c>
      <c r="R10" s="133">
        <v>101</v>
      </c>
      <c r="S10" s="133">
        <v>101</v>
      </c>
      <c r="T10" s="132" t="s">
        <v>1839</v>
      </c>
      <c r="U10" s="133" t="s">
        <v>1840</v>
      </c>
      <c r="V10" s="132" t="s">
        <v>1932</v>
      </c>
      <c r="W10" s="133" t="s">
        <v>1933</v>
      </c>
      <c r="X10" s="135"/>
      <c r="Y10" s="135"/>
      <c r="Z10" s="135"/>
      <c r="AA10" s="138"/>
    </row>
    <row r="11" spans="1:27">
      <c r="A11" s="131"/>
      <c r="B11" s="132" t="s">
        <v>1934</v>
      </c>
      <c r="C11" s="133" t="s">
        <v>1935</v>
      </c>
      <c r="D11" s="134">
        <v>1953</v>
      </c>
      <c r="E11" s="133" t="s">
        <v>1936</v>
      </c>
      <c r="F11" s="132" t="s">
        <v>1937</v>
      </c>
      <c r="G11" s="133" t="s">
        <v>1938</v>
      </c>
      <c r="H11" s="133"/>
      <c r="I11" s="133" t="s">
        <v>1939</v>
      </c>
      <c r="J11" s="133">
        <v>31.649552</v>
      </c>
      <c r="K11" s="133">
        <v>35.064712</v>
      </c>
      <c r="L11" s="132" t="s">
        <v>1940</v>
      </c>
      <c r="M11" s="133" t="s">
        <v>1941</v>
      </c>
      <c r="N11" s="132" t="s">
        <v>1942</v>
      </c>
      <c r="O11" s="133" t="s">
        <v>1943</v>
      </c>
      <c r="P11" s="132" t="s">
        <v>1832</v>
      </c>
      <c r="Q11" s="133" t="s">
        <v>1833</v>
      </c>
      <c r="R11" s="133">
        <v>101</v>
      </c>
      <c r="S11" s="133">
        <v>101</v>
      </c>
      <c r="T11" s="132" t="s">
        <v>1839</v>
      </c>
      <c r="U11" s="133" t="s">
        <v>1840</v>
      </c>
      <c r="V11" s="132" t="s">
        <v>1832</v>
      </c>
      <c r="W11" s="133" t="s">
        <v>1833</v>
      </c>
      <c r="X11" s="135"/>
      <c r="Y11" s="135"/>
      <c r="Z11" s="135"/>
      <c r="AA11" s="140">
        <v>19712</v>
      </c>
    </row>
    <row r="12" spans="1:27">
      <c r="A12" s="131"/>
      <c r="B12" s="132" t="s">
        <v>1945</v>
      </c>
      <c r="C12" s="133" t="s">
        <v>1946</v>
      </c>
      <c r="D12" s="134">
        <v>1953</v>
      </c>
      <c r="E12" s="133" t="s">
        <v>1947</v>
      </c>
      <c r="F12" s="132" t="s">
        <v>1948</v>
      </c>
      <c r="G12" s="133" t="s">
        <v>1949</v>
      </c>
      <c r="H12" s="133"/>
      <c r="I12" s="133" t="s">
        <v>1950</v>
      </c>
      <c r="J12" s="133">
        <v>31.887429999999998</v>
      </c>
      <c r="K12" s="133">
        <v>35.045319999999997</v>
      </c>
      <c r="L12" s="132" t="s">
        <v>1951</v>
      </c>
      <c r="M12" s="133" t="s">
        <v>1952</v>
      </c>
      <c r="N12" s="132" t="s">
        <v>1850</v>
      </c>
      <c r="O12" s="133" t="s">
        <v>1851</v>
      </c>
      <c r="P12" s="132" t="s">
        <v>1832</v>
      </c>
      <c r="Q12" s="133" t="s">
        <v>1833</v>
      </c>
      <c r="R12" s="133">
        <v>101</v>
      </c>
      <c r="S12" s="133">
        <v>101</v>
      </c>
      <c r="T12" s="132" t="s">
        <v>1839</v>
      </c>
      <c r="U12" s="133" t="s">
        <v>1840</v>
      </c>
      <c r="V12" s="132" t="s">
        <v>1953</v>
      </c>
      <c r="W12" s="133" t="s">
        <v>1954</v>
      </c>
      <c r="X12" s="135"/>
      <c r="Y12" s="135"/>
      <c r="Z12" s="135"/>
      <c r="AA12" s="142">
        <v>3672067</v>
      </c>
    </row>
    <row r="13" spans="1:27">
      <c r="A13" s="131"/>
      <c r="B13" s="132" t="s">
        <v>1957</v>
      </c>
      <c r="C13" s="133" t="s">
        <v>1958</v>
      </c>
      <c r="D13" s="134">
        <v>1953</v>
      </c>
      <c r="E13" s="133" t="s">
        <v>1959</v>
      </c>
      <c r="F13" s="132" t="s">
        <v>1960</v>
      </c>
      <c r="G13" s="133" t="s">
        <v>1961</v>
      </c>
      <c r="H13" s="133"/>
      <c r="I13" s="141" t="s">
        <v>593</v>
      </c>
      <c r="J13" s="133">
        <v>40.625931600000001</v>
      </c>
      <c r="K13" s="133">
        <v>-75.370457899999906</v>
      </c>
      <c r="L13" s="132" t="s">
        <v>1962</v>
      </c>
      <c r="M13" s="133" t="s">
        <v>1963</v>
      </c>
      <c r="N13" s="132" t="s">
        <v>1964</v>
      </c>
      <c r="O13" s="133" t="s">
        <v>1965</v>
      </c>
      <c r="P13" s="132" t="s">
        <v>1966</v>
      </c>
      <c r="Q13" s="133" t="s">
        <v>1967</v>
      </c>
      <c r="R13" s="133">
        <v>101</v>
      </c>
      <c r="S13" s="133">
        <v>101</v>
      </c>
      <c r="T13" s="132" t="s">
        <v>1839</v>
      </c>
      <c r="U13" s="133" t="s">
        <v>1840</v>
      </c>
      <c r="V13" s="132" t="s">
        <v>1968</v>
      </c>
      <c r="W13" s="133" t="s">
        <v>1969</v>
      </c>
      <c r="X13" s="135"/>
      <c r="Y13" s="135"/>
      <c r="Z13" s="135"/>
      <c r="AA13" s="140">
        <v>19711</v>
      </c>
    </row>
    <row r="14" spans="1:27">
      <c r="A14" s="131"/>
      <c r="B14" s="132" t="s">
        <v>1970</v>
      </c>
      <c r="C14" s="133" t="s">
        <v>1971</v>
      </c>
      <c r="D14" s="134">
        <v>1953</v>
      </c>
      <c r="E14" s="133" t="s">
        <v>1972</v>
      </c>
      <c r="F14" s="132" t="s">
        <v>1973</v>
      </c>
      <c r="G14" s="133" t="s">
        <v>1974</v>
      </c>
      <c r="H14" s="133"/>
      <c r="I14" s="133" t="s">
        <v>1975</v>
      </c>
      <c r="J14" s="133">
        <v>31.832854999999999</v>
      </c>
      <c r="K14" s="133">
        <v>35.181851000000002</v>
      </c>
      <c r="L14" s="132" t="s">
        <v>1976</v>
      </c>
      <c r="M14" s="133" t="s">
        <v>1977</v>
      </c>
      <c r="N14" s="132" t="s">
        <v>1979</v>
      </c>
      <c r="O14" s="133" t="s">
        <v>1980</v>
      </c>
      <c r="P14" s="132" t="s">
        <v>1981</v>
      </c>
      <c r="Q14" s="133" t="s">
        <v>1982</v>
      </c>
      <c r="R14" s="132" t="s">
        <v>1983</v>
      </c>
      <c r="S14" s="133" t="s">
        <v>1984</v>
      </c>
      <c r="T14" s="132" t="s">
        <v>1839</v>
      </c>
      <c r="U14" s="133" t="s">
        <v>1840</v>
      </c>
      <c r="V14" s="132" t="s">
        <v>1986</v>
      </c>
      <c r="W14" s="133" t="s">
        <v>1987</v>
      </c>
      <c r="X14" s="135"/>
      <c r="Y14" s="135"/>
      <c r="Z14" s="132" t="s">
        <v>1989</v>
      </c>
      <c r="AA14" s="140">
        <v>19552</v>
      </c>
    </row>
    <row r="15" spans="1:27">
      <c r="A15" s="131"/>
      <c r="B15" s="132" t="s">
        <v>1990</v>
      </c>
      <c r="C15" s="133" t="s">
        <v>1991</v>
      </c>
      <c r="D15" s="134">
        <v>1953</v>
      </c>
      <c r="E15" s="133" t="s">
        <v>1993</v>
      </c>
      <c r="F15" s="132" t="s">
        <v>1994</v>
      </c>
      <c r="G15" s="133" t="s">
        <v>1995</v>
      </c>
      <c r="H15" s="133"/>
      <c r="I15" s="133" t="s">
        <v>1997</v>
      </c>
      <c r="J15" s="133">
        <v>31.9957581</v>
      </c>
      <c r="K15" s="133">
        <v>34.948840300000001</v>
      </c>
      <c r="L15" s="132" t="s">
        <v>1998</v>
      </c>
      <c r="M15" s="133" t="s">
        <v>1999</v>
      </c>
      <c r="N15" s="132" t="s">
        <v>2000</v>
      </c>
      <c r="O15" s="133" t="s">
        <v>2002</v>
      </c>
      <c r="P15" s="132" t="s">
        <v>2003</v>
      </c>
      <c r="Q15" s="133" t="s">
        <v>2004</v>
      </c>
      <c r="R15" s="133" t="s">
        <v>2005</v>
      </c>
      <c r="S15" s="133" t="s">
        <v>2005</v>
      </c>
      <c r="T15" s="132" t="s">
        <v>1890</v>
      </c>
      <c r="U15" s="133" t="s">
        <v>1891</v>
      </c>
      <c r="V15" s="132" t="s">
        <v>2006</v>
      </c>
      <c r="W15" s="133" t="s">
        <v>2007</v>
      </c>
      <c r="X15" s="132" t="s">
        <v>2009</v>
      </c>
      <c r="Y15" s="133" t="s">
        <v>2011</v>
      </c>
      <c r="Z15" s="132" t="s">
        <v>2014</v>
      </c>
      <c r="AA15" s="140" t="s">
        <v>2015</v>
      </c>
    </row>
    <row r="16" spans="1:27">
      <c r="A16" s="131"/>
      <c r="B16" s="132" t="s">
        <v>2016</v>
      </c>
      <c r="C16" s="133" t="s">
        <v>2017</v>
      </c>
      <c r="D16" s="134">
        <v>1953</v>
      </c>
      <c r="E16" s="133" t="s">
        <v>2018</v>
      </c>
      <c r="F16" s="132" t="s">
        <v>2019</v>
      </c>
      <c r="G16" s="133" t="s">
        <v>2020</v>
      </c>
      <c r="H16" s="133"/>
      <c r="I16" s="133" t="s">
        <v>2021</v>
      </c>
      <c r="J16" s="133">
        <v>30.724444399999999</v>
      </c>
      <c r="K16" s="133">
        <v>35.590277800000003</v>
      </c>
      <c r="L16" s="132" t="s">
        <v>2022</v>
      </c>
      <c r="M16" s="133" t="s">
        <v>2023</v>
      </c>
      <c r="N16" s="132" t="s">
        <v>1850</v>
      </c>
      <c r="O16" s="133" t="s">
        <v>1851</v>
      </c>
      <c r="P16" s="132" t="s">
        <v>2025</v>
      </c>
      <c r="Q16" s="133" t="s">
        <v>2027</v>
      </c>
      <c r="R16" s="133">
        <v>101</v>
      </c>
      <c r="S16" s="133">
        <v>101</v>
      </c>
      <c r="T16" s="132" t="s">
        <v>1839</v>
      </c>
      <c r="U16" s="133" t="s">
        <v>1840</v>
      </c>
      <c r="V16" s="132" t="s">
        <v>2028</v>
      </c>
      <c r="W16" s="133" t="s">
        <v>2029</v>
      </c>
      <c r="X16" s="135"/>
      <c r="Y16" s="135"/>
      <c r="Z16" s="135"/>
      <c r="AA16" s="140" t="s">
        <v>2030</v>
      </c>
    </row>
    <row r="17" spans="1:27">
      <c r="A17" s="131"/>
      <c r="B17" s="132" t="s">
        <v>2031</v>
      </c>
      <c r="C17" s="133" t="s">
        <v>2033</v>
      </c>
      <c r="D17" s="134">
        <v>1953</v>
      </c>
      <c r="E17" s="133" t="s">
        <v>2034</v>
      </c>
      <c r="F17" s="132" t="s">
        <v>2035</v>
      </c>
      <c r="G17" s="133" t="s">
        <v>2036</v>
      </c>
      <c r="H17" s="133"/>
      <c r="I17" s="133" t="s">
        <v>2037</v>
      </c>
      <c r="J17" s="149">
        <v>31.912562999999999</v>
      </c>
      <c r="K17" s="149">
        <v>35.221716999999998</v>
      </c>
      <c r="L17" s="132" t="s">
        <v>2039</v>
      </c>
      <c r="M17" s="133" t="s">
        <v>2040</v>
      </c>
      <c r="N17" s="132" t="s">
        <v>1850</v>
      </c>
      <c r="O17" s="133" t="s">
        <v>1851</v>
      </c>
      <c r="P17" s="132" t="s">
        <v>1832</v>
      </c>
      <c r="Q17" s="133" t="s">
        <v>1833</v>
      </c>
      <c r="R17" s="133">
        <v>101</v>
      </c>
      <c r="S17" s="133">
        <v>101</v>
      </c>
      <c r="T17" s="132" t="s">
        <v>1839</v>
      </c>
      <c r="U17" s="133" t="s">
        <v>1840</v>
      </c>
      <c r="V17" s="132" t="s">
        <v>1832</v>
      </c>
      <c r="W17" s="133" t="s">
        <v>1833</v>
      </c>
      <c r="X17" s="135"/>
      <c r="Y17" s="135"/>
      <c r="Z17" s="135"/>
      <c r="AA17" s="140">
        <v>19603</v>
      </c>
    </row>
    <row r="18" spans="1:27" ht="15.75" customHeight="1">
      <c r="A18" s="131"/>
      <c r="B18" s="150" t="s">
        <v>2041</v>
      </c>
      <c r="C18" s="152" t="s">
        <v>2042</v>
      </c>
      <c r="D18" s="154">
        <v>1953</v>
      </c>
      <c r="E18" s="152">
        <v>8.1952999999999996</v>
      </c>
      <c r="F18" s="150" t="s">
        <v>2049</v>
      </c>
      <c r="G18" s="152" t="s">
        <v>2050</v>
      </c>
      <c r="H18" s="152"/>
      <c r="I18" s="152" t="s">
        <v>338</v>
      </c>
      <c r="J18" s="152">
        <v>31.817429000000001</v>
      </c>
      <c r="K18" s="152">
        <v>35.109406</v>
      </c>
      <c r="L18" s="150" t="s">
        <v>1884</v>
      </c>
      <c r="M18" s="152" t="s">
        <v>1885</v>
      </c>
      <c r="N18" s="150" t="s">
        <v>1942</v>
      </c>
      <c r="O18" s="152" t="s">
        <v>1943</v>
      </c>
      <c r="P18" s="150" t="s">
        <v>1832</v>
      </c>
      <c r="Q18" s="152" t="s">
        <v>1833</v>
      </c>
      <c r="R18" s="152">
        <v>101</v>
      </c>
      <c r="S18" s="152">
        <v>101</v>
      </c>
      <c r="T18" s="150" t="s">
        <v>1839</v>
      </c>
      <c r="U18" s="152" t="s">
        <v>1840</v>
      </c>
      <c r="V18" s="150" t="s">
        <v>2052</v>
      </c>
      <c r="W18" s="152" t="s">
        <v>2053</v>
      </c>
      <c r="X18" s="131"/>
      <c r="Y18" s="131"/>
      <c r="Z18" s="150" t="s">
        <v>2054</v>
      </c>
      <c r="AA18" s="138"/>
    </row>
    <row r="19" spans="1:27">
      <c r="A19" s="131"/>
      <c r="B19" s="132" t="s">
        <v>2055</v>
      </c>
      <c r="C19" s="133" t="s">
        <v>2056</v>
      </c>
      <c r="D19" s="155">
        <v>1954</v>
      </c>
      <c r="E19" s="133" t="s">
        <v>2058</v>
      </c>
      <c r="F19" s="132" t="s">
        <v>2059</v>
      </c>
      <c r="G19" s="133" t="s">
        <v>2060</v>
      </c>
      <c r="H19" s="133"/>
      <c r="I19" s="133" t="s">
        <v>2061</v>
      </c>
      <c r="J19" s="133">
        <v>32.177101</v>
      </c>
      <c r="K19" s="133">
        <v>35.055956999999999</v>
      </c>
      <c r="L19" s="132" t="s">
        <v>2062</v>
      </c>
      <c r="M19" s="133" t="s">
        <v>2063</v>
      </c>
      <c r="N19" s="132" t="s">
        <v>2064</v>
      </c>
      <c r="O19" s="133" t="s">
        <v>2065</v>
      </c>
      <c r="P19" s="132" t="s">
        <v>2066</v>
      </c>
      <c r="Q19" s="133" t="s">
        <v>2067</v>
      </c>
      <c r="R19" s="133">
        <v>890</v>
      </c>
      <c r="S19" s="133">
        <v>890</v>
      </c>
      <c r="T19" s="132" t="s">
        <v>1839</v>
      </c>
      <c r="U19" s="133" t="s">
        <v>1840</v>
      </c>
      <c r="V19" s="132" t="s">
        <v>2068</v>
      </c>
      <c r="W19" s="133" t="s">
        <v>2069</v>
      </c>
      <c r="X19" s="132" t="s">
        <v>2070</v>
      </c>
      <c r="Y19" s="133" t="s">
        <v>2071</v>
      </c>
      <c r="Z19" s="132" t="s">
        <v>2072</v>
      </c>
      <c r="AA19" s="140">
        <v>19904</v>
      </c>
    </row>
    <row r="20" spans="1:27">
      <c r="A20" s="131"/>
      <c r="B20" s="132" t="s">
        <v>2073</v>
      </c>
      <c r="C20" s="133" t="s">
        <v>2074</v>
      </c>
      <c r="D20" s="134">
        <v>1954</v>
      </c>
      <c r="E20" s="133" t="s">
        <v>2075</v>
      </c>
      <c r="F20" s="132" t="s">
        <v>2076</v>
      </c>
      <c r="G20" s="133" t="s">
        <v>2077</v>
      </c>
      <c r="H20" s="133"/>
      <c r="I20" s="141" t="s">
        <v>2079</v>
      </c>
      <c r="J20" s="133">
        <v>58.883600999999999</v>
      </c>
      <c r="K20" s="133">
        <v>-131.74868599999999</v>
      </c>
      <c r="L20" s="132" t="s">
        <v>2080</v>
      </c>
      <c r="M20" s="133" t="s">
        <v>2081</v>
      </c>
      <c r="N20" s="132" t="s">
        <v>2082</v>
      </c>
      <c r="O20" s="133" t="s">
        <v>2083</v>
      </c>
      <c r="P20" s="132" t="s">
        <v>2084</v>
      </c>
      <c r="Q20" s="133" t="s">
        <v>2085</v>
      </c>
      <c r="R20" s="133" t="s">
        <v>2086</v>
      </c>
      <c r="S20" s="133" t="s">
        <v>2086</v>
      </c>
      <c r="T20" s="132" t="s">
        <v>2087</v>
      </c>
      <c r="U20" s="133" t="s">
        <v>2088</v>
      </c>
      <c r="V20" s="132" t="s">
        <v>2089</v>
      </c>
      <c r="W20" s="133" t="s">
        <v>2090</v>
      </c>
      <c r="X20" s="135"/>
      <c r="Y20" s="135"/>
      <c r="Z20" s="135"/>
      <c r="AA20" s="140">
        <v>19811</v>
      </c>
    </row>
    <row r="21" spans="1:27">
      <c r="A21" s="131"/>
      <c r="B21" s="132" t="s">
        <v>2091</v>
      </c>
      <c r="C21" s="133" t="s">
        <v>2092</v>
      </c>
      <c r="D21" s="134">
        <v>1954</v>
      </c>
      <c r="E21" s="133" t="s">
        <v>2093</v>
      </c>
      <c r="F21" s="132" t="s">
        <v>2094</v>
      </c>
      <c r="G21" s="133" t="s">
        <v>2095</v>
      </c>
      <c r="H21" s="133"/>
      <c r="I21" s="133" t="s">
        <v>176</v>
      </c>
      <c r="J21" s="133">
        <v>31.354676300000001</v>
      </c>
      <c r="K21" s="133">
        <v>34.308825499999998</v>
      </c>
      <c r="L21" s="132" t="s">
        <v>2096</v>
      </c>
      <c r="M21" s="133" t="s">
        <v>2097</v>
      </c>
      <c r="N21" s="132" t="s">
        <v>2098</v>
      </c>
      <c r="O21" s="133" t="s">
        <v>2099</v>
      </c>
      <c r="P21" s="132" t="s">
        <v>2100</v>
      </c>
      <c r="Q21" s="133" t="s">
        <v>2101</v>
      </c>
      <c r="R21" s="133">
        <v>890</v>
      </c>
      <c r="S21" s="133">
        <v>890</v>
      </c>
      <c r="T21" s="132" t="s">
        <v>1839</v>
      </c>
      <c r="U21" s="133" t="s">
        <v>1840</v>
      </c>
      <c r="V21" s="132" t="s">
        <v>2102</v>
      </c>
      <c r="W21" s="133" t="s">
        <v>2104</v>
      </c>
      <c r="X21" s="135"/>
      <c r="Y21" s="135"/>
      <c r="Z21" s="135"/>
      <c r="AA21" s="140">
        <v>19950</v>
      </c>
    </row>
    <row r="22" spans="1:27">
      <c r="A22" s="131"/>
      <c r="B22" s="132" t="s">
        <v>2105</v>
      </c>
      <c r="C22" s="133" t="s">
        <v>2107</v>
      </c>
      <c r="D22" s="134">
        <v>1954</v>
      </c>
      <c r="E22" s="133" t="s">
        <v>2108</v>
      </c>
      <c r="F22" s="132" t="s">
        <v>2110</v>
      </c>
      <c r="G22" s="133" t="s">
        <v>2111</v>
      </c>
      <c r="H22" s="133"/>
      <c r="I22" s="133" t="s">
        <v>2113</v>
      </c>
      <c r="J22" s="133">
        <v>31.354676300000001</v>
      </c>
      <c r="K22" s="133">
        <v>34.308825499999998</v>
      </c>
      <c r="L22" s="132" t="s">
        <v>2115</v>
      </c>
      <c r="M22" s="133" t="s">
        <v>2116</v>
      </c>
      <c r="N22" s="132" t="s">
        <v>2117</v>
      </c>
      <c r="O22" s="133" t="s">
        <v>2118</v>
      </c>
      <c r="P22" s="132" t="s">
        <v>2119</v>
      </c>
      <c r="Q22" s="133" t="s">
        <v>2120</v>
      </c>
      <c r="R22" s="133">
        <v>890</v>
      </c>
      <c r="S22" s="133">
        <v>890</v>
      </c>
      <c r="T22" s="132" t="s">
        <v>1839</v>
      </c>
      <c r="U22" s="133" t="s">
        <v>1840</v>
      </c>
      <c r="V22" s="132" t="s">
        <v>2121</v>
      </c>
      <c r="W22" s="133" t="s">
        <v>2122</v>
      </c>
      <c r="X22" s="135"/>
      <c r="Y22" s="135"/>
      <c r="Z22" s="135"/>
      <c r="AA22" s="140">
        <v>19816</v>
      </c>
    </row>
    <row r="23" spans="1:27">
      <c r="A23" s="131"/>
      <c r="B23" s="132" t="s">
        <v>2123</v>
      </c>
      <c r="C23" s="133" t="s">
        <v>2124</v>
      </c>
      <c r="D23" s="134">
        <v>1954</v>
      </c>
      <c r="E23" s="133" t="s">
        <v>2125</v>
      </c>
      <c r="F23" s="132" t="s">
        <v>2126</v>
      </c>
      <c r="G23" s="133" t="s">
        <v>2127</v>
      </c>
      <c r="H23" s="133"/>
      <c r="I23" s="133" t="s">
        <v>2129</v>
      </c>
      <c r="J23" s="133">
        <v>33.240338000000001</v>
      </c>
      <c r="K23" s="133">
        <v>35.677014999999997</v>
      </c>
      <c r="L23" s="132" t="s">
        <v>2131</v>
      </c>
      <c r="M23" s="133" t="s">
        <v>2133</v>
      </c>
      <c r="N23" s="135"/>
      <c r="O23" s="135"/>
      <c r="P23" s="132" t="s">
        <v>2135</v>
      </c>
      <c r="Q23" s="133" t="s">
        <v>2137</v>
      </c>
      <c r="R23" s="132" t="s">
        <v>2138</v>
      </c>
      <c r="S23" s="133" t="s">
        <v>2139</v>
      </c>
      <c r="T23" s="132" t="s">
        <v>1890</v>
      </c>
      <c r="U23" s="133" t="s">
        <v>1891</v>
      </c>
      <c r="V23" s="132" t="s">
        <v>2140</v>
      </c>
      <c r="W23" s="133" t="s">
        <v>2141</v>
      </c>
      <c r="X23" s="133" t="s">
        <v>2142</v>
      </c>
      <c r="Y23" s="133" t="s">
        <v>2142</v>
      </c>
      <c r="Z23" s="132" t="s">
        <v>2143</v>
      </c>
      <c r="AA23" s="140">
        <v>20066</v>
      </c>
    </row>
    <row r="24" spans="1:27">
      <c r="A24" s="131"/>
      <c r="B24" s="132" t="s">
        <v>2144</v>
      </c>
      <c r="C24" s="133" t="s">
        <v>2145</v>
      </c>
      <c r="D24" s="134">
        <v>1954</v>
      </c>
      <c r="E24" s="133">
        <v>8.1953999999999994</v>
      </c>
      <c r="F24" s="132" t="s">
        <v>2146</v>
      </c>
      <c r="G24" s="133" t="s">
        <v>2147</v>
      </c>
      <c r="H24" s="133"/>
      <c r="I24" s="133" t="s">
        <v>1218</v>
      </c>
      <c r="J24" s="133">
        <v>31.532568999999999</v>
      </c>
      <c r="K24" s="133">
        <v>35.099826</v>
      </c>
      <c r="L24" s="132" t="s">
        <v>2148</v>
      </c>
      <c r="M24" s="133" t="s">
        <v>2150</v>
      </c>
      <c r="N24" s="132" t="s">
        <v>2152</v>
      </c>
      <c r="O24" s="133" t="s">
        <v>2154</v>
      </c>
      <c r="P24" s="132" t="s">
        <v>2155</v>
      </c>
      <c r="Q24" s="133" t="s">
        <v>2157</v>
      </c>
      <c r="R24" s="132" t="s">
        <v>2158</v>
      </c>
      <c r="S24" s="133" t="s">
        <v>2160</v>
      </c>
      <c r="T24" s="132" t="s">
        <v>1890</v>
      </c>
      <c r="U24" s="133" t="s">
        <v>1891</v>
      </c>
      <c r="V24" s="132" t="s">
        <v>2161</v>
      </c>
      <c r="W24" s="133" t="s">
        <v>2162</v>
      </c>
      <c r="X24" s="135"/>
      <c r="Y24" s="135"/>
      <c r="Z24" s="135"/>
      <c r="AA24" s="138"/>
    </row>
    <row r="25" spans="1:27">
      <c r="A25" s="131"/>
      <c r="B25" s="132" t="s">
        <v>2165</v>
      </c>
      <c r="C25" s="133" t="s">
        <v>2167</v>
      </c>
      <c r="D25" s="134">
        <v>1954</v>
      </c>
      <c r="E25" s="133" t="s">
        <v>2169</v>
      </c>
      <c r="F25" s="132" t="s">
        <v>2171</v>
      </c>
      <c r="G25" s="133" t="s">
        <v>2172</v>
      </c>
      <c r="H25" s="133"/>
      <c r="I25" s="133" t="s">
        <v>2172</v>
      </c>
      <c r="J25" s="133">
        <v>28.2584585</v>
      </c>
      <c r="K25" s="133">
        <v>34.675627899999903</v>
      </c>
      <c r="L25" s="132" t="s">
        <v>2173</v>
      </c>
      <c r="M25" s="133" t="s">
        <v>2174</v>
      </c>
      <c r="N25" s="132" t="s">
        <v>2175</v>
      </c>
      <c r="O25" s="133" t="s">
        <v>2176</v>
      </c>
      <c r="P25" s="132" t="s">
        <v>2177</v>
      </c>
      <c r="Q25" s="133" t="s">
        <v>2178</v>
      </c>
      <c r="R25" s="132" t="s">
        <v>2179</v>
      </c>
      <c r="S25" s="133" t="s">
        <v>2180</v>
      </c>
      <c r="T25" s="132" t="s">
        <v>1890</v>
      </c>
      <c r="U25" s="133" t="s">
        <v>1891</v>
      </c>
      <c r="V25" s="132" t="s">
        <v>2182</v>
      </c>
      <c r="W25" s="133" t="s">
        <v>2184</v>
      </c>
      <c r="X25" s="135"/>
      <c r="Y25" s="135"/>
      <c r="Z25" s="135"/>
      <c r="AA25" s="140">
        <v>19875</v>
      </c>
    </row>
    <row r="26" spans="1:27">
      <c r="A26" s="131"/>
      <c r="B26" s="132" t="s">
        <v>2187</v>
      </c>
      <c r="C26" s="133" t="s">
        <v>2188</v>
      </c>
      <c r="D26" s="134">
        <v>1954</v>
      </c>
      <c r="E26" s="133" t="s">
        <v>2189</v>
      </c>
      <c r="F26" s="132" t="s">
        <v>2190</v>
      </c>
      <c r="G26" s="133" t="s">
        <v>2191</v>
      </c>
      <c r="H26" s="133"/>
      <c r="I26" s="133" t="s">
        <v>2192</v>
      </c>
      <c r="J26" s="149">
        <v>33.3636111</v>
      </c>
      <c r="K26" s="149">
        <v>35.446388900000002</v>
      </c>
      <c r="L26" s="132" t="s">
        <v>2195</v>
      </c>
      <c r="M26" s="133" t="s">
        <v>2197</v>
      </c>
      <c r="N26" s="132" t="s">
        <v>2198</v>
      </c>
      <c r="O26" s="133" t="s">
        <v>2200</v>
      </c>
      <c r="P26" s="132" t="s">
        <v>2202</v>
      </c>
      <c r="Q26" s="133" t="s">
        <v>2203</v>
      </c>
      <c r="R26" s="132" t="s">
        <v>2204</v>
      </c>
      <c r="S26" s="133" t="s">
        <v>2205</v>
      </c>
      <c r="T26" s="132" t="s">
        <v>1890</v>
      </c>
      <c r="U26" s="133" t="s">
        <v>1891</v>
      </c>
      <c r="V26" s="132" t="s">
        <v>2206</v>
      </c>
      <c r="W26" s="133" t="s">
        <v>2207</v>
      </c>
      <c r="X26" s="135"/>
      <c r="Y26" s="135"/>
      <c r="Z26" s="135"/>
      <c r="AA26" s="140">
        <v>19969</v>
      </c>
    </row>
    <row r="27" spans="1:27">
      <c r="A27" s="131"/>
      <c r="B27" s="132" t="s">
        <v>2208</v>
      </c>
      <c r="C27" s="133" t="s">
        <v>2209</v>
      </c>
      <c r="D27" s="134">
        <v>1954</v>
      </c>
      <c r="E27" s="133" t="s">
        <v>2211</v>
      </c>
      <c r="F27" s="136" t="s">
        <v>2212</v>
      </c>
      <c r="G27" s="137" t="s">
        <v>2213</v>
      </c>
      <c r="H27" s="137"/>
      <c r="I27" s="156" t="s">
        <v>2215</v>
      </c>
      <c r="J27" s="157">
        <v>27.466666700000001</v>
      </c>
      <c r="K27" s="157">
        <v>41.683333300000001</v>
      </c>
      <c r="L27" s="135"/>
      <c r="M27" s="135"/>
      <c r="N27" s="135"/>
      <c r="O27" s="135"/>
      <c r="P27" s="135"/>
      <c r="Q27" s="135"/>
      <c r="R27" s="135"/>
      <c r="S27" s="135"/>
      <c r="T27" s="135"/>
      <c r="U27" s="135"/>
      <c r="V27" s="135"/>
      <c r="W27" s="135"/>
      <c r="X27" s="135"/>
      <c r="Y27" s="135"/>
      <c r="Z27" s="135"/>
      <c r="AA27" s="140">
        <v>20062</v>
      </c>
    </row>
    <row r="28" spans="1:27">
      <c r="A28" s="131"/>
      <c r="B28" s="132" t="s">
        <v>2232</v>
      </c>
      <c r="C28" s="133" t="s">
        <v>2233</v>
      </c>
      <c r="D28" s="134">
        <v>1954</v>
      </c>
      <c r="E28" s="133" t="s">
        <v>2234</v>
      </c>
      <c r="F28" s="132" t="s">
        <v>2235</v>
      </c>
      <c r="G28" s="133" t="s">
        <v>2236</v>
      </c>
      <c r="H28" s="133"/>
      <c r="I28" s="133" t="s">
        <v>2237</v>
      </c>
      <c r="J28" s="149">
        <v>31.349976999999999</v>
      </c>
      <c r="K28" s="149">
        <v>34.299681999999997</v>
      </c>
      <c r="L28" s="132" t="s">
        <v>1832</v>
      </c>
      <c r="M28" s="133" t="s">
        <v>1833</v>
      </c>
      <c r="N28" s="132" t="s">
        <v>2241</v>
      </c>
      <c r="O28" s="133" t="s">
        <v>2243</v>
      </c>
      <c r="P28" s="132" t="s">
        <v>2244</v>
      </c>
      <c r="Q28" s="133" t="s">
        <v>2246</v>
      </c>
      <c r="R28" s="133">
        <v>890</v>
      </c>
      <c r="S28" s="133">
        <v>890</v>
      </c>
      <c r="T28" s="132" t="s">
        <v>1839</v>
      </c>
      <c r="U28" s="133" t="s">
        <v>1840</v>
      </c>
      <c r="V28" s="132" t="s">
        <v>2247</v>
      </c>
      <c r="W28" s="133" t="s">
        <v>2249</v>
      </c>
      <c r="X28" s="132" t="s">
        <v>2250</v>
      </c>
      <c r="Y28" s="133" t="s">
        <v>2252</v>
      </c>
      <c r="Z28" s="135"/>
      <c r="AA28" s="140">
        <v>19915</v>
      </c>
    </row>
    <row r="29" spans="1:27">
      <c r="A29" s="131"/>
      <c r="B29" s="132" t="s">
        <v>2256</v>
      </c>
      <c r="C29" s="133" t="s">
        <v>2257</v>
      </c>
      <c r="D29" s="134">
        <v>1955</v>
      </c>
      <c r="E29" s="133" t="s">
        <v>2258</v>
      </c>
      <c r="F29" s="132" t="s">
        <v>2259</v>
      </c>
      <c r="G29" s="133" t="s">
        <v>176</v>
      </c>
      <c r="H29" s="133"/>
      <c r="I29" s="133" t="s">
        <v>176</v>
      </c>
      <c r="J29" s="133">
        <v>31.354676300000001</v>
      </c>
      <c r="K29" s="133">
        <v>34.308825499999998</v>
      </c>
      <c r="L29" s="132" t="s">
        <v>2260</v>
      </c>
      <c r="M29" s="133" t="s">
        <v>2261</v>
      </c>
      <c r="N29" s="132" t="s">
        <v>2262</v>
      </c>
      <c r="O29" s="133" t="s">
        <v>2263</v>
      </c>
      <c r="P29" s="132" t="s">
        <v>2264</v>
      </c>
      <c r="Q29" s="133" t="s">
        <v>2265</v>
      </c>
      <c r="R29" s="132" t="s">
        <v>2266</v>
      </c>
      <c r="S29" s="133" t="s">
        <v>2267</v>
      </c>
      <c r="T29" s="132" t="s">
        <v>1890</v>
      </c>
      <c r="U29" s="133" t="s">
        <v>1891</v>
      </c>
      <c r="V29" s="132" t="s">
        <v>2268</v>
      </c>
      <c r="W29" s="133" t="s">
        <v>2269</v>
      </c>
      <c r="X29" s="132" t="s">
        <v>2270</v>
      </c>
      <c r="Y29" s="133" t="s">
        <v>2271</v>
      </c>
      <c r="Z29" s="135"/>
      <c r="AA29" s="140">
        <v>20148</v>
      </c>
    </row>
    <row r="30" spans="1:27">
      <c r="A30" s="131"/>
      <c r="B30" s="132" t="s">
        <v>2272</v>
      </c>
      <c r="C30" s="133" t="s">
        <v>2273</v>
      </c>
      <c r="D30" s="134">
        <v>1955</v>
      </c>
      <c r="E30" s="133" t="s">
        <v>2274</v>
      </c>
      <c r="F30" s="132" t="s">
        <v>2275</v>
      </c>
      <c r="G30" s="133" t="s">
        <v>2276</v>
      </c>
      <c r="H30" s="133"/>
      <c r="I30" s="141" t="s">
        <v>2277</v>
      </c>
      <c r="J30" s="149">
        <v>55.398646300000003</v>
      </c>
      <c r="K30" s="149">
        <v>-4.1835696999999996</v>
      </c>
      <c r="L30" s="132" t="s">
        <v>2280</v>
      </c>
      <c r="M30" s="133" t="s">
        <v>2282</v>
      </c>
      <c r="N30" s="132" t="s">
        <v>2284</v>
      </c>
      <c r="O30" s="133" t="s">
        <v>2286</v>
      </c>
      <c r="P30" s="132" t="s">
        <v>2287</v>
      </c>
      <c r="Q30" s="133" t="s">
        <v>2288</v>
      </c>
      <c r="R30" s="133">
        <v>890</v>
      </c>
      <c r="S30" s="133">
        <v>890</v>
      </c>
      <c r="T30" s="132" t="s">
        <v>1839</v>
      </c>
      <c r="U30" s="133" t="s">
        <v>1840</v>
      </c>
      <c r="V30" s="132" t="s">
        <v>2289</v>
      </c>
      <c r="W30" s="133" t="s">
        <v>2290</v>
      </c>
      <c r="X30" s="132" t="s">
        <v>2291</v>
      </c>
      <c r="Y30" s="133" t="s">
        <v>2292</v>
      </c>
      <c r="Z30" s="135"/>
      <c r="AA30" s="140">
        <v>20389</v>
      </c>
    </row>
    <row r="31" spans="1:27">
      <c r="A31" s="131"/>
      <c r="B31" s="132" t="s">
        <v>2293</v>
      </c>
      <c r="C31" s="133" t="s">
        <v>2294</v>
      </c>
      <c r="D31" s="134">
        <v>1955</v>
      </c>
      <c r="E31" s="133" t="s">
        <v>2295</v>
      </c>
      <c r="F31" s="132" t="s">
        <v>2296</v>
      </c>
      <c r="G31" s="133" t="s">
        <v>2297</v>
      </c>
      <c r="H31" s="133"/>
      <c r="I31" s="133" t="s">
        <v>2297</v>
      </c>
      <c r="J31" s="133">
        <v>31.349976999999999</v>
      </c>
      <c r="K31" s="133">
        <v>34.299681999999997</v>
      </c>
      <c r="L31" s="132" t="s">
        <v>2298</v>
      </c>
      <c r="M31" s="133" t="s">
        <v>2299</v>
      </c>
      <c r="N31" s="132" t="s">
        <v>2300</v>
      </c>
      <c r="O31" s="133" t="s">
        <v>2301</v>
      </c>
      <c r="P31" s="132" t="s">
        <v>2302</v>
      </c>
      <c r="Q31" s="133" t="s">
        <v>2303</v>
      </c>
      <c r="R31" s="133">
        <v>890</v>
      </c>
      <c r="S31" s="133">
        <v>890</v>
      </c>
      <c r="T31" s="132" t="s">
        <v>1839</v>
      </c>
      <c r="U31" s="133" t="s">
        <v>1840</v>
      </c>
      <c r="V31" s="132" t="s">
        <v>2305</v>
      </c>
      <c r="W31" s="133" t="s">
        <v>2306</v>
      </c>
      <c r="X31" s="132" t="s">
        <v>2307</v>
      </c>
      <c r="Y31" s="133" t="s">
        <v>2308</v>
      </c>
      <c r="Z31" s="135"/>
      <c r="AA31" s="140">
        <v>20332</v>
      </c>
    </row>
    <row r="32" spans="1:27">
      <c r="A32" s="131"/>
      <c r="B32" s="132" t="s">
        <v>2309</v>
      </c>
      <c r="C32" s="133" t="s">
        <v>2311</v>
      </c>
      <c r="D32" s="134">
        <v>1955</v>
      </c>
      <c r="E32" s="133" t="s">
        <v>2312</v>
      </c>
      <c r="F32" s="132" t="s">
        <v>2313</v>
      </c>
      <c r="G32" s="133" t="s">
        <v>2314</v>
      </c>
      <c r="H32" s="133"/>
      <c r="I32" s="133" t="s">
        <v>131</v>
      </c>
      <c r="J32" s="133">
        <v>30.885983</v>
      </c>
      <c r="K32" s="133">
        <v>34.422569000000003</v>
      </c>
      <c r="L32" s="132" t="s">
        <v>2315</v>
      </c>
      <c r="M32" s="133" t="s">
        <v>2316</v>
      </c>
      <c r="N32" s="132" t="s">
        <v>2317</v>
      </c>
      <c r="O32" s="133" t="s">
        <v>2318</v>
      </c>
      <c r="P32" s="132" t="s">
        <v>1832</v>
      </c>
      <c r="Q32" s="133" t="s">
        <v>1833</v>
      </c>
      <c r="R32" s="133">
        <v>890</v>
      </c>
      <c r="S32" s="133">
        <v>890</v>
      </c>
      <c r="T32" s="132" t="s">
        <v>1839</v>
      </c>
      <c r="U32" s="133" t="s">
        <v>1840</v>
      </c>
      <c r="V32" s="132" t="s">
        <v>2319</v>
      </c>
      <c r="W32" s="133" t="s">
        <v>2320</v>
      </c>
      <c r="X32" s="135"/>
      <c r="Y32" s="135"/>
      <c r="Z32" s="135"/>
      <c r="AA32" s="140" t="s">
        <v>2322</v>
      </c>
    </row>
    <row r="33" spans="1:27">
      <c r="A33" s="131"/>
      <c r="B33" s="132" t="s">
        <v>2323</v>
      </c>
      <c r="C33" s="133" t="s">
        <v>2324</v>
      </c>
      <c r="D33" s="134">
        <v>1955</v>
      </c>
      <c r="E33" s="133" t="s">
        <v>2325</v>
      </c>
      <c r="F33" s="132" t="s">
        <v>2326</v>
      </c>
      <c r="G33" s="133" t="s">
        <v>2327</v>
      </c>
      <c r="H33" s="133"/>
      <c r="I33" s="133" t="s">
        <v>131</v>
      </c>
      <c r="J33" s="133">
        <v>30.885983</v>
      </c>
      <c r="K33" s="133">
        <v>34.422569000000003</v>
      </c>
      <c r="L33" s="132" t="s">
        <v>2329</v>
      </c>
      <c r="M33" s="133" t="s">
        <v>2330</v>
      </c>
      <c r="N33" s="132" t="s">
        <v>2331</v>
      </c>
      <c r="O33" s="133" t="s">
        <v>2332</v>
      </c>
      <c r="P33" s="132" t="s">
        <v>2333</v>
      </c>
      <c r="Q33" s="133" t="s">
        <v>2335</v>
      </c>
      <c r="R33" s="132" t="s">
        <v>2336</v>
      </c>
      <c r="S33" s="133" t="s">
        <v>2337</v>
      </c>
      <c r="T33" s="132" t="s">
        <v>2338</v>
      </c>
      <c r="U33" s="133" t="s">
        <v>2339</v>
      </c>
      <c r="V33" s="132" t="s">
        <v>2340</v>
      </c>
      <c r="W33" s="133" t="s">
        <v>2341</v>
      </c>
      <c r="X33" s="132" t="s">
        <v>2342</v>
      </c>
      <c r="Y33" s="133" t="s">
        <v>2343</v>
      </c>
      <c r="Z33" s="132" t="s">
        <v>2344</v>
      </c>
      <c r="AA33" s="140">
        <v>20131</v>
      </c>
    </row>
    <row r="34" spans="1:27">
      <c r="A34" s="131"/>
      <c r="B34" s="132" t="s">
        <v>2345</v>
      </c>
      <c r="C34" s="133" t="s">
        <v>2346</v>
      </c>
      <c r="D34" s="134">
        <v>1955</v>
      </c>
      <c r="E34" s="133" t="s">
        <v>2347</v>
      </c>
      <c r="F34" s="132" t="s">
        <v>2348</v>
      </c>
      <c r="G34" s="133" t="s">
        <v>2349</v>
      </c>
      <c r="H34" s="133"/>
      <c r="I34" s="141" t="s">
        <v>2349</v>
      </c>
      <c r="J34" s="149">
        <v>41.735088400000002</v>
      </c>
      <c r="K34" s="149">
        <v>-75.1396151</v>
      </c>
      <c r="L34" s="132" t="s">
        <v>2351</v>
      </c>
      <c r="M34" s="133" t="s">
        <v>2352</v>
      </c>
      <c r="N34" s="132" t="s">
        <v>2353</v>
      </c>
      <c r="O34" s="133" t="s">
        <v>2354</v>
      </c>
      <c r="P34" s="132" t="s">
        <v>2355</v>
      </c>
      <c r="Q34" s="133" t="s">
        <v>2356</v>
      </c>
      <c r="R34" s="132" t="s">
        <v>2357</v>
      </c>
      <c r="S34" s="158" t="s">
        <v>2358</v>
      </c>
      <c r="T34" s="132" t="s">
        <v>1890</v>
      </c>
      <c r="U34" s="133" t="s">
        <v>1891</v>
      </c>
      <c r="V34" s="132" t="s">
        <v>2364</v>
      </c>
      <c r="W34" s="133" t="s">
        <v>2366</v>
      </c>
      <c r="X34" s="132" t="s">
        <v>2367</v>
      </c>
      <c r="Y34" s="133" t="s">
        <v>2369</v>
      </c>
      <c r="Z34" s="132" t="s">
        <v>2372</v>
      </c>
      <c r="AA34" s="140">
        <v>20434</v>
      </c>
    </row>
    <row r="35" spans="1:27">
      <c r="A35" s="131"/>
      <c r="B35" s="132" t="s">
        <v>2375</v>
      </c>
      <c r="C35" s="133" t="s">
        <v>2376</v>
      </c>
      <c r="D35" s="134">
        <v>1955</v>
      </c>
      <c r="E35" s="133" t="s">
        <v>2377</v>
      </c>
      <c r="F35" s="132" t="s">
        <v>2378</v>
      </c>
      <c r="G35" s="133" t="s">
        <v>1865</v>
      </c>
      <c r="H35" s="133"/>
      <c r="I35" s="133" t="s">
        <v>1865</v>
      </c>
      <c r="J35" s="133">
        <v>31.280266699999999</v>
      </c>
      <c r="K35" s="133">
        <v>34.2401914</v>
      </c>
      <c r="L35" s="132" t="s">
        <v>2379</v>
      </c>
      <c r="M35" s="133" t="s">
        <v>2380</v>
      </c>
      <c r="N35" s="132" t="s">
        <v>2381</v>
      </c>
      <c r="O35" s="133" t="s">
        <v>2382</v>
      </c>
      <c r="P35" s="132" t="s">
        <v>2383</v>
      </c>
      <c r="Q35" s="133" t="s">
        <v>2384</v>
      </c>
      <c r="R35" s="133">
        <v>890</v>
      </c>
      <c r="S35" s="133">
        <v>890</v>
      </c>
      <c r="T35" s="132" t="s">
        <v>1839</v>
      </c>
      <c r="U35" s="133" t="s">
        <v>1840</v>
      </c>
      <c r="V35" s="132" t="s">
        <v>2385</v>
      </c>
      <c r="W35" s="133" t="s">
        <v>2386</v>
      </c>
      <c r="X35" s="135"/>
      <c r="Y35" s="135"/>
      <c r="Z35" s="135"/>
      <c r="AA35" s="140">
        <v>20330</v>
      </c>
    </row>
    <row r="36" spans="1:27">
      <c r="A36" s="131"/>
      <c r="B36" s="132" t="s">
        <v>2387</v>
      </c>
      <c r="C36" s="133" t="s">
        <v>2388</v>
      </c>
      <c r="D36" s="134">
        <v>1955</v>
      </c>
      <c r="E36" s="133" t="s">
        <v>2389</v>
      </c>
      <c r="F36" s="132" t="s">
        <v>2391</v>
      </c>
      <c r="G36" s="133" t="s">
        <v>2392</v>
      </c>
      <c r="H36" s="133"/>
      <c r="I36" s="133" t="s">
        <v>2393</v>
      </c>
      <c r="J36" s="133">
        <v>33.015585399999999</v>
      </c>
      <c r="K36" s="133">
        <v>35.784354</v>
      </c>
      <c r="L36" s="132" t="s">
        <v>2394</v>
      </c>
      <c r="M36" s="133" t="s">
        <v>2395</v>
      </c>
      <c r="N36" s="132" t="s">
        <v>2396</v>
      </c>
      <c r="O36" s="133" t="s">
        <v>2397</v>
      </c>
      <c r="P36" s="132" t="s">
        <v>2398</v>
      </c>
      <c r="Q36" s="133" t="s">
        <v>2399</v>
      </c>
      <c r="R36" s="133">
        <v>890</v>
      </c>
      <c r="S36" s="133">
        <v>890</v>
      </c>
      <c r="T36" s="132" t="s">
        <v>1839</v>
      </c>
      <c r="U36" s="133" t="s">
        <v>1840</v>
      </c>
      <c r="V36" s="132" t="s">
        <v>2400</v>
      </c>
      <c r="W36" s="133" t="s">
        <v>2401</v>
      </c>
      <c r="X36" s="135"/>
      <c r="Y36" s="135"/>
      <c r="Z36" s="135"/>
      <c r="AA36" s="140">
        <v>20384</v>
      </c>
    </row>
    <row r="37" spans="1:27">
      <c r="A37" s="131"/>
      <c r="B37" s="132" t="s">
        <v>2402</v>
      </c>
      <c r="C37" s="133" t="s">
        <v>2403</v>
      </c>
      <c r="D37" s="134">
        <v>1955</v>
      </c>
      <c r="E37" s="132" t="s">
        <v>2405</v>
      </c>
      <c r="F37" s="132" t="s">
        <v>2406</v>
      </c>
      <c r="G37" s="133" t="s">
        <v>2407</v>
      </c>
      <c r="H37" s="133"/>
      <c r="I37" s="133" t="s">
        <v>2408</v>
      </c>
      <c r="J37" s="149">
        <v>29.492567899999901</v>
      </c>
      <c r="K37" s="149">
        <v>34.894902700000003</v>
      </c>
      <c r="L37" s="132" t="s">
        <v>2409</v>
      </c>
      <c r="M37" s="133" t="s">
        <v>2410</v>
      </c>
      <c r="N37" s="132" t="s">
        <v>2411</v>
      </c>
      <c r="O37" s="133" t="s">
        <v>2412</v>
      </c>
      <c r="P37" s="132" t="s">
        <v>2413</v>
      </c>
      <c r="Q37" s="133" t="s">
        <v>2414</v>
      </c>
      <c r="R37" s="132" t="s">
        <v>2415</v>
      </c>
      <c r="S37" s="133" t="s">
        <v>2416</v>
      </c>
      <c r="T37" s="132" t="s">
        <v>1839</v>
      </c>
      <c r="U37" s="133" t="s">
        <v>1840</v>
      </c>
      <c r="V37" s="132" t="s">
        <v>2417</v>
      </c>
      <c r="W37" s="133" t="s">
        <v>2418</v>
      </c>
      <c r="X37" s="135"/>
      <c r="Y37" s="135"/>
      <c r="Z37" s="135"/>
      <c r="AA37" s="138"/>
    </row>
    <row r="38" spans="1:27">
      <c r="A38" s="131"/>
      <c r="B38" s="132" t="s">
        <v>2419</v>
      </c>
      <c r="C38" s="133" t="s">
        <v>2420</v>
      </c>
      <c r="D38" s="134">
        <v>1955</v>
      </c>
      <c r="E38" s="132" t="s">
        <v>2405</v>
      </c>
      <c r="F38" s="132" t="s">
        <v>2421</v>
      </c>
      <c r="G38" s="133" t="s">
        <v>2422</v>
      </c>
      <c r="H38" s="133"/>
      <c r="I38" s="133" t="s">
        <v>2423</v>
      </c>
      <c r="J38" s="139"/>
      <c r="K38" s="139"/>
      <c r="L38" s="132" t="s">
        <v>2424</v>
      </c>
      <c r="M38" s="133" t="s">
        <v>2425</v>
      </c>
      <c r="N38" s="132" t="s">
        <v>2426</v>
      </c>
      <c r="O38" s="133" t="s">
        <v>2427</v>
      </c>
      <c r="P38" s="132" t="s">
        <v>2428</v>
      </c>
      <c r="Q38" s="133" t="s">
        <v>2429</v>
      </c>
      <c r="R38" s="132" t="s">
        <v>2431</v>
      </c>
      <c r="S38" s="133" t="s">
        <v>2432</v>
      </c>
      <c r="T38" s="132" t="s">
        <v>1890</v>
      </c>
      <c r="U38" s="133" t="s">
        <v>1891</v>
      </c>
      <c r="V38" s="132" t="s">
        <v>2434</v>
      </c>
      <c r="W38" s="133" t="s">
        <v>2435</v>
      </c>
      <c r="X38" s="135"/>
      <c r="Y38" s="135"/>
      <c r="Z38" s="135"/>
      <c r="AA38" s="138"/>
    </row>
    <row r="39" spans="1:27">
      <c r="A39" s="131"/>
      <c r="B39" s="132" t="s">
        <v>2436</v>
      </c>
      <c r="C39" s="133" t="s">
        <v>2437</v>
      </c>
      <c r="D39" s="134">
        <v>1955</v>
      </c>
      <c r="E39" s="133" t="s">
        <v>2438</v>
      </c>
      <c r="F39" s="132" t="s">
        <v>2439</v>
      </c>
      <c r="G39" s="133" t="s">
        <v>2440</v>
      </c>
      <c r="H39" s="133"/>
      <c r="I39" s="141" t="s">
        <v>2440</v>
      </c>
      <c r="J39" s="133">
        <v>45.572468000000001</v>
      </c>
      <c r="K39" s="133">
        <v>-122.71988399999999</v>
      </c>
      <c r="L39" s="132" t="s">
        <v>2442</v>
      </c>
      <c r="M39" s="133" t="s">
        <v>2443</v>
      </c>
      <c r="N39" s="132" t="s">
        <v>2444</v>
      </c>
      <c r="O39" s="133" t="s">
        <v>2445</v>
      </c>
      <c r="P39" s="132" t="s">
        <v>2446</v>
      </c>
      <c r="Q39" s="133" t="s">
        <v>2447</v>
      </c>
      <c r="R39" s="132" t="s">
        <v>2448</v>
      </c>
      <c r="S39" s="133" t="s">
        <v>2449</v>
      </c>
      <c r="T39" s="132" t="s">
        <v>1890</v>
      </c>
      <c r="U39" s="133" t="s">
        <v>1891</v>
      </c>
      <c r="V39" s="132" t="s">
        <v>2450</v>
      </c>
      <c r="W39" s="133" t="s">
        <v>2451</v>
      </c>
      <c r="X39" s="132" t="s">
        <v>2452</v>
      </c>
      <c r="Y39" s="133" t="s">
        <v>2453</v>
      </c>
      <c r="Z39" s="135"/>
      <c r="AA39" s="140">
        <v>20265</v>
      </c>
    </row>
    <row r="40" spans="1:27">
      <c r="A40" s="131"/>
      <c r="B40" s="132" t="s">
        <v>2454</v>
      </c>
      <c r="C40" s="133" t="s">
        <v>2455</v>
      </c>
      <c r="D40" s="134">
        <v>1955</v>
      </c>
      <c r="E40" s="133" t="s">
        <v>2456</v>
      </c>
      <c r="F40" s="132" t="s">
        <v>2457</v>
      </c>
      <c r="G40" s="133" t="s">
        <v>2458</v>
      </c>
      <c r="H40" s="133"/>
      <c r="I40" s="133"/>
      <c r="J40" s="133"/>
      <c r="K40" s="133"/>
      <c r="L40" s="132" t="s">
        <v>2460</v>
      </c>
      <c r="M40" s="133" t="s">
        <v>2461</v>
      </c>
      <c r="N40" s="132" t="s">
        <v>2462</v>
      </c>
      <c r="O40" s="133" t="s">
        <v>2463</v>
      </c>
      <c r="P40" s="132" t="s">
        <v>2464</v>
      </c>
      <c r="Q40" s="133" t="s">
        <v>2465</v>
      </c>
      <c r="R40" s="132" t="s">
        <v>2466</v>
      </c>
      <c r="S40" s="133" t="s">
        <v>2468</v>
      </c>
      <c r="T40" s="132" t="s">
        <v>1890</v>
      </c>
      <c r="U40" s="133" t="s">
        <v>1891</v>
      </c>
      <c r="V40" s="132" t="s">
        <v>2469</v>
      </c>
      <c r="W40" s="133" t="s">
        <v>2470</v>
      </c>
      <c r="X40" s="135"/>
      <c r="Y40" s="135"/>
      <c r="Z40" s="135"/>
      <c r="AA40" s="140">
        <v>20320</v>
      </c>
    </row>
    <row r="41" spans="1:27">
      <c r="A41" s="131"/>
      <c r="B41" s="132" t="s">
        <v>2471</v>
      </c>
      <c r="C41" s="133" t="s">
        <v>2472</v>
      </c>
      <c r="D41" s="134">
        <v>1956</v>
      </c>
      <c r="E41" s="132" t="s">
        <v>2473</v>
      </c>
      <c r="F41" s="132" t="s">
        <v>2474</v>
      </c>
      <c r="G41" s="133" t="s">
        <v>2475</v>
      </c>
      <c r="H41" s="133"/>
      <c r="I41" s="133" t="s">
        <v>2476</v>
      </c>
      <c r="J41" s="133">
        <v>27.915817499999999</v>
      </c>
      <c r="K41" s="133">
        <v>34.329950500000002</v>
      </c>
      <c r="L41" s="132" t="s">
        <v>2477</v>
      </c>
      <c r="M41" s="133" t="s">
        <v>2478</v>
      </c>
      <c r="N41" s="132" t="s">
        <v>2479</v>
      </c>
      <c r="O41" s="133" t="s">
        <v>2480</v>
      </c>
      <c r="P41" s="132" t="s">
        <v>2481</v>
      </c>
      <c r="Q41" s="133" t="s">
        <v>2482</v>
      </c>
      <c r="R41" s="132" t="s">
        <v>2483</v>
      </c>
      <c r="S41" s="158" t="s">
        <v>2484</v>
      </c>
      <c r="T41" s="132" t="s">
        <v>1890</v>
      </c>
      <c r="U41" s="133" t="s">
        <v>1891</v>
      </c>
      <c r="V41" s="132" t="s">
        <v>2485</v>
      </c>
      <c r="W41" s="133" t="s">
        <v>2486</v>
      </c>
      <c r="X41" s="135"/>
      <c r="Y41" s="135"/>
      <c r="Z41" s="135"/>
      <c r="AA41" s="140">
        <v>20760</v>
      </c>
    </row>
    <row r="42" spans="1:27">
      <c r="A42" s="131"/>
      <c r="B42" s="132" t="s">
        <v>2488</v>
      </c>
      <c r="C42" s="133" t="s">
        <v>2489</v>
      </c>
      <c r="D42" s="134">
        <v>1956</v>
      </c>
      <c r="E42" s="133" t="s">
        <v>2490</v>
      </c>
      <c r="F42" s="132" t="s">
        <v>2491</v>
      </c>
      <c r="G42" s="133" t="s">
        <v>2493</v>
      </c>
      <c r="H42" s="133"/>
      <c r="I42" s="133" t="s">
        <v>2496</v>
      </c>
      <c r="J42" s="133">
        <v>43.501356000000001</v>
      </c>
      <c r="K42" s="133">
        <v>-3.5394983999999998</v>
      </c>
      <c r="L42" s="132" t="s">
        <v>2499</v>
      </c>
      <c r="M42" s="133" t="s">
        <v>2500</v>
      </c>
      <c r="N42" s="132" t="s">
        <v>2501</v>
      </c>
      <c r="O42" s="133" t="s">
        <v>2502</v>
      </c>
      <c r="P42" s="132" t="s">
        <v>2503</v>
      </c>
      <c r="Q42" s="133" t="s">
        <v>2504</v>
      </c>
      <c r="R42" s="132" t="s">
        <v>2505</v>
      </c>
      <c r="S42" s="133" t="s">
        <v>2506</v>
      </c>
      <c r="T42" s="132" t="s">
        <v>1890</v>
      </c>
      <c r="U42" s="133" t="s">
        <v>1891</v>
      </c>
      <c r="V42" s="132" t="s">
        <v>2507</v>
      </c>
      <c r="W42" s="133" t="s">
        <v>2508</v>
      </c>
      <c r="X42" s="135"/>
      <c r="Y42" s="135"/>
      <c r="Z42" s="135"/>
      <c r="AA42" s="140">
        <v>20711</v>
      </c>
    </row>
    <row r="43" spans="1:27">
      <c r="A43" s="131"/>
      <c r="B43" s="132" t="s">
        <v>2509</v>
      </c>
      <c r="C43" s="133" t="s">
        <v>2510</v>
      </c>
      <c r="D43" s="134">
        <v>1956</v>
      </c>
      <c r="E43" s="133" t="s">
        <v>2511</v>
      </c>
      <c r="F43" s="132" t="s">
        <v>2512</v>
      </c>
      <c r="G43" s="133" t="s">
        <v>2513</v>
      </c>
      <c r="H43" s="133"/>
      <c r="I43" s="141" t="s">
        <v>2514</v>
      </c>
      <c r="J43" s="133">
        <v>40.608159099999902</v>
      </c>
      <c r="K43" s="133">
        <v>-74.277646799999999</v>
      </c>
      <c r="L43" s="132" t="s">
        <v>2515</v>
      </c>
      <c r="M43" s="133" t="s">
        <v>2516</v>
      </c>
      <c r="N43" s="132" t="s">
        <v>2517</v>
      </c>
      <c r="O43" s="133" t="s">
        <v>2518</v>
      </c>
      <c r="P43" s="132" t="s">
        <v>2519</v>
      </c>
      <c r="Q43" s="133" t="s">
        <v>2521</v>
      </c>
      <c r="R43" s="132" t="s">
        <v>2522</v>
      </c>
      <c r="S43" s="133" t="s">
        <v>2523</v>
      </c>
      <c r="T43" s="132" t="s">
        <v>1890</v>
      </c>
      <c r="U43" s="133" t="s">
        <v>1891</v>
      </c>
      <c r="V43" s="132" t="s">
        <v>2524</v>
      </c>
      <c r="W43" s="133" t="s">
        <v>2525</v>
      </c>
      <c r="X43" s="132" t="s">
        <v>2526</v>
      </c>
      <c r="Y43" s="133" t="s">
        <v>2527</v>
      </c>
      <c r="Z43" s="135"/>
      <c r="AA43" s="140">
        <v>20709</v>
      </c>
    </row>
    <row r="44" spans="1:27">
      <c r="A44" s="131"/>
      <c r="B44" s="132" t="s">
        <v>2528</v>
      </c>
      <c r="C44" s="133" t="s">
        <v>2529</v>
      </c>
      <c r="D44" s="134">
        <v>1956</v>
      </c>
      <c r="E44" s="133" t="s">
        <v>2531</v>
      </c>
      <c r="F44" s="132" t="s">
        <v>2532</v>
      </c>
      <c r="G44" s="133" t="s">
        <v>2533</v>
      </c>
      <c r="H44" s="133"/>
      <c r="I44" s="141" t="s">
        <v>593</v>
      </c>
      <c r="J44" s="133">
        <v>40.625931600000001</v>
      </c>
      <c r="K44" s="133">
        <v>-75.370457899999906</v>
      </c>
      <c r="L44" s="132" t="s">
        <v>2534</v>
      </c>
      <c r="M44" s="133" t="s">
        <v>2535</v>
      </c>
      <c r="N44" s="132" t="s">
        <v>2536</v>
      </c>
      <c r="O44" s="133" t="s">
        <v>2537</v>
      </c>
      <c r="P44" s="132" t="s">
        <v>2538</v>
      </c>
      <c r="Q44" s="133" t="s">
        <v>2539</v>
      </c>
      <c r="R44" s="132" t="s">
        <v>2540</v>
      </c>
      <c r="S44" s="133" t="s">
        <v>2541</v>
      </c>
      <c r="T44" s="132" t="s">
        <v>2542</v>
      </c>
      <c r="U44" s="133" t="s">
        <v>2543</v>
      </c>
      <c r="V44" s="132" t="s">
        <v>2545</v>
      </c>
      <c r="W44" s="133" t="s">
        <v>2548</v>
      </c>
      <c r="X44" s="132" t="s">
        <v>2550</v>
      </c>
      <c r="Y44" s="133" t="s">
        <v>2554</v>
      </c>
      <c r="Z44" s="135"/>
      <c r="AA44" s="140">
        <v>20723</v>
      </c>
    </row>
    <row r="45" spans="1:27">
      <c r="A45" s="131"/>
      <c r="B45" s="132" t="s">
        <v>2555</v>
      </c>
      <c r="C45" s="133" t="s">
        <v>2557</v>
      </c>
      <c r="D45" s="134">
        <v>1956</v>
      </c>
      <c r="E45" s="133" t="s">
        <v>2558</v>
      </c>
      <c r="F45" s="132" t="s">
        <v>2559</v>
      </c>
      <c r="G45" s="133" t="s">
        <v>2560</v>
      </c>
      <c r="H45" s="133"/>
      <c r="I45" s="133" t="s">
        <v>2561</v>
      </c>
      <c r="J45" s="133">
        <v>32.112215200000001</v>
      </c>
      <c r="K45" s="133">
        <v>34.815106999999998</v>
      </c>
      <c r="L45" s="132" t="s">
        <v>2562</v>
      </c>
      <c r="M45" s="133" t="s">
        <v>2563</v>
      </c>
      <c r="N45" s="132" t="s">
        <v>2564</v>
      </c>
      <c r="O45" s="133" t="s">
        <v>2565</v>
      </c>
      <c r="P45" s="132" t="s">
        <v>2566</v>
      </c>
      <c r="Q45" s="133" t="s">
        <v>2567</v>
      </c>
      <c r="R45" s="132" t="s">
        <v>2568</v>
      </c>
      <c r="S45" s="133" t="s">
        <v>2569</v>
      </c>
      <c r="T45" s="132" t="s">
        <v>1839</v>
      </c>
      <c r="U45" s="133" t="s">
        <v>1840</v>
      </c>
      <c r="V45" s="132" t="s">
        <v>2570</v>
      </c>
      <c r="W45" s="133" t="s">
        <v>2571</v>
      </c>
      <c r="X45" s="135"/>
      <c r="Y45" s="135"/>
      <c r="Z45" s="135"/>
      <c r="AA45" s="140">
        <v>20697</v>
      </c>
    </row>
    <row r="46" spans="1:27">
      <c r="A46" s="131"/>
      <c r="B46" s="132" t="s">
        <v>2572</v>
      </c>
      <c r="C46" s="133" t="s">
        <v>2573</v>
      </c>
      <c r="D46" s="134">
        <v>1956</v>
      </c>
      <c r="E46" s="133" t="s">
        <v>2574</v>
      </c>
      <c r="F46" s="132" t="s">
        <v>2575</v>
      </c>
      <c r="G46" s="133" t="s">
        <v>2576</v>
      </c>
      <c r="H46" s="133"/>
      <c r="I46" s="133" t="s">
        <v>2577</v>
      </c>
      <c r="J46" s="133">
        <v>32.196015000000003</v>
      </c>
      <c r="K46" s="133">
        <v>34.981513</v>
      </c>
      <c r="L46" s="132" t="s">
        <v>2578</v>
      </c>
      <c r="M46" s="133" t="s">
        <v>2579</v>
      </c>
      <c r="N46" s="132" t="s">
        <v>2580</v>
      </c>
      <c r="O46" s="133" t="s">
        <v>2582</v>
      </c>
      <c r="P46" s="132" t="s">
        <v>2583</v>
      </c>
      <c r="Q46" s="133" t="s">
        <v>2584</v>
      </c>
      <c r="R46" s="132" t="s">
        <v>2585</v>
      </c>
      <c r="S46" s="133" t="s">
        <v>2586</v>
      </c>
      <c r="T46" s="132" t="s">
        <v>1890</v>
      </c>
      <c r="U46" s="133" t="s">
        <v>1891</v>
      </c>
      <c r="V46" s="132" t="s">
        <v>2587</v>
      </c>
      <c r="W46" s="133" t="s">
        <v>2589</v>
      </c>
      <c r="X46" s="132" t="s">
        <v>2590</v>
      </c>
      <c r="Y46" s="133" t="s">
        <v>2592</v>
      </c>
      <c r="Z46" s="132" t="s">
        <v>2593</v>
      </c>
      <c r="AA46" s="140">
        <v>20738</v>
      </c>
    </row>
    <row r="47" spans="1:27">
      <c r="A47" s="131"/>
      <c r="B47" s="132" t="s">
        <v>2595</v>
      </c>
      <c r="C47" s="133" t="s">
        <v>2596</v>
      </c>
      <c r="D47" s="134">
        <v>1956</v>
      </c>
      <c r="E47" s="132" t="s">
        <v>2598</v>
      </c>
      <c r="F47" s="132" t="s">
        <v>2600</v>
      </c>
      <c r="G47" s="133" t="s">
        <v>2601</v>
      </c>
      <c r="H47" s="133"/>
      <c r="I47" s="133" t="s">
        <v>2602</v>
      </c>
      <c r="J47" s="133">
        <v>31.497378000000001</v>
      </c>
      <c r="K47" s="133">
        <v>34.705165000000001</v>
      </c>
      <c r="L47" s="132" t="s">
        <v>2603</v>
      </c>
      <c r="M47" s="133" t="s">
        <v>2604</v>
      </c>
      <c r="N47" s="132" t="s">
        <v>2605</v>
      </c>
      <c r="O47" s="133" t="s">
        <v>2606</v>
      </c>
      <c r="P47" s="132" t="s">
        <v>2607</v>
      </c>
      <c r="Q47" s="133" t="s">
        <v>2608</v>
      </c>
      <c r="R47" s="132" t="s">
        <v>2609</v>
      </c>
      <c r="S47" s="133" t="s">
        <v>2610</v>
      </c>
      <c r="T47" s="132" t="s">
        <v>1839</v>
      </c>
      <c r="U47" s="133" t="s">
        <v>1840</v>
      </c>
      <c r="V47" s="132" t="s">
        <v>2611</v>
      </c>
      <c r="W47" s="133" t="s">
        <v>2612</v>
      </c>
      <c r="X47" s="132" t="s">
        <v>2613</v>
      </c>
      <c r="Y47" s="133" t="s">
        <v>2614</v>
      </c>
      <c r="Z47" s="135"/>
      <c r="AA47" s="138"/>
    </row>
    <row r="48" spans="1:27">
      <c r="A48" s="131"/>
      <c r="B48" s="132" t="s">
        <v>2595</v>
      </c>
      <c r="C48" s="133" t="s">
        <v>2596</v>
      </c>
      <c r="D48" s="134">
        <v>1956</v>
      </c>
      <c r="E48" s="133" t="s">
        <v>2615</v>
      </c>
      <c r="F48" s="132" t="s">
        <v>2616</v>
      </c>
      <c r="G48" s="133" t="s">
        <v>2617</v>
      </c>
      <c r="H48" s="133"/>
      <c r="I48" s="133" t="s">
        <v>131</v>
      </c>
      <c r="J48" s="133">
        <v>30.885983</v>
      </c>
      <c r="K48" s="133">
        <v>34.422569000000003</v>
      </c>
      <c r="L48" s="132" t="s">
        <v>2618</v>
      </c>
      <c r="M48" s="133" t="s">
        <v>2619</v>
      </c>
      <c r="N48" s="132" t="s">
        <v>2620</v>
      </c>
      <c r="O48" s="133" t="s">
        <v>2621</v>
      </c>
      <c r="P48" s="132" t="s">
        <v>2622</v>
      </c>
      <c r="Q48" s="133" t="s">
        <v>2623</v>
      </c>
      <c r="R48" s="132" t="s">
        <v>2609</v>
      </c>
      <c r="S48" s="133" t="s">
        <v>2610</v>
      </c>
      <c r="T48" s="132" t="s">
        <v>1890</v>
      </c>
      <c r="U48" s="133" t="s">
        <v>1891</v>
      </c>
      <c r="V48" s="132" t="s">
        <v>2625</v>
      </c>
      <c r="W48" s="133" t="s">
        <v>2626</v>
      </c>
      <c r="X48" s="135"/>
      <c r="Y48" s="135"/>
      <c r="Z48" s="135"/>
      <c r="AA48" s="138"/>
    </row>
    <row r="49" spans="1:27">
      <c r="A49" s="131"/>
      <c r="B49" s="132" t="s">
        <v>2595</v>
      </c>
      <c r="C49" s="133" t="s">
        <v>2596</v>
      </c>
      <c r="D49" s="134">
        <v>1957</v>
      </c>
      <c r="E49" s="132" t="s">
        <v>2627</v>
      </c>
      <c r="F49" s="132" t="s">
        <v>2628</v>
      </c>
      <c r="G49" s="133" t="s">
        <v>2629</v>
      </c>
      <c r="H49" s="133"/>
      <c r="I49" s="133" t="s">
        <v>2630</v>
      </c>
      <c r="J49" s="139"/>
      <c r="K49" s="139"/>
      <c r="L49" s="132" t="s">
        <v>2631</v>
      </c>
      <c r="M49" s="133" t="s">
        <v>2632</v>
      </c>
      <c r="N49" s="132" t="s">
        <v>2605</v>
      </c>
      <c r="O49" s="133" t="s">
        <v>2606</v>
      </c>
      <c r="P49" s="132" t="s">
        <v>2633</v>
      </c>
      <c r="Q49" s="133" t="s">
        <v>2634</v>
      </c>
      <c r="R49" s="132" t="s">
        <v>2609</v>
      </c>
      <c r="S49" s="133" t="s">
        <v>2610</v>
      </c>
      <c r="T49" s="132" t="s">
        <v>1839</v>
      </c>
      <c r="U49" s="133" t="s">
        <v>1840</v>
      </c>
      <c r="V49" s="132" t="s">
        <v>2637</v>
      </c>
      <c r="W49" s="133" t="s">
        <v>2639</v>
      </c>
      <c r="X49" s="132" t="s">
        <v>2641</v>
      </c>
      <c r="Y49" s="133" t="s">
        <v>2642</v>
      </c>
      <c r="Z49" s="135"/>
      <c r="AA49" s="138"/>
    </row>
    <row r="50" spans="1:27">
      <c r="A50" s="131"/>
      <c r="B50" s="132" t="s">
        <v>2643</v>
      </c>
      <c r="C50" s="133" t="s">
        <v>2644</v>
      </c>
      <c r="D50" s="134">
        <v>1958</v>
      </c>
      <c r="E50" s="133" t="s">
        <v>2645</v>
      </c>
      <c r="F50" s="132" t="s">
        <v>2646</v>
      </c>
      <c r="G50" s="133" t="s">
        <v>2647</v>
      </c>
      <c r="H50" s="133"/>
      <c r="I50" s="133" t="s">
        <v>2647</v>
      </c>
      <c r="J50" s="133">
        <v>30.0940063</v>
      </c>
      <c r="K50" s="133">
        <v>31.326444200000001</v>
      </c>
      <c r="L50" s="132" t="s">
        <v>2648</v>
      </c>
      <c r="M50" s="133" t="s">
        <v>2649</v>
      </c>
      <c r="N50" s="132" t="s">
        <v>2650</v>
      </c>
      <c r="O50" s="133" t="s">
        <v>2651</v>
      </c>
      <c r="P50" s="132" t="s">
        <v>2652</v>
      </c>
      <c r="Q50" s="133" t="s">
        <v>2653</v>
      </c>
      <c r="R50" s="132" t="s">
        <v>2415</v>
      </c>
      <c r="S50" s="133" t="s">
        <v>2416</v>
      </c>
      <c r="T50" s="132" t="s">
        <v>1839</v>
      </c>
      <c r="U50" s="133" t="s">
        <v>1840</v>
      </c>
      <c r="V50" s="132" t="s">
        <v>2655</v>
      </c>
      <c r="W50" s="133" t="s">
        <v>2656</v>
      </c>
      <c r="X50" s="132" t="s">
        <v>2657</v>
      </c>
      <c r="Y50" s="133" t="s">
        <v>2658</v>
      </c>
      <c r="Z50" s="132" t="s">
        <v>2659</v>
      </c>
      <c r="AA50" s="140">
        <v>21375</v>
      </c>
    </row>
    <row r="51" spans="1:27">
      <c r="A51" s="131"/>
      <c r="B51" s="132" t="s">
        <v>2661</v>
      </c>
      <c r="C51" s="133" t="s">
        <v>2663</v>
      </c>
      <c r="D51" s="134">
        <v>1959</v>
      </c>
      <c r="E51" s="132" t="s">
        <v>1832</v>
      </c>
      <c r="F51" s="132" t="s">
        <v>2665</v>
      </c>
      <c r="G51" s="133" t="s">
        <v>2666</v>
      </c>
      <c r="H51" s="133"/>
      <c r="I51" s="133" t="s">
        <v>2666</v>
      </c>
      <c r="J51" s="133">
        <v>31.414487000000001</v>
      </c>
      <c r="K51" s="133">
        <v>34.761871999999997</v>
      </c>
      <c r="L51" s="132" t="s">
        <v>2667</v>
      </c>
      <c r="M51" s="133" t="s">
        <v>2668</v>
      </c>
      <c r="N51" s="132" t="s">
        <v>2669</v>
      </c>
      <c r="O51" s="133" t="s">
        <v>2671</v>
      </c>
      <c r="P51" s="132" t="s">
        <v>2672</v>
      </c>
      <c r="Q51" s="133" t="s">
        <v>2675</v>
      </c>
      <c r="R51" s="132" t="s">
        <v>2609</v>
      </c>
      <c r="S51" s="133" t="s">
        <v>2610</v>
      </c>
      <c r="T51" s="132" t="s">
        <v>1839</v>
      </c>
      <c r="U51" s="133" t="s">
        <v>1840</v>
      </c>
      <c r="V51" s="132" t="s">
        <v>2677</v>
      </c>
      <c r="W51" s="133" t="s">
        <v>2678</v>
      </c>
      <c r="X51" s="135"/>
      <c r="Y51" s="135"/>
      <c r="Z51" s="135"/>
      <c r="AA51" s="138"/>
    </row>
    <row r="52" spans="1:27">
      <c r="A52" s="131"/>
      <c r="B52" s="132" t="s">
        <v>2595</v>
      </c>
      <c r="C52" s="133" t="s">
        <v>2596</v>
      </c>
      <c r="D52" s="134">
        <v>1959</v>
      </c>
      <c r="E52" s="132" t="s">
        <v>1832</v>
      </c>
      <c r="F52" s="132" t="s">
        <v>2679</v>
      </c>
      <c r="G52" s="133" t="s">
        <v>2680</v>
      </c>
      <c r="H52" s="133"/>
      <c r="I52" s="133" t="s">
        <v>286</v>
      </c>
      <c r="J52" s="133">
        <v>31.424513000000001</v>
      </c>
      <c r="K52" s="133">
        <v>34.492567000000001</v>
      </c>
      <c r="L52" s="132" t="s">
        <v>2631</v>
      </c>
      <c r="M52" s="133" t="s">
        <v>2632</v>
      </c>
      <c r="N52" s="132" t="s">
        <v>2681</v>
      </c>
      <c r="O52" s="133" t="s">
        <v>2682</v>
      </c>
      <c r="P52" s="132" t="s">
        <v>2683</v>
      </c>
      <c r="Q52" s="133" t="s">
        <v>2684</v>
      </c>
      <c r="R52" s="132" t="s">
        <v>2609</v>
      </c>
      <c r="S52" s="133" t="s">
        <v>2610</v>
      </c>
      <c r="T52" s="132" t="s">
        <v>1839</v>
      </c>
      <c r="U52" s="133" t="s">
        <v>1840</v>
      </c>
      <c r="V52" s="132" t="s">
        <v>2685</v>
      </c>
      <c r="W52" s="133" t="s">
        <v>2686</v>
      </c>
      <c r="X52" s="135"/>
      <c r="Y52" s="135"/>
      <c r="Z52" s="135"/>
      <c r="AA52" s="138"/>
    </row>
    <row r="53" spans="1:27">
      <c r="A53" s="131"/>
      <c r="B53" s="132" t="s">
        <v>2595</v>
      </c>
      <c r="C53" s="133" t="s">
        <v>2596</v>
      </c>
      <c r="D53" s="134">
        <v>1959</v>
      </c>
      <c r="E53" s="132" t="s">
        <v>1832</v>
      </c>
      <c r="F53" s="132" t="s">
        <v>2628</v>
      </c>
      <c r="G53" s="133" t="s">
        <v>2629</v>
      </c>
      <c r="H53" s="133"/>
      <c r="I53" s="133" t="s">
        <v>2630</v>
      </c>
      <c r="J53" s="139"/>
      <c r="K53" s="139"/>
      <c r="L53" s="132" t="s">
        <v>2631</v>
      </c>
      <c r="M53" s="133" t="s">
        <v>2632</v>
      </c>
      <c r="N53" s="132" t="s">
        <v>2620</v>
      </c>
      <c r="O53" s="133" t="s">
        <v>2621</v>
      </c>
      <c r="P53" s="132" t="s">
        <v>2689</v>
      </c>
      <c r="Q53" s="133" t="s">
        <v>2690</v>
      </c>
      <c r="R53" s="132" t="s">
        <v>2691</v>
      </c>
      <c r="S53" s="133" t="s">
        <v>2692</v>
      </c>
      <c r="T53" s="132" t="s">
        <v>1890</v>
      </c>
      <c r="U53" s="133" t="s">
        <v>1891</v>
      </c>
      <c r="V53" s="132" t="s">
        <v>2693</v>
      </c>
      <c r="W53" s="133" t="s">
        <v>2694</v>
      </c>
      <c r="X53" s="135"/>
      <c r="Y53" s="135"/>
      <c r="Z53" s="132" t="s">
        <v>2695</v>
      </c>
      <c r="AA53" s="138"/>
    </row>
    <row r="54" spans="1:27">
      <c r="A54" s="131"/>
      <c r="B54" s="132" t="s">
        <v>2595</v>
      </c>
      <c r="C54" s="133" t="s">
        <v>2596</v>
      </c>
      <c r="D54" s="134">
        <v>1959</v>
      </c>
      <c r="E54" s="132" t="s">
        <v>1832</v>
      </c>
      <c r="F54" s="132" t="s">
        <v>2697</v>
      </c>
      <c r="G54" s="133" t="s">
        <v>2698</v>
      </c>
      <c r="H54" s="133"/>
      <c r="I54" s="133"/>
      <c r="J54" s="133"/>
      <c r="K54" s="133"/>
      <c r="L54" s="132" t="s">
        <v>2631</v>
      </c>
      <c r="M54" s="133" t="s">
        <v>2632</v>
      </c>
      <c r="N54" s="132" t="s">
        <v>2620</v>
      </c>
      <c r="O54" s="133" t="s">
        <v>2621</v>
      </c>
      <c r="P54" s="132" t="s">
        <v>2699</v>
      </c>
      <c r="Q54" s="133" t="s">
        <v>2700</v>
      </c>
      <c r="R54" s="132" t="s">
        <v>2609</v>
      </c>
      <c r="S54" s="133" t="s">
        <v>2610</v>
      </c>
      <c r="T54" s="132" t="s">
        <v>1839</v>
      </c>
      <c r="U54" s="133" t="s">
        <v>1840</v>
      </c>
      <c r="V54" s="132" t="s">
        <v>2701</v>
      </c>
      <c r="W54" s="133" t="s">
        <v>2702</v>
      </c>
      <c r="X54" s="135"/>
      <c r="Y54" s="135"/>
      <c r="Z54" s="132" t="s">
        <v>2703</v>
      </c>
      <c r="AA54" s="138"/>
    </row>
    <row r="55" spans="1:27">
      <c r="A55" s="131"/>
      <c r="B55" s="132" t="s">
        <v>2595</v>
      </c>
      <c r="C55" s="133" t="s">
        <v>2596</v>
      </c>
      <c r="D55" s="134">
        <v>1959</v>
      </c>
      <c r="E55" s="132" t="s">
        <v>2705</v>
      </c>
      <c r="F55" s="132" t="s">
        <v>2706</v>
      </c>
      <c r="G55" s="133" t="s">
        <v>2707</v>
      </c>
      <c r="H55" s="133"/>
      <c r="I55" s="133" t="s">
        <v>2708</v>
      </c>
      <c r="J55" s="133">
        <v>35.556465799999998</v>
      </c>
      <c r="K55" s="133">
        <v>-83.386326999999994</v>
      </c>
      <c r="L55" s="132" t="s">
        <v>2709</v>
      </c>
      <c r="M55" s="133" t="s">
        <v>2710</v>
      </c>
      <c r="N55" s="132" t="s">
        <v>2681</v>
      </c>
      <c r="O55" s="133" t="s">
        <v>2682</v>
      </c>
      <c r="P55" s="132" t="s">
        <v>2711</v>
      </c>
      <c r="Q55" s="133" t="s">
        <v>2712</v>
      </c>
      <c r="R55" s="132" t="s">
        <v>2609</v>
      </c>
      <c r="S55" s="133" t="s">
        <v>2610</v>
      </c>
      <c r="T55" s="132" t="s">
        <v>1839</v>
      </c>
      <c r="U55" s="133" t="s">
        <v>1840</v>
      </c>
      <c r="V55" s="132" t="s">
        <v>2714</v>
      </c>
      <c r="W55" s="133" t="s">
        <v>2715</v>
      </c>
      <c r="X55" s="135"/>
      <c r="Y55" s="135"/>
      <c r="Z55" s="135"/>
      <c r="AA55" s="140">
        <v>21802</v>
      </c>
    </row>
    <row r="56" spans="1:27">
      <c r="A56" s="131"/>
      <c r="B56" s="132" t="s">
        <v>2595</v>
      </c>
      <c r="C56" s="133" t="s">
        <v>2596</v>
      </c>
      <c r="D56" s="134">
        <v>1959</v>
      </c>
      <c r="E56" s="133">
        <v>9.59</v>
      </c>
      <c r="F56" s="132" t="s">
        <v>2717</v>
      </c>
      <c r="G56" s="133" t="s">
        <v>2718</v>
      </c>
      <c r="H56" s="133"/>
      <c r="I56" s="133" t="s">
        <v>2719</v>
      </c>
      <c r="J56" s="133">
        <v>31.203908999999999</v>
      </c>
      <c r="K56" s="133">
        <v>34.533358999999997</v>
      </c>
      <c r="L56" s="132" t="s">
        <v>2603</v>
      </c>
      <c r="M56" s="133" t="s">
        <v>2604</v>
      </c>
      <c r="N56" s="132" t="s">
        <v>2605</v>
      </c>
      <c r="O56" s="133" t="s">
        <v>2606</v>
      </c>
      <c r="P56" s="132" t="s">
        <v>2720</v>
      </c>
      <c r="Q56" s="133" t="s">
        <v>2721</v>
      </c>
      <c r="R56" s="132" t="s">
        <v>2609</v>
      </c>
      <c r="S56" s="133" t="s">
        <v>2610</v>
      </c>
      <c r="T56" s="132" t="s">
        <v>1839</v>
      </c>
      <c r="U56" s="133" t="s">
        <v>1840</v>
      </c>
      <c r="V56" s="132" t="s">
        <v>2723</v>
      </c>
      <c r="W56" s="133" t="s">
        <v>2724</v>
      </c>
      <c r="X56" s="135"/>
      <c r="Y56" s="135"/>
      <c r="Z56" s="132" t="s">
        <v>2725</v>
      </c>
      <c r="AA56" s="138"/>
    </row>
    <row r="57" spans="1:27">
      <c r="A57" s="131"/>
      <c r="B57" s="132" t="s">
        <v>2595</v>
      </c>
      <c r="C57" s="133" t="s">
        <v>2596</v>
      </c>
      <c r="D57" s="134">
        <v>1959</v>
      </c>
      <c r="E57" s="133">
        <v>11.59</v>
      </c>
      <c r="F57" s="132" t="s">
        <v>2726</v>
      </c>
      <c r="G57" s="133" t="s">
        <v>2727</v>
      </c>
      <c r="H57" s="133"/>
      <c r="I57" s="133" t="s">
        <v>2728</v>
      </c>
      <c r="J57" s="133">
        <v>31.717845000000001</v>
      </c>
      <c r="K57" s="133">
        <v>34.634636</v>
      </c>
      <c r="L57" s="132" t="s">
        <v>2603</v>
      </c>
      <c r="M57" s="133" t="s">
        <v>2604</v>
      </c>
      <c r="N57" s="132" t="s">
        <v>2729</v>
      </c>
      <c r="O57" s="133" t="s">
        <v>2730</v>
      </c>
      <c r="P57" s="132" t="s">
        <v>2731</v>
      </c>
      <c r="Q57" s="133" t="s">
        <v>2732</v>
      </c>
      <c r="R57" s="132" t="s">
        <v>2609</v>
      </c>
      <c r="S57" s="133" t="s">
        <v>2610</v>
      </c>
      <c r="T57" s="132" t="s">
        <v>1839</v>
      </c>
      <c r="U57" s="133" t="s">
        <v>1840</v>
      </c>
      <c r="V57" s="132" t="s">
        <v>2733</v>
      </c>
      <c r="W57" s="133" t="s">
        <v>2734</v>
      </c>
      <c r="X57" s="132" t="s">
        <v>2735</v>
      </c>
      <c r="Y57" s="133" t="s">
        <v>2736</v>
      </c>
      <c r="Z57" s="135"/>
      <c r="AA57" s="138"/>
    </row>
    <row r="58" spans="1:27">
      <c r="A58" s="131"/>
      <c r="B58" s="132" t="s">
        <v>2595</v>
      </c>
      <c r="C58" s="133" t="s">
        <v>2596</v>
      </c>
      <c r="D58" s="134">
        <v>1959</v>
      </c>
      <c r="E58" s="133">
        <v>12.59</v>
      </c>
      <c r="F58" s="132" t="s">
        <v>2737</v>
      </c>
      <c r="G58" s="133" t="s">
        <v>2738</v>
      </c>
      <c r="H58" s="133"/>
      <c r="I58" s="133" t="s">
        <v>281</v>
      </c>
      <c r="J58" s="133">
        <v>31.668788500000002</v>
      </c>
      <c r="K58" s="133">
        <v>34.574252299999998</v>
      </c>
      <c r="L58" s="132" t="s">
        <v>2603</v>
      </c>
      <c r="M58" s="133" t="s">
        <v>2604</v>
      </c>
      <c r="N58" s="132" t="s">
        <v>2729</v>
      </c>
      <c r="O58" s="133" t="s">
        <v>2730</v>
      </c>
      <c r="P58" s="132" t="s">
        <v>2740</v>
      </c>
      <c r="Q58" s="133" t="s">
        <v>2741</v>
      </c>
      <c r="R58" s="132" t="s">
        <v>2609</v>
      </c>
      <c r="S58" s="133" t="s">
        <v>2610</v>
      </c>
      <c r="T58" s="132" t="s">
        <v>1839</v>
      </c>
      <c r="U58" s="133" t="s">
        <v>1840</v>
      </c>
      <c r="V58" s="132" t="s">
        <v>2742</v>
      </c>
      <c r="W58" s="133" t="s">
        <v>2743</v>
      </c>
      <c r="X58" s="132" t="s">
        <v>2744</v>
      </c>
      <c r="Y58" s="133" t="s">
        <v>2745</v>
      </c>
      <c r="Z58" s="135"/>
      <c r="AA58" s="138"/>
    </row>
    <row r="59" spans="1:27">
      <c r="A59" s="131"/>
      <c r="B59" s="132" t="s">
        <v>2661</v>
      </c>
      <c r="C59" s="133" t="s">
        <v>2663</v>
      </c>
      <c r="D59" s="134">
        <v>1960</v>
      </c>
      <c r="E59" s="132" t="s">
        <v>1832</v>
      </c>
      <c r="F59" s="132" t="s">
        <v>2746</v>
      </c>
      <c r="G59" s="133" t="s">
        <v>2747</v>
      </c>
      <c r="H59" s="133"/>
      <c r="I59" s="141" t="s">
        <v>2748</v>
      </c>
      <c r="J59" s="133">
        <v>42.5240072</v>
      </c>
      <c r="K59" s="133">
        <v>-85.026715899999999</v>
      </c>
      <c r="L59" s="132" t="s">
        <v>2749</v>
      </c>
      <c r="M59" s="133" t="s">
        <v>2750</v>
      </c>
      <c r="N59" s="132" t="s">
        <v>2751</v>
      </c>
      <c r="O59" s="133" t="s">
        <v>2752</v>
      </c>
      <c r="P59" s="132" t="s">
        <v>2754</v>
      </c>
      <c r="Q59" s="133" t="s">
        <v>2755</v>
      </c>
      <c r="R59" s="132" t="s">
        <v>2609</v>
      </c>
      <c r="S59" s="133" t="s">
        <v>2610</v>
      </c>
      <c r="T59" s="132" t="s">
        <v>1839</v>
      </c>
      <c r="U59" s="133" t="s">
        <v>1840</v>
      </c>
      <c r="V59" s="132" t="s">
        <v>2756</v>
      </c>
      <c r="W59" s="133" t="s">
        <v>2757</v>
      </c>
      <c r="X59" s="135"/>
      <c r="Y59" s="135"/>
      <c r="Z59" s="135"/>
      <c r="AA59" s="138"/>
    </row>
    <row r="60" spans="1:27">
      <c r="A60" s="131"/>
      <c r="B60" s="132" t="s">
        <v>2729</v>
      </c>
      <c r="C60" s="133" t="s">
        <v>2730</v>
      </c>
      <c r="D60" s="134">
        <v>1960</v>
      </c>
      <c r="E60" s="132" t="s">
        <v>2758</v>
      </c>
      <c r="F60" s="132" t="s">
        <v>2759</v>
      </c>
      <c r="G60" s="133" t="s">
        <v>2760</v>
      </c>
      <c r="H60" s="133"/>
      <c r="I60" s="133" t="s">
        <v>2761</v>
      </c>
      <c r="J60" s="133">
        <v>31.067204799999999</v>
      </c>
      <c r="K60" s="133">
        <v>34.664419799999997</v>
      </c>
      <c r="L60" s="132" t="s">
        <v>2762</v>
      </c>
      <c r="M60" s="133" t="s">
        <v>2763</v>
      </c>
      <c r="N60" s="132" t="s">
        <v>2765</v>
      </c>
      <c r="O60" s="133" t="s">
        <v>2766</v>
      </c>
      <c r="P60" s="132" t="s">
        <v>2768</v>
      </c>
      <c r="Q60" s="133" t="s">
        <v>2770</v>
      </c>
      <c r="R60" s="132" t="s">
        <v>2609</v>
      </c>
      <c r="S60" s="133" t="s">
        <v>2610</v>
      </c>
      <c r="T60" s="132" t="s">
        <v>1839</v>
      </c>
      <c r="U60" s="133" t="s">
        <v>1840</v>
      </c>
      <c r="V60" s="132" t="s">
        <v>2772</v>
      </c>
      <c r="W60" s="133" t="s">
        <v>2773</v>
      </c>
      <c r="X60" s="132" t="s">
        <v>2774</v>
      </c>
      <c r="Y60" s="133" t="s">
        <v>2775</v>
      </c>
      <c r="Z60" s="135"/>
      <c r="AA60" s="138"/>
    </row>
    <row r="61" spans="1:27">
      <c r="A61" s="131"/>
      <c r="B61" s="132" t="s">
        <v>2729</v>
      </c>
      <c r="C61" s="133" t="s">
        <v>2730</v>
      </c>
      <c r="D61" s="134">
        <v>1960</v>
      </c>
      <c r="E61" s="132" t="s">
        <v>1832</v>
      </c>
      <c r="F61" s="132" t="s">
        <v>2776</v>
      </c>
      <c r="G61" s="133" t="s">
        <v>2777</v>
      </c>
      <c r="H61" s="133"/>
      <c r="I61" s="133" t="s">
        <v>2778</v>
      </c>
      <c r="J61" s="133">
        <v>31.386158999999999</v>
      </c>
      <c r="K61" s="133">
        <v>34.458823000000002</v>
      </c>
      <c r="L61" s="132" t="s">
        <v>2780</v>
      </c>
      <c r="M61" s="133" t="s">
        <v>2781</v>
      </c>
      <c r="N61" s="132" t="s">
        <v>2782</v>
      </c>
      <c r="O61" s="133" t="s">
        <v>2783</v>
      </c>
      <c r="P61" s="132" t="s">
        <v>2784</v>
      </c>
      <c r="Q61" s="133" t="s">
        <v>2785</v>
      </c>
      <c r="R61" s="132" t="s">
        <v>2609</v>
      </c>
      <c r="S61" s="133" t="s">
        <v>2610</v>
      </c>
      <c r="T61" s="132" t="s">
        <v>1839</v>
      </c>
      <c r="U61" s="133" t="s">
        <v>1840</v>
      </c>
      <c r="V61" s="132" t="s">
        <v>2787</v>
      </c>
      <c r="W61" s="133" t="s">
        <v>2788</v>
      </c>
      <c r="X61" s="135"/>
      <c r="Y61" s="135"/>
      <c r="Z61" s="135"/>
      <c r="AA61" s="138"/>
    </row>
    <row r="62" spans="1:27">
      <c r="A62" s="131"/>
      <c r="B62" s="132" t="s">
        <v>2729</v>
      </c>
      <c r="C62" s="133" t="s">
        <v>2730</v>
      </c>
      <c r="D62" s="134">
        <v>1960</v>
      </c>
      <c r="E62" s="132" t="s">
        <v>1832</v>
      </c>
      <c r="F62" s="132" t="s">
        <v>2789</v>
      </c>
      <c r="G62" s="133" t="s">
        <v>2790</v>
      </c>
      <c r="H62" s="133"/>
      <c r="I62" s="133" t="s">
        <v>2791</v>
      </c>
      <c r="J62" s="133">
        <v>31.488405999999902</v>
      </c>
      <c r="K62" s="133">
        <v>34.708995000000002</v>
      </c>
      <c r="L62" s="132" t="s">
        <v>2749</v>
      </c>
      <c r="M62" s="133" t="s">
        <v>2750</v>
      </c>
      <c r="N62" s="132" t="s">
        <v>2792</v>
      </c>
      <c r="O62" s="133" t="s">
        <v>2793</v>
      </c>
      <c r="P62" s="132" t="s">
        <v>2794</v>
      </c>
      <c r="Q62" s="133" t="s">
        <v>2795</v>
      </c>
      <c r="R62" s="132" t="s">
        <v>2609</v>
      </c>
      <c r="S62" s="133" t="s">
        <v>2610</v>
      </c>
      <c r="T62" s="132" t="s">
        <v>1839</v>
      </c>
      <c r="U62" s="133" t="s">
        <v>1840</v>
      </c>
      <c r="V62" s="132" t="s">
        <v>2796</v>
      </c>
      <c r="W62" s="133" t="s">
        <v>2797</v>
      </c>
      <c r="X62" s="132" t="s">
        <v>2798</v>
      </c>
      <c r="Y62" s="133" t="s">
        <v>2799</v>
      </c>
      <c r="Z62" s="135"/>
      <c r="AA62" s="138"/>
    </row>
    <row r="63" spans="1:27">
      <c r="A63" s="131"/>
      <c r="B63" s="132" t="s">
        <v>2729</v>
      </c>
      <c r="C63" s="133" t="s">
        <v>2730</v>
      </c>
      <c r="D63" s="134">
        <v>1961</v>
      </c>
      <c r="E63" s="132" t="s">
        <v>2800</v>
      </c>
      <c r="F63" s="132" t="s">
        <v>2802</v>
      </c>
      <c r="G63" s="133" t="s">
        <v>2803</v>
      </c>
      <c r="H63" s="133"/>
      <c r="I63" s="141" t="s">
        <v>2804</v>
      </c>
      <c r="J63" s="133">
        <v>44.448633699999903</v>
      </c>
      <c r="K63" s="133">
        <v>-71.3382462</v>
      </c>
      <c r="L63" s="132" t="s">
        <v>2805</v>
      </c>
      <c r="M63" s="133" t="s">
        <v>2806</v>
      </c>
      <c r="N63" s="132" t="s">
        <v>2807</v>
      </c>
      <c r="O63" s="133" t="s">
        <v>2808</v>
      </c>
      <c r="P63" s="132" t="s">
        <v>2809</v>
      </c>
      <c r="Q63" s="133" t="s">
        <v>2810</v>
      </c>
      <c r="R63" s="132" t="s">
        <v>2811</v>
      </c>
      <c r="S63" s="133" t="s">
        <v>2812</v>
      </c>
      <c r="T63" s="132" t="s">
        <v>1890</v>
      </c>
      <c r="U63" s="133" t="s">
        <v>1891</v>
      </c>
      <c r="V63" s="132" t="s">
        <v>2813</v>
      </c>
      <c r="W63" s="133" t="s">
        <v>2814</v>
      </c>
      <c r="X63" s="135"/>
      <c r="Y63" s="135"/>
      <c r="Z63" s="135"/>
      <c r="AA63" s="138"/>
    </row>
    <row r="64" spans="1:27">
      <c r="A64" s="131"/>
      <c r="B64" s="132" t="s">
        <v>2729</v>
      </c>
      <c r="C64" s="133" t="s">
        <v>2730</v>
      </c>
      <c r="D64" s="134">
        <v>1961</v>
      </c>
      <c r="E64" s="132" t="s">
        <v>1832</v>
      </c>
      <c r="F64" s="132" t="s">
        <v>2815</v>
      </c>
      <c r="G64" s="133" t="s">
        <v>2816</v>
      </c>
      <c r="H64" s="133"/>
      <c r="I64" s="133" t="s">
        <v>2817</v>
      </c>
      <c r="J64" s="149">
        <v>30.615279699999999</v>
      </c>
      <c r="K64" s="149">
        <v>34.884486699999997</v>
      </c>
      <c r="L64" s="132" t="s">
        <v>2818</v>
      </c>
      <c r="M64" s="133" t="s">
        <v>2819</v>
      </c>
      <c r="N64" s="132" t="s">
        <v>2820</v>
      </c>
      <c r="O64" s="133" t="s">
        <v>2821</v>
      </c>
      <c r="P64" s="132" t="s">
        <v>2823</v>
      </c>
      <c r="Q64" s="133" t="s">
        <v>2824</v>
      </c>
      <c r="R64" s="132" t="s">
        <v>2825</v>
      </c>
      <c r="S64" s="133" t="s">
        <v>2826</v>
      </c>
      <c r="T64" s="132" t="s">
        <v>1890</v>
      </c>
      <c r="U64" s="133" t="s">
        <v>1891</v>
      </c>
      <c r="V64" s="132" t="s">
        <v>2827</v>
      </c>
      <c r="W64" s="133" t="s">
        <v>2828</v>
      </c>
      <c r="X64" s="135"/>
      <c r="Y64" s="135"/>
      <c r="Z64" s="135"/>
      <c r="AA64" s="138"/>
    </row>
    <row r="65" spans="1:27">
      <c r="A65" s="131"/>
      <c r="B65" s="132" t="s">
        <v>2729</v>
      </c>
      <c r="C65" s="133" t="s">
        <v>2730</v>
      </c>
      <c r="D65" s="134">
        <v>1961</v>
      </c>
      <c r="E65" s="133">
        <v>6.61</v>
      </c>
      <c r="F65" s="132" t="s">
        <v>2829</v>
      </c>
      <c r="G65" s="133" t="s">
        <v>2830</v>
      </c>
      <c r="H65" s="133"/>
      <c r="I65" s="133" t="s">
        <v>2791</v>
      </c>
      <c r="J65" s="133">
        <v>31.488405999999902</v>
      </c>
      <c r="K65" s="133">
        <v>34.708995000000002</v>
      </c>
      <c r="L65" s="132" t="s">
        <v>2818</v>
      </c>
      <c r="M65" s="133" t="s">
        <v>2819</v>
      </c>
      <c r="N65" s="132" t="s">
        <v>2820</v>
      </c>
      <c r="O65" s="133" t="s">
        <v>2821</v>
      </c>
      <c r="P65" s="132" t="s">
        <v>2831</v>
      </c>
      <c r="Q65" s="133" t="s">
        <v>2832</v>
      </c>
      <c r="R65" s="132" t="s">
        <v>2833</v>
      </c>
      <c r="S65" s="133" t="s">
        <v>2834</v>
      </c>
      <c r="T65" s="132" t="s">
        <v>1839</v>
      </c>
      <c r="U65" s="133" t="s">
        <v>1840</v>
      </c>
      <c r="V65" s="132" t="s">
        <v>2835</v>
      </c>
      <c r="W65" s="133" t="s">
        <v>2836</v>
      </c>
      <c r="X65" s="135"/>
      <c r="Y65" s="135"/>
      <c r="Z65" s="135"/>
      <c r="AA65" s="138"/>
    </row>
    <row r="66" spans="1:27">
      <c r="A66" s="131"/>
      <c r="B66" s="132" t="s">
        <v>2837</v>
      </c>
      <c r="C66" s="133" t="s">
        <v>2838</v>
      </c>
      <c r="D66" s="134">
        <v>1962</v>
      </c>
      <c r="E66" s="133" t="s">
        <v>2839</v>
      </c>
      <c r="F66" s="132" t="s">
        <v>2840</v>
      </c>
      <c r="G66" s="133" t="s">
        <v>2841</v>
      </c>
      <c r="H66" s="133"/>
      <c r="I66" s="141" t="s">
        <v>2842</v>
      </c>
      <c r="J66" s="149">
        <v>48.455712599999998</v>
      </c>
      <c r="K66" s="149">
        <v>5.2291417999999998</v>
      </c>
      <c r="L66" s="132" t="s">
        <v>2844</v>
      </c>
      <c r="M66" s="133" t="s">
        <v>2845</v>
      </c>
      <c r="N66" s="132" t="s">
        <v>2846</v>
      </c>
      <c r="O66" s="133" t="s">
        <v>2847</v>
      </c>
      <c r="P66" s="132" t="s">
        <v>2848</v>
      </c>
      <c r="Q66" s="133" t="s">
        <v>2849</v>
      </c>
      <c r="R66" s="132" t="s">
        <v>2850</v>
      </c>
      <c r="S66" s="133" t="s">
        <v>2851</v>
      </c>
      <c r="T66" s="132" t="s">
        <v>2852</v>
      </c>
      <c r="U66" s="133" t="s">
        <v>2853</v>
      </c>
      <c r="V66" s="132" t="s">
        <v>2854</v>
      </c>
      <c r="W66" s="133" t="s">
        <v>2855</v>
      </c>
      <c r="X66" s="132" t="s">
        <v>2856</v>
      </c>
      <c r="Y66" s="133" t="s">
        <v>2857</v>
      </c>
      <c r="Z66" s="132" t="s">
        <v>2858</v>
      </c>
      <c r="AA66" s="140" t="s">
        <v>2859</v>
      </c>
    </row>
    <row r="67" spans="1:27">
      <c r="A67" s="131"/>
      <c r="B67" s="132" t="s">
        <v>2729</v>
      </c>
      <c r="C67" s="133" t="s">
        <v>2730</v>
      </c>
      <c r="D67" s="134">
        <v>1963</v>
      </c>
      <c r="E67" s="132" t="s">
        <v>2860</v>
      </c>
      <c r="F67" s="132" t="s">
        <v>2861</v>
      </c>
      <c r="G67" s="133" t="s">
        <v>2862</v>
      </c>
      <c r="H67" s="133"/>
      <c r="I67" s="133" t="s">
        <v>2863</v>
      </c>
      <c r="J67" s="133">
        <v>31.577940000000002</v>
      </c>
      <c r="K67" s="133">
        <v>34.658391000000002</v>
      </c>
      <c r="L67" s="132" t="s">
        <v>2864</v>
      </c>
      <c r="M67" s="133" t="s">
        <v>2865</v>
      </c>
      <c r="N67" s="132" t="s">
        <v>2820</v>
      </c>
      <c r="O67" s="133" t="s">
        <v>2821</v>
      </c>
      <c r="P67" s="132" t="s">
        <v>2595</v>
      </c>
      <c r="Q67" s="133" t="s">
        <v>2596</v>
      </c>
      <c r="R67" s="132" t="s">
        <v>2609</v>
      </c>
      <c r="S67" s="133" t="s">
        <v>2610</v>
      </c>
      <c r="T67" s="132" t="s">
        <v>1839</v>
      </c>
      <c r="U67" s="133" t="s">
        <v>1840</v>
      </c>
      <c r="V67" s="132" t="s">
        <v>2867</v>
      </c>
      <c r="W67" s="133" t="s">
        <v>2868</v>
      </c>
      <c r="X67" s="132" t="s">
        <v>2869</v>
      </c>
      <c r="Y67" s="133" t="s">
        <v>2870</v>
      </c>
      <c r="Z67" s="135"/>
      <c r="AA67" s="138"/>
    </row>
    <row r="68" spans="1:27">
      <c r="A68" s="131"/>
      <c r="B68" s="132" t="s">
        <v>2729</v>
      </c>
      <c r="C68" s="133" t="s">
        <v>2730</v>
      </c>
      <c r="D68" s="134">
        <v>1964</v>
      </c>
      <c r="E68" s="132" t="s">
        <v>1832</v>
      </c>
      <c r="F68" s="132" t="s">
        <v>2871</v>
      </c>
      <c r="G68" s="133" t="s">
        <v>2872</v>
      </c>
      <c r="H68" s="133"/>
      <c r="I68" s="141" t="s">
        <v>2873</v>
      </c>
      <c r="J68" s="133">
        <v>-27.3961723</v>
      </c>
      <c r="K68" s="133">
        <v>-56.5168094</v>
      </c>
      <c r="L68" s="132" t="s">
        <v>2818</v>
      </c>
      <c r="M68" s="133" t="s">
        <v>2819</v>
      </c>
      <c r="N68" s="132" t="s">
        <v>2874</v>
      </c>
      <c r="O68" s="133" t="s">
        <v>2875</v>
      </c>
      <c r="P68" s="132" t="s">
        <v>2876</v>
      </c>
      <c r="Q68" s="133" t="s">
        <v>2877</v>
      </c>
      <c r="R68" s="132" t="s">
        <v>2878</v>
      </c>
      <c r="S68" s="133" t="s">
        <v>2879</v>
      </c>
      <c r="T68" s="132" t="s">
        <v>1890</v>
      </c>
      <c r="U68" s="133" t="s">
        <v>1891</v>
      </c>
      <c r="V68" s="132" t="s">
        <v>2881</v>
      </c>
      <c r="W68" s="133" t="s">
        <v>2882</v>
      </c>
      <c r="X68" s="132" t="s">
        <v>2883</v>
      </c>
      <c r="Y68" s="133" t="s">
        <v>2884</v>
      </c>
      <c r="Z68" s="135"/>
      <c r="AA68" s="138"/>
    </row>
    <row r="69" spans="1:27">
      <c r="A69" s="131"/>
      <c r="B69" s="132" t="s">
        <v>2729</v>
      </c>
      <c r="C69" s="133" t="s">
        <v>2730</v>
      </c>
      <c r="D69" s="134">
        <v>1964</v>
      </c>
      <c r="E69" s="132" t="s">
        <v>2885</v>
      </c>
      <c r="F69" s="132" t="s">
        <v>2886</v>
      </c>
      <c r="G69" s="133" t="s">
        <v>2887</v>
      </c>
      <c r="H69" s="133"/>
      <c r="I69" s="133" t="s">
        <v>2888</v>
      </c>
      <c r="J69" s="133">
        <v>31.556984999999901</v>
      </c>
      <c r="K69" s="133">
        <v>34.646546999999998</v>
      </c>
      <c r="L69" s="135"/>
      <c r="M69" s="135"/>
      <c r="N69" s="132" t="s">
        <v>2889</v>
      </c>
      <c r="O69" s="133" t="s">
        <v>2890</v>
      </c>
      <c r="P69" s="132" t="s">
        <v>2891</v>
      </c>
      <c r="Q69" s="133" t="s">
        <v>2892</v>
      </c>
      <c r="R69" s="132" t="s">
        <v>2609</v>
      </c>
      <c r="S69" s="133" t="s">
        <v>2610</v>
      </c>
      <c r="T69" s="132" t="s">
        <v>1839</v>
      </c>
      <c r="U69" s="133" t="s">
        <v>1840</v>
      </c>
      <c r="V69" s="135"/>
      <c r="W69" s="135"/>
      <c r="X69" s="132" t="s">
        <v>2894</v>
      </c>
      <c r="Y69" s="133" t="s">
        <v>2895</v>
      </c>
      <c r="Z69" s="135"/>
      <c r="AA69" s="138"/>
    </row>
    <row r="70" spans="1:27" ht="15.75" customHeight="1">
      <c r="D70" s="161"/>
    </row>
    <row r="71" spans="1:27" ht="15.75" customHeight="1">
      <c r="D71" s="161"/>
    </row>
    <row r="72" spans="1:27" ht="15.75" customHeight="1">
      <c r="D72" s="161"/>
    </row>
    <row r="73" spans="1:27" ht="15.75" customHeight="1">
      <c r="D73" s="161"/>
    </row>
    <row r="74" spans="1:27" ht="15.75" customHeight="1">
      <c r="D74" s="161"/>
    </row>
    <row r="75" spans="1:27" ht="15.75" customHeight="1">
      <c r="D75" s="161"/>
    </row>
    <row r="76" spans="1:27" ht="15.75" customHeight="1">
      <c r="D76" s="161"/>
    </row>
    <row r="77" spans="1:27" ht="15.75" customHeight="1">
      <c r="D77" s="161"/>
    </row>
    <row r="78" spans="1:27" ht="15.75" customHeight="1">
      <c r="D78" s="161"/>
    </row>
    <row r="79" spans="1:27" ht="15.75" customHeight="1">
      <c r="D79" s="161"/>
    </row>
    <row r="80" spans="1:27" ht="15.75" customHeight="1">
      <c r="D80" s="161"/>
    </row>
    <row r="81" spans="4:4" ht="15.75" customHeight="1">
      <c r="D81" s="161"/>
    </row>
    <row r="82" spans="4:4" ht="13">
      <c r="D82" s="161"/>
    </row>
    <row r="83" spans="4:4" ht="13">
      <c r="D83" s="161"/>
    </row>
    <row r="84" spans="4:4" ht="13">
      <c r="D84" s="161"/>
    </row>
    <row r="85" spans="4:4" ht="13">
      <c r="D85" s="161"/>
    </row>
    <row r="86" spans="4:4" ht="13">
      <c r="D86" s="161"/>
    </row>
    <row r="87" spans="4:4" ht="13">
      <c r="D87" s="161"/>
    </row>
    <row r="88" spans="4:4" ht="13">
      <c r="D88" s="161"/>
    </row>
    <row r="89" spans="4:4" ht="13">
      <c r="D89" s="161"/>
    </row>
    <row r="90" spans="4:4" ht="13">
      <c r="D90" s="161"/>
    </row>
    <row r="91" spans="4:4" ht="13">
      <c r="D91" s="161"/>
    </row>
    <row r="92" spans="4:4" ht="13">
      <c r="D92" s="161"/>
    </row>
    <row r="93" spans="4:4" ht="13">
      <c r="D93" s="161"/>
    </row>
    <row r="94" spans="4:4" ht="13">
      <c r="D94" s="161"/>
    </row>
    <row r="95" spans="4:4" ht="13">
      <c r="D95" s="161"/>
    </row>
    <row r="96" spans="4:4" ht="13">
      <c r="D96" s="161"/>
    </row>
    <row r="97" spans="4:4" ht="13">
      <c r="D97" s="161"/>
    </row>
    <row r="98" spans="4:4" ht="13">
      <c r="D98" s="161"/>
    </row>
    <row r="99" spans="4:4" ht="13">
      <c r="D99" s="161"/>
    </row>
    <row r="100" spans="4:4" ht="13">
      <c r="D100" s="161"/>
    </row>
    <row r="101" spans="4:4" ht="13">
      <c r="D101" s="161"/>
    </row>
    <row r="102" spans="4:4" ht="13">
      <c r="D102" s="161"/>
    </row>
    <row r="103" spans="4:4" ht="13">
      <c r="D103" s="161"/>
    </row>
    <row r="104" spans="4:4" ht="13">
      <c r="D104" s="161"/>
    </row>
    <row r="105" spans="4:4" ht="13">
      <c r="D105" s="161"/>
    </row>
    <row r="106" spans="4:4" ht="13">
      <c r="D106" s="161"/>
    </row>
    <row r="107" spans="4:4" ht="13">
      <c r="D107" s="161"/>
    </row>
    <row r="108" spans="4:4" ht="13">
      <c r="D108" s="161"/>
    </row>
    <row r="109" spans="4:4" ht="13">
      <c r="D109" s="161"/>
    </row>
    <row r="110" spans="4:4" ht="13">
      <c r="D110" s="161"/>
    </row>
    <row r="111" spans="4:4" ht="13">
      <c r="D111" s="161"/>
    </row>
    <row r="112" spans="4:4" ht="13">
      <c r="D112" s="161"/>
    </row>
    <row r="113" spans="4:4" ht="13">
      <c r="D113" s="161"/>
    </row>
    <row r="114" spans="4:4" ht="13">
      <c r="D114" s="161"/>
    </row>
    <row r="115" spans="4:4" ht="13">
      <c r="D115" s="161"/>
    </row>
    <row r="116" spans="4:4" ht="13">
      <c r="D116" s="161"/>
    </row>
    <row r="117" spans="4:4" ht="13">
      <c r="D117" s="161"/>
    </row>
    <row r="118" spans="4:4" ht="13">
      <c r="D118" s="161"/>
    </row>
    <row r="119" spans="4:4" ht="13">
      <c r="D119" s="161"/>
    </row>
    <row r="120" spans="4:4" ht="13">
      <c r="D120" s="161"/>
    </row>
    <row r="121" spans="4:4" ht="13">
      <c r="D121" s="161"/>
    </row>
    <row r="122" spans="4:4" ht="13">
      <c r="D122" s="161"/>
    </row>
    <row r="123" spans="4:4" ht="13">
      <c r="D123" s="161"/>
    </row>
    <row r="124" spans="4:4" ht="13">
      <c r="D124" s="161"/>
    </row>
    <row r="125" spans="4:4" ht="13">
      <c r="D125" s="161"/>
    </row>
    <row r="126" spans="4:4" ht="13">
      <c r="D126" s="161"/>
    </row>
    <row r="127" spans="4:4" ht="13">
      <c r="D127" s="161"/>
    </row>
    <row r="128" spans="4:4" ht="13">
      <c r="D128" s="161"/>
    </row>
    <row r="129" spans="4:4" ht="13">
      <c r="D129" s="161"/>
    </row>
    <row r="130" spans="4:4" ht="13">
      <c r="D130" s="161"/>
    </row>
    <row r="131" spans="4:4" ht="13">
      <c r="D131" s="161"/>
    </row>
    <row r="132" spans="4:4" ht="13">
      <c r="D132" s="161"/>
    </row>
    <row r="133" spans="4:4" ht="13">
      <c r="D133" s="161"/>
    </row>
    <row r="134" spans="4:4" ht="13">
      <c r="D134" s="161"/>
    </row>
    <row r="135" spans="4:4" ht="13">
      <c r="D135" s="161"/>
    </row>
    <row r="136" spans="4:4" ht="13">
      <c r="D136" s="161"/>
    </row>
    <row r="137" spans="4:4" ht="13">
      <c r="D137" s="161"/>
    </row>
    <row r="138" spans="4:4" ht="13">
      <c r="D138" s="161"/>
    </row>
    <row r="139" spans="4:4" ht="13">
      <c r="D139" s="161"/>
    </row>
    <row r="140" spans="4:4" ht="13">
      <c r="D140" s="161"/>
    </row>
    <row r="141" spans="4:4" ht="13">
      <c r="D141" s="161"/>
    </row>
    <row r="142" spans="4:4" ht="13">
      <c r="D142" s="161"/>
    </row>
    <row r="143" spans="4:4" ht="13">
      <c r="D143" s="161"/>
    </row>
    <row r="144" spans="4:4" ht="13">
      <c r="D144" s="161"/>
    </row>
    <row r="145" spans="4:4" ht="13">
      <c r="D145" s="161"/>
    </row>
    <row r="146" spans="4:4" ht="13">
      <c r="D146" s="161"/>
    </row>
    <row r="147" spans="4:4" ht="13">
      <c r="D147" s="161"/>
    </row>
    <row r="148" spans="4:4" ht="13">
      <c r="D148" s="161"/>
    </row>
    <row r="149" spans="4:4" ht="13">
      <c r="D149" s="161"/>
    </row>
    <row r="150" spans="4:4" ht="13">
      <c r="D150" s="161"/>
    </row>
    <row r="151" spans="4:4" ht="13">
      <c r="D151" s="161"/>
    </row>
    <row r="152" spans="4:4" ht="13">
      <c r="D152" s="161"/>
    </row>
    <row r="153" spans="4:4" ht="13">
      <c r="D153" s="161"/>
    </row>
    <row r="154" spans="4:4" ht="13">
      <c r="D154" s="161"/>
    </row>
    <row r="155" spans="4:4" ht="13">
      <c r="D155" s="161"/>
    </row>
    <row r="156" spans="4:4" ht="13">
      <c r="D156" s="161"/>
    </row>
    <row r="157" spans="4:4" ht="13">
      <c r="D157" s="161"/>
    </row>
    <row r="158" spans="4:4" ht="13">
      <c r="D158" s="161"/>
    </row>
    <row r="159" spans="4:4" ht="13">
      <c r="D159" s="161"/>
    </row>
    <row r="160" spans="4:4" ht="13">
      <c r="D160" s="161"/>
    </row>
    <row r="161" spans="4:4" ht="13">
      <c r="D161" s="161"/>
    </row>
    <row r="162" spans="4:4" ht="13">
      <c r="D162" s="161"/>
    </row>
    <row r="163" spans="4:4" ht="13">
      <c r="D163" s="161"/>
    </row>
    <row r="164" spans="4:4" ht="13">
      <c r="D164" s="161"/>
    </row>
    <row r="165" spans="4:4" ht="13">
      <c r="D165" s="161"/>
    </row>
    <row r="166" spans="4:4" ht="13">
      <c r="D166" s="161"/>
    </row>
    <row r="167" spans="4:4" ht="13">
      <c r="D167" s="161"/>
    </row>
    <row r="168" spans="4:4" ht="13">
      <c r="D168" s="161"/>
    </row>
    <row r="169" spans="4:4" ht="13">
      <c r="D169" s="161"/>
    </row>
    <row r="170" spans="4:4" ht="13">
      <c r="D170" s="161"/>
    </row>
    <row r="171" spans="4:4" ht="13">
      <c r="D171" s="161"/>
    </row>
    <row r="172" spans="4:4" ht="13">
      <c r="D172" s="161"/>
    </row>
    <row r="173" spans="4:4" ht="13">
      <c r="D173" s="161"/>
    </row>
    <row r="174" spans="4:4" ht="13">
      <c r="D174" s="161"/>
    </row>
    <row r="175" spans="4:4" ht="13">
      <c r="D175" s="161"/>
    </row>
    <row r="176" spans="4:4" ht="13">
      <c r="D176" s="161"/>
    </row>
    <row r="177" spans="4:4" ht="13">
      <c r="D177" s="161"/>
    </row>
    <row r="178" spans="4:4" ht="13">
      <c r="D178" s="161"/>
    </row>
    <row r="179" spans="4:4" ht="13">
      <c r="D179" s="161"/>
    </row>
    <row r="180" spans="4:4" ht="13">
      <c r="D180" s="161"/>
    </row>
    <row r="181" spans="4:4" ht="13">
      <c r="D181" s="161"/>
    </row>
    <row r="182" spans="4:4" ht="13">
      <c r="D182" s="161"/>
    </row>
    <row r="183" spans="4:4" ht="13">
      <c r="D183" s="161"/>
    </row>
    <row r="184" spans="4:4" ht="13">
      <c r="D184" s="161"/>
    </row>
    <row r="185" spans="4:4" ht="13">
      <c r="D185" s="161"/>
    </row>
    <row r="186" spans="4:4" ht="13">
      <c r="D186" s="161"/>
    </row>
    <row r="187" spans="4:4" ht="13">
      <c r="D187" s="161"/>
    </row>
    <row r="188" spans="4:4" ht="13">
      <c r="D188" s="161"/>
    </row>
    <row r="189" spans="4:4" ht="13">
      <c r="D189" s="161"/>
    </row>
    <row r="190" spans="4:4" ht="13">
      <c r="D190" s="161"/>
    </row>
    <row r="191" spans="4:4" ht="13">
      <c r="D191" s="161"/>
    </row>
    <row r="192" spans="4:4" ht="13">
      <c r="D192" s="161"/>
    </row>
    <row r="193" spans="4:4" ht="13">
      <c r="D193" s="161"/>
    </row>
    <row r="194" spans="4:4" ht="13">
      <c r="D194" s="161"/>
    </row>
    <row r="195" spans="4:4" ht="13">
      <c r="D195" s="161"/>
    </row>
    <row r="196" spans="4:4" ht="13">
      <c r="D196" s="161"/>
    </row>
    <row r="197" spans="4:4" ht="13">
      <c r="D197" s="161"/>
    </row>
    <row r="198" spans="4:4" ht="13">
      <c r="D198" s="161"/>
    </row>
    <row r="199" spans="4:4" ht="13">
      <c r="D199" s="161"/>
    </row>
    <row r="200" spans="4:4" ht="13">
      <c r="D200" s="161"/>
    </row>
    <row r="201" spans="4:4" ht="13">
      <c r="D201" s="161"/>
    </row>
    <row r="202" spans="4:4" ht="13">
      <c r="D202" s="161"/>
    </row>
    <row r="203" spans="4:4" ht="13">
      <c r="D203" s="161"/>
    </row>
    <row r="204" spans="4:4" ht="13">
      <c r="D204" s="161"/>
    </row>
    <row r="205" spans="4:4" ht="13">
      <c r="D205" s="161"/>
    </row>
    <row r="206" spans="4:4" ht="13">
      <c r="D206" s="161"/>
    </row>
    <row r="207" spans="4:4" ht="13">
      <c r="D207" s="161"/>
    </row>
    <row r="208" spans="4:4" ht="13">
      <c r="D208" s="161"/>
    </row>
    <row r="209" spans="4:4" ht="13">
      <c r="D209" s="161"/>
    </row>
    <row r="210" spans="4:4" ht="13">
      <c r="D210" s="161"/>
    </row>
    <row r="211" spans="4:4" ht="13">
      <c r="D211" s="161"/>
    </row>
    <row r="212" spans="4:4" ht="13">
      <c r="D212" s="161"/>
    </row>
    <row r="213" spans="4:4" ht="13">
      <c r="D213" s="161"/>
    </row>
    <row r="214" spans="4:4" ht="13">
      <c r="D214" s="161"/>
    </row>
    <row r="215" spans="4:4" ht="13">
      <c r="D215" s="161"/>
    </row>
    <row r="216" spans="4:4" ht="13">
      <c r="D216" s="161"/>
    </row>
    <row r="217" spans="4:4" ht="13">
      <c r="D217" s="161"/>
    </row>
    <row r="218" spans="4:4" ht="13">
      <c r="D218" s="161"/>
    </row>
    <row r="219" spans="4:4" ht="13">
      <c r="D219" s="161"/>
    </row>
    <row r="220" spans="4:4" ht="13">
      <c r="D220" s="161"/>
    </row>
    <row r="221" spans="4:4" ht="13">
      <c r="D221" s="161"/>
    </row>
    <row r="222" spans="4:4" ht="13">
      <c r="D222" s="161"/>
    </row>
    <row r="223" spans="4:4" ht="13">
      <c r="D223" s="161"/>
    </row>
    <row r="224" spans="4:4" ht="13">
      <c r="D224" s="161"/>
    </row>
    <row r="225" spans="4:4" ht="13">
      <c r="D225" s="161"/>
    </row>
    <row r="226" spans="4:4" ht="13">
      <c r="D226" s="161"/>
    </row>
    <row r="227" spans="4:4" ht="13">
      <c r="D227" s="161"/>
    </row>
    <row r="228" spans="4:4" ht="13">
      <c r="D228" s="161"/>
    </row>
    <row r="229" spans="4:4" ht="13">
      <c r="D229" s="161"/>
    </row>
    <row r="230" spans="4:4" ht="13">
      <c r="D230" s="161"/>
    </row>
    <row r="231" spans="4:4" ht="13">
      <c r="D231" s="161"/>
    </row>
    <row r="232" spans="4:4" ht="13">
      <c r="D232" s="161"/>
    </row>
    <row r="233" spans="4:4" ht="13">
      <c r="D233" s="161"/>
    </row>
    <row r="234" spans="4:4" ht="13">
      <c r="D234" s="161"/>
    </row>
    <row r="235" spans="4:4" ht="13">
      <c r="D235" s="161"/>
    </row>
    <row r="236" spans="4:4" ht="13">
      <c r="D236" s="161"/>
    </row>
    <row r="237" spans="4:4" ht="13">
      <c r="D237" s="161"/>
    </row>
    <row r="238" spans="4:4" ht="13">
      <c r="D238" s="161"/>
    </row>
    <row r="239" spans="4:4" ht="13">
      <c r="D239" s="161"/>
    </row>
    <row r="240" spans="4:4" ht="13">
      <c r="D240" s="161"/>
    </row>
    <row r="241" spans="4:4" ht="13">
      <c r="D241" s="161"/>
    </row>
    <row r="242" spans="4:4" ht="13">
      <c r="D242" s="161"/>
    </row>
    <row r="243" spans="4:4" ht="13">
      <c r="D243" s="161"/>
    </row>
    <row r="244" spans="4:4" ht="13">
      <c r="D244" s="161"/>
    </row>
    <row r="245" spans="4:4" ht="13">
      <c r="D245" s="161"/>
    </row>
    <row r="246" spans="4:4" ht="13">
      <c r="D246" s="161"/>
    </row>
    <row r="247" spans="4:4" ht="13">
      <c r="D247" s="161"/>
    </row>
    <row r="248" spans="4:4" ht="13">
      <c r="D248" s="161"/>
    </row>
    <row r="249" spans="4:4" ht="13">
      <c r="D249" s="161"/>
    </row>
    <row r="250" spans="4:4" ht="13">
      <c r="D250" s="161"/>
    </row>
    <row r="251" spans="4:4" ht="13">
      <c r="D251" s="161"/>
    </row>
    <row r="252" spans="4:4" ht="13">
      <c r="D252" s="161"/>
    </row>
    <row r="253" spans="4:4" ht="13">
      <c r="D253" s="161"/>
    </row>
    <row r="254" spans="4:4" ht="13">
      <c r="D254" s="161"/>
    </row>
    <row r="255" spans="4:4" ht="13">
      <c r="D255" s="161"/>
    </row>
    <row r="256" spans="4:4" ht="13">
      <c r="D256" s="161"/>
    </row>
    <row r="257" spans="4:4" ht="13">
      <c r="D257" s="161"/>
    </row>
    <row r="258" spans="4:4" ht="13">
      <c r="D258" s="161"/>
    </row>
    <row r="259" spans="4:4" ht="13">
      <c r="D259" s="161"/>
    </row>
    <row r="260" spans="4:4" ht="13">
      <c r="D260" s="161"/>
    </row>
    <row r="261" spans="4:4" ht="13">
      <c r="D261" s="161"/>
    </row>
    <row r="262" spans="4:4" ht="13">
      <c r="D262" s="161"/>
    </row>
    <row r="263" spans="4:4" ht="13">
      <c r="D263" s="161"/>
    </row>
    <row r="264" spans="4:4" ht="13">
      <c r="D264" s="161"/>
    </row>
    <row r="265" spans="4:4" ht="13">
      <c r="D265" s="161"/>
    </row>
    <row r="266" spans="4:4" ht="13">
      <c r="D266" s="161"/>
    </row>
    <row r="267" spans="4:4" ht="13">
      <c r="D267" s="161"/>
    </row>
    <row r="268" spans="4:4" ht="13">
      <c r="D268" s="161"/>
    </row>
    <row r="269" spans="4:4" ht="13">
      <c r="D269" s="161"/>
    </row>
    <row r="270" spans="4:4" ht="13">
      <c r="D270" s="161"/>
    </row>
    <row r="271" spans="4:4" ht="13">
      <c r="D271" s="161"/>
    </row>
    <row r="272" spans="4:4" ht="13">
      <c r="D272" s="161"/>
    </row>
    <row r="273" spans="4:4" ht="13">
      <c r="D273" s="161"/>
    </row>
    <row r="274" spans="4:4" ht="13">
      <c r="D274" s="161"/>
    </row>
    <row r="275" spans="4:4" ht="13">
      <c r="D275" s="161"/>
    </row>
    <row r="276" spans="4:4" ht="13">
      <c r="D276" s="161"/>
    </row>
    <row r="277" spans="4:4" ht="13">
      <c r="D277" s="161"/>
    </row>
    <row r="278" spans="4:4" ht="13">
      <c r="D278" s="161"/>
    </row>
    <row r="279" spans="4:4" ht="13">
      <c r="D279" s="161"/>
    </row>
    <row r="280" spans="4:4" ht="13">
      <c r="D280" s="161"/>
    </row>
    <row r="281" spans="4:4" ht="13">
      <c r="D281" s="161"/>
    </row>
    <row r="282" spans="4:4" ht="13">
      <c r="D282" s="161"/>
    </row>
    <row r="283" spans="4:4" ht="13">
      <c r="D283" s="161"/>
    </row>
    <row r="284" spans="4:4" ht="13">
      <c r="D284" s="161"/>
    </row>
    <row r="285" spans="4:4" ht="13">
      <c r="D285" s="161"/>
    </row>
    <row r="286" spans="4:4" ht="13">
      <c r="D286" s="161"/>
    </row>
    <row r="287" spans="4:4" ht="13">
      <c r="D287" s="161"/>
    </row>
    <row r="288" spans="4:4" ht="13">
      <c r="D288" s="161"/>
    </row>
    <row r="289" spans="4:4" ht="13">
      <c r="D289" s="161"/>
    </row>
    <row r="290" spans="4:4" ht="13">
      <c r="D290" s="161"/>
    </row>
    <row r="291" spans="4:4" ht="13">
      <c r="D291" s="161"/>
    </row>
    <row r="292" spans="4:4" ht="13">
      <c r="D292" s="161"/>
    </row>
    <row r="293" spans="4:4" ht="13">
      <c r="D293" s="161"/>
    </row>
    <row r="294" spans="4:4" ht="13">
      <c r="D294" s="161"/>
    </row>
    <row r="295" spans="4:4" ht="13">
      <c r="D295" s="161"/>
    </row>
    <row r="296" spans="4:4" ht="13">
      <c r="D296" s="161"/>
    </row>
    <row r="297" spans="4:4" ht="13">
      <c r="D297" s="161"/>
    </row>
    <row r="298" spans="4:4" ht="13">
      <c r="D298" s="161"/>
    </row>
    <row r="299" spans="4:4" ht="13">
      <c r="D299" s="161"/>
    </row>
    <row r="300" spans="4:4" ht="13">
      <c r="D300" s="161"/>
    </row>
    <row r="301" spans="4:4" ht="13">
      <c r="D301" s="161"/>
    </row>
    <row r="302" spans="4:4" ht="13">
      <c r="D302" s="161"/>
    </row>
    <row r="303" spans="4:4" ht="13">
      <c r="D303" s="161"/>
    </row>
    <row r="304" spans="4:4" ht="13">
      <c r="D304" s="161"/>
    </row>
    <row r="305" spans="4:4" ht="13">
      <c r="D305" s="161"/>
    </row>
    <row r="306" spans="4:4" ht="13">
      <c r="D306" s="161"/>
    </row>
    <row r="307" spans="4:4" ht="13">
      <c r="D307" s="161"/>
    </row>
    <row r="308" spans="4:4" ht="13">
      <c r="D308" s="161"/>
    </row>
    <row r="309" spans="4:4" ht="13">
      <c r="D309" s="161"/>
    </row>
    <row r="310" spans="4:4" ht="13">
      <c r="D310" s="161"/>
    </row>
    <row r="311" spans="4:4" ht="13">
      <c r="D311" s="161"/>
    </row>
    <row r="312" spans="4:4" ht="13">
      <c r="D312" s="161"/>
    </row>
    <row r="313" spans="4:4" ht="13">
      <c r="D313" s="161"/>
    </row>
    <row r="314" spans="4:4" ht="13">
      <c r="D314" s="161"/>
    </row>
    <row r="315" spans="4:4" ht="13">
      <c r="D315" s="161"/>
    </row>
    <row r="316" spans="4:4" ht="13">
      <c r="D316" s="161"/>
    </row>
    <row r="317" spans="4:4" ht="13">
      <c r="D317" s="161"/>
    </row>
    <row r="318" spans="4:4" ht="13">
      <c r="D318" s="161"/>
    </row>
    <row r="319" spans="4:4" ht="13">
      <c r="D319" s="161"/>
    </row>
    <row r="320" spans="4:4" ht="13">
      <c r="D320" s="161"/>
    </row>
    <row r="321" spans="4:4" ht="13">
      <c r="D321" s="161"/>
    </row>
    <row r="322" spans="4:4" ht="13">
      <c r="D322" s="161"/>
    </row>
    <row r="323" spans="4:4" ht="13">
      <c r="D323" s="161"/>
    </row>
    <row r="324" spans="4:4" ht="13">
      <c r="D324" s="161"/>
    </row>
    <row r="325" spans="4:4" ht="13">
      <c r="D325" s="161"/>
    </row>
    <row r="326" spans="4:4" ht="13">
      <c r="D326" s="161"/>
    </row>
    <row r="327" spans="4:4" ht="13">
      <c r="D327" s="161"/>
    </row>
    <row r="328" spans="4:4" ht="13">
      <c r="D328" s="161"/>
    </row>
    <row r="329" spans="4:4" ht="13">
      <c r="D329" s="161"/>
    </row>
    <row r="330" spans="4:4" ht="13">
      <c r="D330" s="161"/>
    </row>
    <row r="331" spans="4:4" ht="13">
      <c r="D331" s="161"/>
    </row>
    <row r="332" spans="4:4" ht="13">
      <c r="D332" s="161"/>
    </row>
    <row r="333" spans="4:4" ht="13">
      <c r="D333" s="161"/>
    </row>
    <row r="334" spans="4:4" ht="13">
      <c r="D334" s="161"/>
    </row>
    <row r="335" spans="4:4" ht="13">
      <c r="D335" s="161"/>
    </row>
    <row r="336" spans="4:4" ht="13">
      <c r="D336" s="161"/>
    </row>
    <row r="337" spans="4:4" ht="13">
      <c r="D337" s="161"/>
    </row>
    <row r="338" spans="4:4" ht="13">
      <c r="D338" s="161"/>
    </row>
    <row r="339" spans="4:4" ht="13">
      <c r="D339" s="161"/>
    </row>
    <row r="340" spans="4:4" ht="13">
      <c r="D340" s="161"/>
    </row>
    <row r="341" spans="4:4" ht="13">
      <c r="D341" s="161"/>
    </row>
    <row r="342" spans="4:4" ht="13">
      <c r="D342" s="161"/>
    </row>
    <row r="343" spans="4:4" ht="13">
      <c r="D343" s="161"/>
    </row>
    <row r="344" spans="4:4" ht="13">
      <c r="D344" s="161"/>
    </row>
    <row r="345" spans="4:4" ht="13">
      <c r="D345" s="161"/>
    </row>
    <row r="346" spans="4:4" ht="13">
      <c r="D346" s="161"/>
    </row>
    <row r="347" spans="4:4" ht="13">
      <c r="D347" s="161"/>
    </row>
    <row r="348" spans="4:4" ht="13">
      <c r="D348" s="161"/>
    </row>
    <row r="349" spans="4:4" ht="13">
      <c r="D349" s="161"/>
    </row>
    <row r="350" spans="4:4" ht="13">
      <c r="D350" s="161"/>
    </row>
    <row r="351" spans="4:4" ht="13">
      <c r="D351" s="161"/>
    </row>
    <row r="352" spans="4:4" ht="13">
      <c r="D352" s="161"/>
    </row>
    <row r="353" spans="4:4" ht="13">
      <c r="D353" s="161"/>
    </row>
    <row r="354" spans="4:4" ht="13">
      <c r="D354" s="161"/>
    </row>
    <row r="355" spans="4:4" ht="13">
      <c r="D355" s="161"/>
    </row>
    <row r="356" spans="4:4" ht="13">
      <c r="D356" s="161"/>
    </row>
    <row r="357" spans="4:4" ht="13">
      <c r="D357" s="161"/>
    </row>
    <row r="358" spans="4:4" ht="13">
      <c r="D358" s="161"/>
    </row>
    <row r="359" spans="4:4" ht="13">
      <c r="D359" s="161"/>
    </row>
    <row r="360" spans="4:4" ht="13">
      <c r="D360" s="161"/>
    </row>
    <row r="361" spans="4:4" ht="13">
      <c r="D361" s="161"/>
    </row>
    <row r="362" spans="4:4" ht="13">
      <c r="D362" s="161"/>
    </row>
    <row r="363" spans="4:4" ht="13">
      <c r="D363" s="161"/>
    </row>
    <row r="364" spans="4:4" ht="13">
      <c r="D364" s="161"/>
    </row>
    <row r="365" spans="4:4" ht="13">
      <c r="D365" s="161"/>
    </row>
    <row r="366" spans="4:4" ht="13">
      <c r="D366" s="161"/>
    </row>
    <row r="367" spans="4:4" ht="13">
      <c r="D367" s="161"/>
    </row>
    <row r="368" spans="4:4" ht="13">
      <c r="D368" s="161"/>
    </row>
    <row r="369" spans="4:4" ht="13">
      <c r="D369" s="161"/>
    </row>
    <row r="370" spans="4:4" ht="13">
      <c r="D370" s="161"/>
    </row>
    <row r="371" spans="4:4" ht="13">
      <c r="D371" s="161"/>
    </row>
    <row r="372" spans="4:4" ht="13">
      <c r="D372" s="161"/>
    </row>
    <row r="373" spans="4:4" ht="13">
      <c r="D373" s="161"/>
    </row>
    <row r="374" spans="4:4" ht="13">
      <c r="D374" s="161"/>
    </row>
    <row r="375" spans="4:4" ht="13">
      <c r="D375" s="161"/>
    </row>
    <row r="376" spans="4:4" ht="13">
      <c r="D376" s="161"/>
    </row>
    <row r="377" spans="4:4" ht="13">
      <c r="D377" s="161"/>
    </row>
    <row r="378" spans="4:4" ht="13">
      <c r="D378" s="161"/>
    </row>
    <row r="379" spans="4:4" ht="13">
      <c r="D379" s="161"/>
    </row>
    <row r="380" spans="4:4" ht="13">
      <c r="D380" s="161"/>
    </row>
    <row r="381" spans="4:4" ht="13">
      <c r="D381" s="161"/>
    </row>
    <row r="382" spans="4:4" ht="13">
      <c r="D382" s="161"/>
    </row>
    <row r="383" spans="4:4" ht="13">
      <c r="D383" s="161"/>
    </row>
    <row r="384" spans="4:4" ht="13">
      <c r="D384" s="161"/>
    </row>
    <row r="385" spans="4:4" ht="13">
      <c r="D385" s="161"/>
    </row>
    <row r="386" spans="4:4" ht="13">
      <c r="D386" s="161"/>
    </row>
    <row r="387" spans="4:4" ht="13">
      <c r="D387" s="161"/>
    </row>
    <row r="388" spans="4:4" ht="13">
      <c r="D388" s="161"/>
    </row>
    <row r="389" spans="4:4" ht="13">
      <c r="D389" s="161"/>
    </row>
    <row r="390" spans="4:4" ht="13">
      <c r="D390" s="161"/>
    </row>
    <row r="391" spans="4:4" ht="13">
      <c r="D391" s="161"/>
    </row>
    <row r="392" spans="4:4" ht="13">
      <c r="D392" s="161"/>
    </row>
    <row r="393" spans="4:4" ht="13">
      <c r="D393" s="161"/>
    </row>
    <row r="394" spans="4:4" ht="13">
      <c r="D394" s="161"/>
    </row>
    <row r="395" spans="4:4" ht="13">
      <c r="D395" s="161"/>
    </row>
    <row r="396" spans="4:4" ht="13">
      <c r="D396" s="161"/>
    </row>
    <row r="397" spans="4:4" ht="13">
      <c r="D397" s="161"/>
    </row>
    <row r="398" spans="4:4" ht="13">
      <c r="D398" s="161"/>
    </row>
    <row r="399" spans="4:4" ht="13">
      <c r="D399" s="161"/>
    </row>
    <row r="400" spans="4:4" ht="13">
      <c r="D400" s="161"/>
    </row>
    <row r="401" spans="4:4" ht="13">
      <c r="D401" s="161"/>
    </row>
    <row r="402" spans="4:4" ht="13">
      <c r="D402" s="161"/>
    </row>
    <row r="403" spans="4:4" ht="13">
      <c r="D403" s="161"/>
    </row>
    <row r="404" spans="4:4" ht="13">
      <c r="D404" s="161"/>
    </row>
    <row r="405" spans="4:4" ht="13">
      <c r="D405" s="161"/>
    </row>
    <row r="406" spans="4:4" ht="13">
      <c r="D406" s="161"/>
    </row>
    <row r="407" spans="4:4" ht="13">
      <c r="D407" s="161"/>
    </row>
    <row r="408" spans="4:4" ht="13">
      <c r="D408" s="161"/>
    </row>
    <row r="409" spans="4:4" ht="13">
      <c r="D409" s="161"/>
    </row>
    <row r="410" spans="4:4" ht="13">
      <c r="D410" s="161"/>
    </row>
    <row r="411" spans="4:4" ht="13">
      <c r="D411" s="161"/>
    </row>
    <row r="412" spans="4:4" ht="13">
      <c r="D412" s="161"/>
    </row>
    <row r="413" spans="4:4" ht="13">
      <c r="D413" s="161"/>
    </row>
    <row r="414" spans="4:4" ht="13">
      <c r="D414" s="161"/>
    </row>
    <row r="415" spans="4:4" ht="13">
      <c r="D415" s="161"/>
    </row>
    <row r="416" spans="4:4" ht="13">
      <c r="D416" s="161"/>
    </row>
    <row r="417" spans="4:4" ht="13">
      <c r="D417" s="161"/>
    </row>
    <row r="418" spans="4:4" ht="13">
      <c r="D418" s="161"/>
    </row>
    <row r="419" spans="4:4" ht="13">
      <c r="D419" s="161"/>
    </row>
    <row r="420" spans="4:4" ht="13">
      <c r="D420" s="161"/>
    </row>
    <row r="421" spans="4:4" ht="13">
      <c r="D421" s="161"/>
    </row>
    <row r="422" spans="4:4" ht="13">
      <c r="D422" s="161"/>
    </row>
    <row r="423" spans="4:4" ht="13">
      <c r="D423" s="161"/>
    </row>
    <row r="424" spans="4:4" ht="13">
      <c r="D424" s="161"/>
    </row>
    <row r="425" spans="4:4" ht="13">
      <c r="D425" s="161"/>
    </row>
    <row r="426" spans="4:4" ht="13">
      <c r="D426" s="161"/>
    </row>
    <row r="427" spans="4:4" ht="13">
      <c r="D427" s="161"/>
    </row>
    <row r="428" spans="4:4" ht="13">
      <c r="D428" s="161"/>
    </row>
    <row r="429" spans="4:4" ht="13">
      <c r="D429" s="161"/>
    </row>
    <row r="430" spans="4:4" ht="13">
      <c r="D430" s="161"/>
    </row>
    <row r="431" spans="4:4" ht="13">
      <c r="D431" s="161"/>
    </row>
    <row r="432" spans="4:4" ht="13">
      <c r="D432" s="161"/>
    </row>
    <row r="433" spans="4:4" ht="13">
      <c r="D433" s="161"/>
    </row>
    <row r="434" spans="4:4" ht="13">
      <c r="D434" s="161"/>
    </row>
    <row r="435" spans="4:4" ht="13">
      <c r="D435" s="161"/>
    </row>
    <row r="436" spans="4:4" ht="13">
      <c r="D436" s="161"/>
    </row>
    <row r="437" spans="4:4" ht="13">
      <c r="D437" s="161"/>
    </row>
    <row r="438" spans="4:4" ht="13">
      <c r="D438" s="161"/>
    </row>
    <row r="439" spans="4:4" ht="13">
      <c r="D439" s="161"/>
    </row>
    <row r="440" spans="4:4" ht="13">
      <c r="D440" s="161"/>
    </row>
    <row r="441" spans="4:4" ht="13">
      <c r="D441" s="161"/>
    </row>
    <row r="442" spans="4:4" ht="13">
      <c r="D442" s="161"/>
    </row>
    <row r="443" spans="4:4" ht="13">
      <c r="D443" s="161"/>
    </row>
    <row r="444" spans="4:4" ht="13">
      <c r="D444" s="161"/>
    </row>
    <row r="445" spans="4:4" ht="13">
      <c r="D445" s="161"/>
    </row>
    <row r="446" spans="4:4" ht="13">
      <c r="D446" s="161"/>
    </row>
    <row r="447" spans="4:4" ht="13">
      <c r="D447" s="161"/>
    </row>
    <row r="448" spans="4:4" ht="13">
      <c r="D448" s="161"/>
    </row>
    <row r="449" spans="4:4" ht="13">
      <c r="D449" s="161"/>
    </row>
    <row r="450" spans="4:4" ht="13">
      <c r="D450" s="161"/>
    </row>
    <row r="451" spans="4:4" ht="13">
      <c r="D451" s="161"/>
    </row>
    <row r="452" spans="4:4" ht="13">
      <c r="D452" s="161"/>
    </row>
    <row r="453" spans="4:4" ht="13">
      <c r="D453" s="161"/>
    </row>
    <row r="454" spans="4:4" ht="13">
      <c r="D454" s="161"/>
    </row>
    <row r="455" spans="4:4" ht="13">
      <c r="D455" s="161"/>
    </row>
    <row r="456" spans="4:4" ht="13">
      <c r="D456" s="161"/>
    </row>
    <row r="457" spans="4:4" ht="13">
      <c r="D457" s="161"/>
    </row>
    <row r="458" spans="4:4" ht="13">
      <c r="D458" s="161"/>
    </row>
    <row r="459" spans="4:4" ht="13">
      <c r="D459" s="161"/>
    </row>
    <row r="460" spans="4:4" ht="13">
      <c r="D460" s="161"/>
    </row>
    <row r="461" spans="4:4" ht="13">
      <c r="D461" s="161"/>
    </row>
    <row r="462" spans="4:4" ht="13">
      <c r="D462" s="161"/>
    </row>
    <row r="463" spans="4:4" ht="13">
      <c r="D463" s="161"/>
    </row>
    <row r="464" spans="4:4" ht="13">
      <c r="D464" s="161"/>
    </row>
    <row r="465" spans="4:4" ht="13">
      <c r="D465" s="161"/>
    </row>
    <row r="466" spans="4:4" ht="13">
      <c r="D466" s="161"/>
    </row>
    <row r="467" spans="4:4" ht="13">
      <c r="D467" s="161"/>
    </row>
    <row r="468" spans="4:4" ht="13">
      <c r="D468" s="161"/>
    </row>
    <row r="469" spans="4:4" ht="13">
      <c r="D469" s="161"/>
    </row>
    <row r="470" spans="4:4" ht="13">
      <c r="D470" s="161"/>
    </row>
    <row r="471" spans="4:4" ht="13">
      <c r="D471" s="161"/>
    </row>
    <row r="472" spans="4:4" ht="13">
      <c r="D472" s="161"/>
    </row>
    <row r="473" spans="4:4" ht="13">
      <c r="D473" s="161"/>
    </row>
    <row r="474" spans="4:4" ht="13">
      <c r="D474" s="161"/>
    </row>
    <row r="475" spans="4:4" ht="13">
      <c r="D475" s="161"/>
    </row>
    <row r="476" spans="4:4" ht="13">
      <c r="D476" s="161"/>
    </row>
    <row r="477" spans="4:4" ht="13">
      <c r="D477" s="161"/>
    </row>
    <row r="478" spans="4:4" ht="13">
      <c r="D478" s="161"/>
    </row>
    <row r="479" spans="4:4" ht="13">
      <c r="D479" s="161"/>
    </row>
    <row r="480" spans="4:4" ht="13">
      <c r="D480" s="161"/>
    </row>
    <row r="481" spans="4:4" ht="13">
      <c r="D481" s="161"/>
    </row>
    <row r="482" spans="4:4" ht="13">
      <c r="D482" s="161"/>
    </row>
    <row r="483" spans="4:4" ht="13">
      <c r="D483" s="161"/>
    </row>
    <row r="484" spans="4:4" ht="13">
      <c r="D484" s="161"/>
    </row>
    <row r="485" spans="4:4" ht="13">
      <c r="D485" s="161"/>
    </row>
    <row r="486" spans="4:4" ht="13">
      <c r="D486" s="161"/>
    </row>
    <row r="487" spans="4:4" ht="13">
      <c r="D487" s="161"/>
    </row>
    <row r="488" spans="4:4" ht="13">
      <c r="D488" s="161"/>
    </row>
    <row r="489" spans="4:4" ht="13">
      <c r="D489" s="161"/>
    </row>
    <row r="490" spans="4:4" ht="13">
      <c r="D490" s="161"/>
    </row>
    <row r="491" spans="4:4" ht="13">
      <c r="D491" s="161"/>
    </row>
    <row r="492" spans="4:4" ht="13">
      <c r="D492" s="161"/>
    </row>
    <row r="493" spans="4:4" ht="13">
      <c r="D493" s="161"/>
    </row>
    <row r="494" spans="4:4" ht="13">
      <c r="D494" s="161"/>
    </row>
    <row r="495" spans="4:4" ht="13">
      <c r="D495" s="161"/>
    </row>
    <row r="496" spans="4:4" ht="13">
      <c r="D496" s="161"/>
    </row>
    <row r="497" spans="4:4" ht="13">
      <c r="D497" s="161"/>
    </row>
    <row r="498" spans="4:4" ht="13">
      <c r="D498" s="161"/>
    </row>
    <row r="499" spans="4:4" ht="13">
      <c r="D499" s="161"/>
    </row>
    <row r="500" spans="4:4" ht="13">
      <c r="D500" s="161"/>
    </row>
    <row r="501" spans="4:4" ht="13">
      <c r="D501" s="161"/>
    </row>
    <row r="502" spans="4:4" ht="13">
      <c r="D502" s="161"/>
    </row>
    <row r="503" spans="4:4" ht="13">
      <c r="D503" s="161"/>
    </row>
    <row r="504" spans="4:4" ht="13">
      <c r="D504" s="161"/>
    </row>
    <row r="505" spans="4:4" ht="13">
      <c r="D505" s="161"/>
    </row>
    <row r="506" spans="4:4" ht="13">
      <c r="D506" s="161"/>
    </row>
    <row r="507" spans="4:4" ht="13">
      <c r="D507" s="161"/>
    </row>
    <row r="508" spans="4:4" ht="13">
      <c r="D508" s="161"/>
    </row>
    <row r="509" spans="4:4" ht="13">
      <c r="D509" s="161"/>
    </row>
    <row r="510" spans="4:4" ht="13">
      <c r="D510" s="161"/>
    </row>
    <row r="511" spans="4:4" ht="13">
      <c r="D511" s="161"/>
    </row>
    <row r="512" spans="4:4" ht="13">
      <c r="D512" s="161"/>
    </row>
    <row r="513" spans="4:4" ht="13">
      <c r="D513" s="161"/>
    </row>
    <row r="514" spans="4:4" ht="13">
      <c r="D514" s="161"/>
    </row>
    <row r="515" spans="4:4" ht="13">
      <c r="D515" s="161"/>
    </row>
    <row r="516" spans="4:4" ht="13">
      <c r="D516" s="161"/>
    </row>
    <row r="517" spans="4:4" ht="13">
      <c r="D517" s="161"/>
    </row>
    <row r="518" spans="4:4" ht="13">
      <c r="D518" s="161"/>
    </row>
    <row r="519" spans="4:4" ht="13">
      <c r="D519" s="161"/>
    </row>
    <row r="520" spans="4:4" ht="13">
      <c r="D520" s="161"/>
    </row>
    <row r="521" spans="4:4" ht="13">
      <c r="D521" s="161"/>
    </row>
    <row r="522" spans="4:4" ht="13">
      <c r="D522" s="161"/>
    </row>
    <row r="523" spans="4:4" ht="13">
      <c r="D523" s="161"/>
    </row>
    <row r="524" spans="4:4" ht="13">
      <c r="D524" s="161"/>
    </row>
    <row r="525" spans="4:4" ht="13">
      <c r="D525" s="161"/>
    </row>
    <row r="526" spans="4:4" ht="13">
      <c r="D526" s="161"/>
    </row>
    <row r="527" spans="4:4" ht="13">
      <c r="D527" s="161"/>
    </row>
    <row r="528" spans="4:4" ht="13">
      <c r="D528" s="161"/>
    </row>
    <row r="529" spans="4:4" ht="13">
      <c r="D529" s="161"/>
    </row>
    <row r="530" spans="4:4" ht="13">
      <c r="D530" s="161"/>
    </row>
    <row r="531" spans="4:4" ht="13">
      <c r="D531" s="161"/>
    </row>
    <row r="532" spans="4:4" ht="13">
      <c r="D532" s="161"/>
    </row>
    <row r="533" spans="4:4" ht="13">
      <c r="D533" s="161"/>
    </row>
    <row r="534" spans="4:4" ht="13">
      <c r="D534" s="161"/>
    </row>
    <row r="535" spans="4:4" ht="13">
      <c r="D535" s="161"/>
    </row>
    <row r="536" spans="4:4" ht="13">
      <c r="D536" s="161"/>
    </row>
    <row r="537" spans="4:4" ht="13">
      <c r="D537" s="161"/>
    </row>
    <row r="538" spans="4:4" ht="13">
      <c r="D538" s="161"/>
    </row>
    <row r="539" spans="4:4" ht="13">
      <c r="D539" s="161"/>
    </row>
    <row r="540" spans="4:4" ht="13">
      <c r="D540" s="161"/>
    </row>
    <row r="541" spans="4:4" ht="13">
      <c r="D541" s="161"/>
    </row>
    <row r="542" spans="4:4" ht="13">
      <c r="D542" s="161"/>
    </row>
    <row r="543" spans="4:4" ht="13">
      <c r="D543" s="161"/>
    </row>
    <row r="544" spans="4:4" ht="13">
      <c r="D544" s="161"/>
    </row>
    <row r="545" spans="4:4" ht="13">
      <c r="D545" s="161"/>
    </row>
    <row r="546" spans="4:4" ht="13">
      <c r="D546" s="161"/>
    </row>
    <row r="547" spans="4:4" ht="13">
      <c r="D547" s="161"/>
    </row>
    <row r="548" spans="4:4" ht="13">
      <c r="D548" s="161"/>
    </row>
    <row r="549" spans="4:4" ht="13">
      <c r="D549" s="161"/>
    </row>
    <row r="550" spans="4:4" ht="13">
      <c r="D550" s="161"/>
    </row>
    <row r="551" spans="4:4" ht="13">
      <c r="D551" s="161"/>
    </row>
    <row r="552" spans="4:4" ht="13">
      <c r="D552" s="161"/>
    </row>
    <row r="553" spans="4:4" ht="13">
      <c r="D553" s="161"/>
    </row>
    <row r="554" spans="4:4" ht="13">
      <c r="D554" s="161"/>
    </row>
    <row r="555" spans="4:4" ht="13">
      <c r="D555" s="161"/>
    </row>
    <row r="556" spans="4:4" ht="13">
      <c r="D556" s="161"/>
    </row>
    <row r="557" spans="4:4" ht="13">
      <c r="D557" s="161"/>
    </row>
    <row r="558" spans="4:4" ht="13">
      <c r="D558" s="161"/>
    </row>
    <row r="559" spans="4:4" ht="13">
      <c r="D559" s="161"/>
    </row>
    <row r="560" spans="4:4" ht="13">
      <c r="D560" s="161"/>
    </row>
    <row r="561" spans="4:4" ht="13">
      <c r="D561" s="161"/>
    </row>
    <row r="562" spans="4:4" ht="13">
      <c r="D562" s="161"/>
    </row>
    <row r="563" spans="4:4" ht="13">
      <c r="D563" s="161"/>
    </row>
    <row r="564" spans="4:4" ht="13">
      <c r="D564" s="161"/>
    </row>
    <row r="565" spans="4:4" ht="13">
      <c r="D565" s="161"/>
    </row>
    <row r="566" spans="4:4" ht="13">
      <c r="D566" s="161"/>
    </row>
    <row r="567" spans="4:4" ht="13">
      <c r="D567" s="161"/>
    </row>
    <row r="568" spans="4:4" ht="13">
      <c r="D568" s="161"/>
    </row>
    <row r="569" spans="4:4" ht="13">
      <c r="D569" s="161"/>
    </row>
    <row r="570" spans="4:4" ht="13">
      <c r="D570" s="161"/>
    </row>
    <row r="571" spans="4:4" ht="13">
      <c r="D571" s="161"/>
    </row>
    <row r="572" spans="4:4" ht="13">
      <c r="D572" s="161"/>
    </row>
    <row r="573" spans="4:4" ht="13">
      <c r="D573" s="161"/>
    </row>
    <row r="574" spans="4:4" ht="13">
      <c r="D574" s="161"/>
    </row>
    <row r="575" spans="4:4" ht="13">
      <c r="D575" s="161"/>
    </row>
    <row r="576" spans="4:4" ht="13">
      <c r="D576" s="161"/>
    </row>
    <row r="577" spans="4:4" ht="13">
      <c r="D577" s="161"/>
    </row>
    <row r="578" spans="4:4" ht="13">
      <c r="D578" s="161"/>
    </row>
    <row r="579" spans="4:4" ht="13">
      <c r="D579" s="161"/>
    </row>
    <row r="580" spans="4:4" ht="13">
      <c r="D580" s="161"/>
    </row>
    <row r="581" spans="4:4" ht="13">
      <c r="D581" s="161"/>
    </row>
    <row r="582" spans="4:4" ht="13">
      <c r="D582" s="161"/>
    </row>
    <row r="583" spans="4:4" ht="13">
      <c r="D583" s="161"/>
    </row>
    <row r="584" spans="4:4" ht="13">
      <c r="D584" s="161"/>
    </row>
    <row r="585" spans="4:4" ht="13">
      <c r="D585" s="161"/>
    </row>
    <row r="586" spans="4:4" ht="13">
      <c r="D586" s="161"/>
    </row>
    <row r="587" spans="4:4" ht="13">
      <c r="D587" s="161"/>
    </row>
    <row r="588" spans="4:4" ht="13">
      <c r="D588" s="161"/>
    </row>
    <row r="589" spans="4:4" ht="13">
      <c r="D589" s="161"/>
    </row>
    <row r="590" spans="4:4" ht="13">
      <c r="D590" s="161"/>
    </row>
    <row r="591" spans="4:4" ht="13">
      <c r="D591" s="161"/>
    </row>
    <row r="592" spans="4:4" ht="13">
      <c r="D592" s="161"/>
    </row>
    <row r="593" spans="4:4" ht="13">
      <c r="D593" s="161"/>
    </row>
    <row r="594" spans="4:4" ht="13">
      <c r="D594" s="161"/>
    </row>
    <row r="595" spans="4:4" ht="13">
      <c r="D595" s="161"/>
    </row>
    <row r="596" spans="4:4" ht="13">
      <c r="D596" s="161"/>
    </row>
    <row r="597" spans="4:4" ht="13">
      <c r="D597" s="161"/>
    </row>
    <row r="598" spans="4:4" ht="13">
      <c r="D598" s="161"/>
    </row>
    <row r="599" spans="4:4" ht="13">
      <c r="D599" s="161"/>
    </row>
    <row r="600" spans="4:4" ht="13">
      <c r="D600" s="161"/>
    </row>
    <row r="601" spans="4:4" ht="13">
      <c r="D601" s="161"/>
    </row>
    <row r="602" spans="4:4" ht="13">
      <c r="D602" s="161"/>
    </row>
    <row r="603" spans="4:4" ht="13">
      <c r="D603" s="161"/>
    </row>
    <row r="604" spans="4:4" ht="13">
      <c r="D604" s="161"/>
    </row>
    <row r="605" spans="4:4" ht="13">
      <c r="D605" s="161"/>
    </row>
    <row r="606" spans="4:4" ht="13">
      <c r="D606" s="161"/>
    </row>
    <row r="607" spans="4:4" ht="13">
      <c r="D607" s="161"/>
    </row>
    <row r="608" spans="4:4" ht="13">
      <c r="D608" s="161"/>
    </row>
    <row r="609" spans="4:4" ht="13">
      <c r="D609" s="161"/>
    </row>
    <row r="610" spans="4:4" ht="13">
      <c r="D610" s="161"/>
    </row>
    <row r="611" spans="4:4" ht="13">
      <c r="D611" s="161"/>
    </row>
    <row r="612" spans="4:4" ht="13">
      <c r="D612" s="161"/>
    </row>
    <row r="613" spans="4:4" ht="13">
      <c r="D613" s="161"/>
    </row>
    <row r="614" spans="4:4" ht="13">
      <c r="D614" s="161"/>
    </row>
    <row r="615" spans="4:4" ht="13">
      <c r="D615" s="161"/>
    </row>
    <row r="616" spans="4:4" ht="13">
      <c r="D616" s="161"/>
    </row>
    <row r="617" spans="4:4" ht="13">
      <c r="D617" s="161"/>
    </row>
    <row r="618" spans="4:4" ht="13">
      <c r="D618" s="161"/>
    </row>
    <row r="619" spans="4:4" ht="13">
      <c r="D619" s="161"/>
    </row>
    <row r="620" spans="4:4" ht="13">
      <c r="D620" s="161"/>
    </row>
    <row r="621" spans="4:4" ht="13">
      <c r="D621" s="161"/>
    </row>
    <row r="622" spans="4:4" ht="13">
      <c r="D622" s="161"/>
    </row>
    <row r="623" spans="4:4" ht="13">
      <c r="D623" s="161"/>
    </row>
    <row r="624" spans="4:4" ht="13">
      <c r="D624" s="161"/>
    </row>
    <row r="625" spans="4:4" ht="13">
      <c r="D625" s="161"/>
    </row>
    <row r="626" spans="4:4" ht="13">
      <c r="D626" s="161"/>
    </row>
    <row r="627" spans="4:4" ht="13">
      <c r="D627" s="161"/>
    </row>
    <row r="628" spans="4:4" ht="13">
      <c r="D628" s="161"/>
    </row>
    <row r="629" spans="4:4" ht="13">
      <c r="D629" s="161"/>
    </row>
    <row r="630" spans="4:4" ht="13">
      <c r="D630" s="161"/>
    </row>
    <row r="631" spans="4:4" ht="13">
      <c r="D631" s="161"/>
    </row>
    <row r="632" spans="4:4" ht="13">
      <c r="D632" s="161"/>
    </row>
    <row r="633" spans="4:4" ht="13">
      <c r="D633" s="161"/>
    </row>
    <row r="634" spans="4:4" ht="13">
      <c r="D634" s="161"/>
    </row>
    <row r="635" spans="4:4" ht="13">
      <c r="D635" s="161"/>
    </row>
    <row r="636" spans="4:4" ht="13">
      <c r="D636" s="161"/>
    </row>
    <row r="637" spans="4:4" ht="13">
      <c r="D637" s="161"/>
    </row>
    <row r="638" spans="4:4" ht="13">
      <c r="D638" s="161"/>
    </row>
    <row r="639" spans="4:4" ht="13">
      <c r="D639" s="161"/>
    </row>
    <row r="640" spans="4:4" ht="13">
      <c r="D640" s="161"/>
    </row>
    <row r="641" spans="4:4" ht="13">
      <c r="D641" s="161"/>
    </row>
    <row r="642" spans="4:4" ht="13">
      <c r="D642" s="161"/>
    </row>
    <row r="643" spans="4:4" ht="13">
      <c r="D643" s="161"/>
    </row>
    <row r="644" spans="4:4" ht="13">
      <c r="D644" s="161"/>
    </row>
    <row r="645" spans="4:4" ht="13">
      <c r="D645" s="161"/>
    </row>
    <row r="646" spans="4:4" ht="13">
      <c r="D646" s="161"/>
    </row>
    <row r="647" spans="4:4" ht="13">
      <c r="D647" s="161"/>
    </row>
    <row r="648" spans="4:4" ht="13">
      <c r="D648" s="161"/>
    </row>
    <row r="649" spans="4:4" ht="13">
      <c r="D649" s="161"/>
    </row>
    <row r="650" spans="4:4" ht="13">
      <c r="D650" s="161"/>
    </row>
    <row r="651" spans="4:4" ht="13">
      <c r="D651" s="161"/>
    </row>
    <row r="652" spans="4:4" ht="13">
      <c r="D652" s="161"/>
    </row>
    <row r="653" spans="4:4" ht="13">
      <c r="D653" s="161"/>
    </row>
    <row r="654" spans="4:4" ht="13">
      <c r="D654" s="161"/>
    </row>
    <row r="655" spans="4:4" ht="13">
      <c r="D655" s="161"/>
    </row>
    <row r="656" spans="4:4" ht="13">
      <c r="D656" s="161"/>
    </row>
    <row r="657" spans="4:4" ht="13">
      <c r="D657" s="161"/>
    </row>
    <row r="658" spans="4:4" ht="13">
      <c r="D658" s="161"/>
    </row>
    <row r="659" spans="4:4" ht="13">
      <c r="D659" s="161"/>
    </row>
    <row r="660" spans="4:4" ht="13">
      <c r="D660" s="161"/>
    </row>
    <row r="661" spans="4:4" ht="13">
      <c r="D661" s="161"/>
    </row>
    <row r="662" spans="4:4" ht="13">
      <c r="D662" s="161"/>
    </row>
    <row r="663" spans="4:4" ht="13">
      <c r="D663" s="161"/>
    </row>
    <row r="664" spans="4:4" ht="13">
      <c r="D664" s="161"/>
    </row>
    <row r="665" spans="4:4" ht="13">
      <c r="D665" s="161"/>
    </row>
    <row r="666" spans="4:4" ht="13">
      <c r="D666" s="161"/>
    </row>
    <row r="667" spans="4:4" ht="13">
      <c r="D667" s="161"/>
    </row>
    <row r="668" spans="4:4" ht="13">
      <c r="D668" s="161"/>
    </row>
    <row r="669" spans="4:4" ht="13">
      <c r="D669" s="161"/>
    </row>
    <row r="670" spans="4:4" ht="13">
      <c r="D670" s="161"/>
    </row>
    <row r="671" spans="4:4" ht="13">
      <c r="D671" s="161"/>
    </row>
    <row r="672" spans="4:4" ht="13">
      <c r="D672" s="161"/>
    </row>
    <row r="673" spans="4:4" ht="13">
      <c r="D673" s="161"/>
    </row>
    <row r="674" spans="4:4" ht="13">
      <c r="D674" s="161"/>
    </row>
    <row r="675" spans="4:4" ht="13">
      <c r="D675" s="161"/>
    </row>
    <row r="676" spans="4:4" ht="13">
      <c r="D676" s="161"/>
    </row>
    <row r="677" spans="4:4" ht="13">
      <c r="D677" s="161"/>
    </row>
    <row r="678" spans="4:4" ht="13">
      <c r="D678" s="161"/>
    </row>
    <row r="679" spans="4:4" ht="13">
      <c r="D679" s="161"/>
    </row>
    <row r="680" spans="4:4" ht="13">
      <c r="D680" s="161"/>
    </row>
    <row r="681" spans="4:4" ht="13">
      <c r="D681" s="161"/>
    </row>
    <row r="682" spans="4:4" ht="13">
      <c r="D682" s="161"/>
    </row>
    <row r="683" spans="4:4" ht="13">
      <c r="D683" s="161"/>
    </row>
    <row r="684" spans="4:4" ht="13">
      <c r="D684" s="161"/>
    </row>
    <row r="685" spans="4:4" ht="13">
      <c r="D685" s="161"/>
    </row>
    <row r="686" spans="4:4" ht="13">
      <c r="D686" s="161"/>
    </row>
    <row r="687" spans="4:4" ht="13">
      <c r="D687" s="161"/>
    </row>
    <row r="688" spans="4:4" ht="13">
      <c r="D688" s="161"/>
    </row>
    <row r="689" spans="4:4" ht="13">
      <c r="D689" s="161"/>
    </row>
    <row r="690" spans="4:4" ht="13">
      <c r="D690" s="161"/>
    </row>
    <row r="691" spans="4:4" ht="13">
      <c r="D691" s="161"/>
    </row>
    <row r="692" spans="4:4" ht="13">
      <c r="D692" s="161"/>
    </row>
    <row r="693" spans="4:4" ht="13">
      <c r="D693" s="161"/>
    </row>
    <row r="694" spans="4:4" ht="13">
      <c r="D694" s="161"/>
    </row>
    <row r="695" spans="4:4" ht="13">
      <c r="D695" s="161"/>
    </row>
    <row r="696" spans="4:4" ht="13">
      <c r="D696" s="161"/>
    </row>
    <row r="697" spans="4:4" ht="13">
      <c r="D697" s="161"/>
    </row>
    <row r="698" spans="4:4" ht="13">
      <c r="D698" s="161"/>
    </row>
    <row r="699" spans="4:4" ht="13">
      <c r="D699" s="161"/>
    </row>
    <row r="700" spans="4:4" ht="13">
      <c r="D700" s="161"/>
    </row>
    <row r="701" spans="4:4" ht="13">
      <c r="D701" s="161"/>
    </row>
    <row r="702" spans="4:4" ht="13">
      <c r="D702" s="161"/>
    </row>
    <row r="703" spans="4:4" ht="13">
      <c r="D703" s="161"/>
    </row>
    <row r="704" spans="4:4" ht="13">
      <c r="D704" s="161"/>
    </row>
    <row r="705" spans="4:4" ht="13">
      <c r="D705" s="161"/>
    </row>
    <row r="706" spans="4:4" ht="13">
      <c r="D706" s="161"/>
    </row>
    <row r="707" spans="4:4" ht="13">
      <c r="D707" s="161"/>
    </row>
    <row r="708" spans="4:4" ht="13">
      <c r="D708" s="161"/>
    </row>
    <row r="709" spans="4:4" ht="13">
      <c r="D709" s="161"/>
    </row>
    <row r="710" spans="4:4" ht="13">
      <c r="D710" s="161"/>
    </row>
    <row r="711" spans="4:4" ht="13">
      <c r="D711" s="161"/>
    </row>
    <row r="712" spans="4:4" ht="13">
      <c r="D712" s="161"/>
    </row>
    <row r="713" spans="4:4" ht="13">
      <c r="D713" s="161"/>
    </row>
    <row r="714" spans="4:4" ht="13">
      <c r="D714" s="161"/>
    </row>
    <row r="715" spans="4:4" ht="13">
      <c r="D715" s="161"/>
    </row>
    <row r="716" spans="4:4" ht="13">
      <c r="D716" s="161"/>
    </row>
    <row r="717" spans="4:4" ht="13">
      <c r="D717" s="161"/>
    </row>
    <row r="718" spans="4:4" ht="13">
      <c r="D718" s="161"/>
    </row>
    <row r="719" spans="4:4" ht="13">
      <c r="D719" s="161"/>
    </row>
    <row r="720" spans="4:4" ht="13">
      <c r="D720" s="161"/>
    </row>
    <row r="721" spans="4:4" ht="13">
      <c r="D721" s="161"/>
    </row>
    <row r="722" spans="4:4" ht="13">
      <c r="D722" s="161"/>
    </row>
    <row r="723" spans="4:4" ht="13">
      <c r="D723" s="161"/>
    </row>
    <row r="724" spans="4:4" ht="13">
      <c r="D724" s="161"/>
    </row>
    <row r="725" spans="4:4" ht="13">
      <c r="D725" s="161"/>
    </row>
    <row r="726" spans="4:4" ht="13">
      <c r="D726" s="161"/>
    </row>
    <row r="727" spans="4:4" ht="13">
      <c r="D727" s="161"/>
    </row>
    <row r="728" spans="4:4" ht="13">
      <c r="D728" s="161"/>
    </row>
    <row r="729" spans="4:4" ht="13">
      <c r="D729" s="161"/>
    </row>
    <row r="730" spans="4:4" ht="13">
      <c r="D730" s="161"/>
    </row>
    <row r="731" spans="4:4" ht="13">
      <c r="D731" s="161"/>
    </row>
    <row r="732" spans="4:4" ht="13">
      <c r="D732" s="161"/>
    </row>
    <row r="733" spans="4:4" ht="13">
      <c r="D733" s="161"/>
    </row>
    <row r="734" spans="4:4" ht="13">
      <c r="D734" s="161"/>
    </row>
    <row r="735" spans="4:4" ht="13">
      <c r="D735" s="161"/>
    </row>
    <row r="736" spans="4:4" ht="13">
      <c r="D736" s="161"/>
    </row>
    <row r="737" spans="4:4" ht="13">
      <c r="D737" s="161"/>
    </row>
    <row r="738" spans="4:4" ht="13">
      <c r="D738" s="161"/>
    </row>
    <row r="739" spans="4:4" ht="13">
      <c r="D739" s="161"/>
    </row>
    <row r="740" spans="4:4" ht="13">
      <c r="D740" s="161"/>
    </row>
    <row r="741" spans="4:4" ht="13">
      <c r="D741" s="161"/>
    </row>
    <row r="742" spans="4:4" ht="13">
      <c r="D742" s="161"/>
    </row>
    <row r="743" spans="4:4" ht="13">
      <c r="D743" s="161"/>
    </row>
    <row r="744" spans="4:4" ht="13">
      <c r="D744" s="161"/>
    </row>
    <row r="745" spans="4:4" ht="13">
      <c r="D745" s="161"/>
    </row>
    <row r="746" spans="4:4" ht="13">
      <c r="D746" s="161"/>
    </row>
    <row r="747" spans="4:4" ht="13">
      <c r="D747" s="161"/>
    </row>
    <row r="748" spans="4:4" ht="13">
      <c r="D748" s="161"/>
    </row>
    <row r="749" spans="4:4" ht="13">
      <c r="D749" s="161"/>
    </row>
    <row r="750" spans="4:4" ht="13">
      <c r="D750" s="161"/>
    </row>
    <row r="751" spans="4:4" ht="13">
      <c r="D751" s="161"/>
    </row>
    <row r="752" spans="4:4" ht="13">
      <c r="D752" s="161"/>
    </row>
    <row r="753" spans="4:4" ht="13">
      <c r="D753" s="161"/>
    </row>
    <row r="754" spans="4:4" ht="13">
      <c r="D754" s="161"/>
    </row>
    <row r="755" spans="4:4" ht="13">
      <c r="D755" s="161"/>
    </row>
    <row r="756" spans="4:4" ht="13">
      <c r="D756" s="161"/>
    </row>
    <row r="757" spans="4:4" ht="13">
      <c r="D757" s="161"/>
    </row>
    <row r="758" spans="4:4" ht="13">
      <c r="D758" s="161"/>
    </row>
    <row r="759" spans="4:4" ht="13">
      <c r="D759" s="161"/>
    </row>
    <row r="760" spans="4:4" ht="13">
      <c r="D760" s="161"/>
    </row>
    <row r="761" spans="4:4" ht="13">
      <c r="D761" s="161"/>
    </row>
    <row r="762" spans="4:4" ht="13">
      <c r="D762" s="161"/>
    </row>
    <row r="763" spans="4:4" ht="13">
      <c r="D763" s="161"/>
    </row>
    <row r="764" spans="4:4" ht="13">
      <c r="D764" s="161"/>
    </row>
    <row r="765" spans="4:4" ht="13">
      <c r="D765" s="161"/>
    </row>
    <row r="766" spans="4:4" ht="13">
      <c r="D766" s="161"/>
    </row>
    <row r="767" spans="4:4" ht="13">
      <c r="D767" s="161"/>
    </row>
    <row r="768" spans="4:4" ht="13">
      <c r="D768" s="161"/>
    </row>
    <row r="769" spans="4:4" ht="13">
      <c r="D769" s="161"/>
    </row>
    <row r="770" spans="4:4" ht="13">
      <c r="D770" s="161"/>
    </row>
    <row r="771" spans="4:4" ht="13">
      <c r="D771" s="161"/>
    </row>
    <row r="772" spans="4:4" ht="13">
      <c r="D772" s="161"/>
    </row>
    <row r="773" spans="4:4" ht="13">
      <c r="D773" s="161"/>
    </row>
    <row r="774" spans="4:4" ht="13">
      <c r="D774" s="161"/>
    </row>
    <row r="775" spans="4:4" ht="13">
      <c r="D775" s="161"/>
    </row>
    <row r="776" spans="4:4" ht="13">
      <c r="D776" s="161"/>
    </row>
    <row r="777" spans="4:4" ht="13">
      <c r="D777" s="161"/>
    </row>
    <row r="778" spans="4:4" ht="13">
      <c r="D778" s="161"/>
    </row>
    <row r="779" spans="4:4" ht="13">
      <c r="D779" s="161"/>
    </row>
    <row r="780" spans="4:4" ht="13">
      <c r="D780" s="161"/>
    </row>
    <row r="781" spans="4:4" ht="13">
      <c r="D781" s="161"/>
    </row>
    <row r="782" spans="4:4" ht="13">
      <c r="D782" s="161"/>
    </row>
    <row r="783" spans="4:4" ht="13">
      <c r="D783" s="161"/>
    </row>
    <row r="784" spans="4:4" ht="13">
      <c r="D784" s="161"/>
    </row>
    <row r="785" spans="4:4" ht="13">
      <c r="D785" s="161"/>
    </row>
    <row r="786" spans="4:4" ht="13">
      <c r="D786" s="161"/>
    </row>
    <row r="787" spans="4:4" ht="13">
      <c r="D787" s="161"/>
    </row>
    <row r="788" spans="4:4" ht="13">
      <c r="D788" s="161"/>
    </row>
    <row r="789" spans="4:4" ht="13">
      <c r="D789" s="161"/>
    </row>
    <row r="790" spans="4:4" ht="13">
      <c r="D790" s="161"/>
    </row>
    <row r="791" spans="4:4" ht="13">
      <c r="D791" s="161"/>
    </row>
    <row r="792" spans="4:4" ht="13">
      <c r="D792" s="161"/>
    </row>
    <row r="793" spans="4:4" ht="13">
      <c r="D793" s="161"/>
    </row>
    <row r="794" spans="4:4" ht="13">
      <c r="D794" s="161"/>
    </row>
    <row r="795" spans="4:4" ht="13">
      <c r="D795" s="161"/>
    </row>
    <row r="796" spans="4:4" ht="13">
      <c r="D796" s="161"/>
    </row>
    <row r="797" spans="4:4" ht="13">
      <c r="D797" s="161"/>
    </row>
    <row r="798" spans="4:4" ht="13">
      <c r="D798" s="161"/>
    </row>
    <row r="799" spans="4:4" ht="13">
      <c r="D799" s="161"/>
    </row>
    <row r="800" spans="4:4" ht="13">
      <c r="D800" s="161"/>
    </row>
    <row r="801" spans="4:4" ht="13">
      <c r="D801" s="161"/>
    </row>
    <row r="802" spans="4:4" ht="13">
      <c r="D802" s="161"/>
    </row>
    <row r="803" spans="4:4" ht="13">
      <c r="D803" s="161"/>
    </row>
    <row r="804" spans="4:4" ht="13">
      <c r="D804" s="161"/>
    </row>
    <row r="805" spans="4:4" ht="13">
      <c r="D805" s="161"/>
    </row>
    <row r="806" spans="4:4" ht="13">
      <c r="D806" s="161"/>
    </row>
    <row r="807" spans="4:4" ht="13">
      <c r="D807" s="161"/>
    </row>
    <row r="808" spans="4:4" ht="13">
      <c r="D808" s="161"/>
    </row>
    <row r="809" spans="4:4" ht="13">
      <c r="D809" s="161"/>
    </row>
    <row r="810" spans="4:4" ht="13">
      <c r="D810" s="161"/>
    </row>
    <row r="811" spans="4:4" ht="13">
      <c r="D811" s="161"/>
    </row>
    <row r="812" spans="4:4" ht="13">
      <c r="D812" s="161"/>
    </row>
    <row r="813" spans="4:4" ht="13">
      <c r="D813" s="161"/>
    </row>
    <row r="814" spans="4:4" ht="13">
      <c r="D814" s="161"/>
    </row>
    <row r="815" spans="4:4" ht="13">
      <c r="D815" s="161"/>
    </row>
    <row r="816" spans="4:4" ht="13">
      <c r="D816" s="161"/>
    </row>
    <row r="817" spans="4:4" ht="13">
      <c r="D817" s="161"/>
    </row>
    <row r="818" spans="4:4" ht="13">
      <c r="D818" s="161"/>
    </row>
    <row r="819" spans="4:4" ht="13">
      <c r="D819" s="161"/>
    </row>
    <row r="820" spans="4:4" ht="13">
      <c r="D820" s="161"/>
    </row>
    <row r="821" spans="4:4" ht="13">
      <c r="D821" s="161"/>
    </row>
    <row r="822" spans="4:4" ht="13">
      <c r="D822" s="161"/>
    </row>
    <row r="823" spans="4:4" ht="13">
      <c r="D823" s="161"/>
    </row>
    <row r="824" spans="4:4" ht="13">
      <c r="D824" s="161"/>
    </row>
    <row r="825" spans="4:4" ht="13">
      <c r="D825" s="161"/>
    </row>
    <row r="826" spans="4:4" ht="13">
      <c r="D826" s="161"/>
    </row>
    <row r="827" spans="4:4" ht="13">
      <c r="D827" s="161"/>
    </row>
    <row r="828" spans="4:4" ht="13">
      <c r="D828" s="161"/>
    </row>
    <row r="829" spans="4:4" ht="13">
      <c r="D829" s="161"/>
    </row>
    <row r="830" spans="4:4" ht="13">
      <c r="D830" s="161"/>
    </row>
    <row r="831" spans="4:4" ht="13">
      <c r="D831" s="161"/>
    </row>
    <row r="832" spans="4:4" ht="13">
      <c r="D832" s="161"/>
    </row>
    <row r="833" spans="4:4" ht="13">
      <c r="D833" s="161"/>
    </row>
    <row r="834" spans="4:4" ht="13">
      <c r="D834" s="161"/>
    </row>
    <row r="835" spans="4:4" ht="13">
      <c r="D835" s="161"/>
    </row>
    <row r="836" spans="4:4" ht="13">
      <c r="D836" s="161"/>
    </row>
    <row r="837" spans="4:4" ht="13">
      <c r="D837" s="161"/>
    </row>
    <row r="838" spans="4:4" ht="13">
      <c r="D838" s="161"/>
    </row>
    <row r="839" spans="4:4" ht="13">
      <c r="D839" s="161"/>
    </row>
    <row r="840" spans="4:4" ht="13">
      <c r="D840" s="161"/>
    </row>
    <row r="841" spans="4:4" ht="13">
      <c r="D841" s="161"/>
    </row>
    <row r="842" spans="4:4" ht="13">
      <c r="D842" s="161"/>
    </row>
    <row r="843" spans="4:4" ht="13">
      <c r="D843" s="161"/>
    </row>
    <row r="844" spans="4:4" ht="13">
      <c r="D844" s="161"/>
    </row>
    <row r="845" spans="4:4" ht="13">
      <c r="D845" s="161"/>
    </row>
    <row r="846" spans="4:4" ht="13">
      <c r="D846" s="161"/>
    </row>
    <row r="847" spans="4:4" ht="13">
      <c r="D847" s="161"/>
    </row>
    <row r="848" spans="4:4" ht="13">
      <c r="D848" s="161"/>
    </row>
    <row r="849" spans="4:4" ht="13">
      <c r="D849" s="161"/>
    </row>
    <row r="850" spans="4:4" ht="13">
      <c r="D850" s="161"/>
    </row>
    <row r="851" spans="4:4" ht="13">
      <c r="D851" s="161"/>
    </row>
    <row r="852" spans="4:4" ht="13">
      <c r="D852" s="161"/>
    </row>
    <row r="853" spans="4:4" ht="13">
      <c r="D853" s="161"/>
    </row>
    <row r="854" spans="4:4" ht="13">
      <c r="D854" s="161"/>
    </row>
    <row r="855" spans="4:4" ht="13">
      <c r="D855" s="161"/>
    </row>
    <row r="856" spans="4:4" ht="13">
      <c r="D856" s="161"/>
    </row>
    <row r="857" spans="4:4" ht="13">
      <c r="D857" s="161"/>
    </row>
    <row r="858" spans="4:4" ht="13">
      <c r="D858" s="161"/>
    </row>
    <row r="859" spans="4:4" ht="13">
      <c r="D859" s="161"/>
    </row>
    <row r="860" spans="4:4" ht="13">
      <c r="D860" s="161"/>
    </row>
    <row r="861" spans="4:4" ht="13">
      <c r="D861" s="161"/>
    </row>
    <row r="862" spans="4:4" ht="13">
      <c r="D862" s="161"/>
    </row>
    <row r="863" spans="4:4" ht="13">
      <c r="D863" s="161"/>
    </row>
    <row r="864" spans="4:4" ht="13">
      <c r="D864" s="161"/>
    </row>
    <row r="865" spans="4:4" ht="13">
      <c r="D865" s="161"/>
    </row>
    <row r="866" spans="4:4" ht="13">
      <c r="D866" s="161"/>
    </row>
    <row r="867" spans="4:4" ht="13">
      <c r="D867" s="161"/>
    </row>
    <row r="868" spans="4:4" ht="13">
      <c r="D868" s="161"/>
    </row>
    <row r="869" spans="4:4" ht="13">
      <c r="D869" s="161"/>
    </row>
    <row r="870" spans="4:4" ht="13">
      <c r="D870" s="161"/>
    </row>
    <row r="871" spans="4:4" ht="13">
      <c r="D871" s="161"/>
    </row>
    <row r="872" spans="4:4" ht="13">
      <c r="D872" s="161"/>
    </row>
    <row r="873" spans="4:4" ht="13">
      <c r="D873" s="161"/>
    </row>
    <row r="874" spans="4:4" ht="13">
      <c r="D874" s="161"/>
    </row>
    <row r="875" spans="4:4" ht="13">
      <c r="D875" s="161"/>
    </row>
    <row r="876" spans="4:4" ht="13">
      <c r="D876" s="161"/>
    </row>
    <row r="877" spans="4:4" ht="13">
      <c r="D877" s="161"/>
    </row>
    <row r="878" spans="4:4" ht="13">
      <c r="D878" s="161"/>
    </row>
    <row r="879" spans="4:4" ht="13">
      <c r="D879" s="161"/>
    </row>
    <row r="880" spans="4:4" ht="13">
      <c r="D880" s="161"/>
    </row>
    <row r="881" spans="4:4" ht="13">
      <c r="D881" s="161"/>
    </row>
    <row r="882" spans="4:4" ht="13">
      <c r="D882" s="161"/>
    </row>
    <row r="883" spans="4:4" ht="13">
      <c r="D883" s="161"/>
    </row>
    <row r="884" spans="4:4" ht="13">
      <c r="D884" s="161"/>
    </row>
    <row r="885" spans="4:4" ht="13">
      <c r="D885" s="161"/>
    </row>
    <row r="886" spans="4:4" ht="13">
      <c r="D886" s="161"/>
    </row>
    <row r="887" spans="4:4" ht="13">
      <c r="D887" s="161"/>
    </row>
    <row r="888" spans="4:4" ht="13">
      <c r="D888" s="161"/>
    </row>
    <row r="889" spans="4:4" ht="13">
      <c r="D889" s="161"/>
    </row>
    <row r="890" spans="4:4" ht="13">
      <c r="D890" s="161"/>
    </row>
    <row r="891" spans="4:4" ht="13">
      <c r="D891" s="161"/>
    </row>
    <row r="892" spans="4:4" ht="13">
      <c r="D892" s="161"/>
    </row>
    <row r="893" spans="4:4" ht="13">
      <c r="D893" s="161"/>
    </row>
    <row r="894" spans="4:4" ht="13">
      <c r="D894" s="161"/>
    </row>
    <row r="895" spans="4:4" ht="13">
      <c r="D895" s="161"/>
    </row>
    <row r="896" spans="4:4" ht="13">
      <c r="D896" s="161"/>
    </row>
    <row r="897" spans="4:4" ht="13">
      <c r="D897" s="161"/>
    </row>
    <row r="898" spans="4:4" ht="13">
      <c r="D898" s="161"/>
    </row>
    <row r="899" spans="4:4" ht="13">
      <c r="D899" s="161"/>
    </row>
    <row r="900" spans="4:4" ht="13">
      <c r="D900" s="161"/>
    </row>
    <row r="901" spans="4:4" ht="13">
      <c r="D901" s="161"/>
    </row>
    <row r="902" spans="4:4" ht="13">
      <c r="D902" s="161"/>
    </row>
    <row r="903" spans="4:4" ht="13">
      <c r="D903" s="161"/>
    </row>
    <row r="904" spans="4:4" ht="13">
      <c r="D904" s="161"/>
    </row>
    <row r="905" spans="4:4" ht="13">
      <c r="D905" s="161"/>
    </row>
    <row r="906" spans="4:4" ht="13">
      <c r="D906" s="161"/>
    </row>
    <row r="907" spans="4:4" ht="13">
      <c r="D907" s="161"/>
    </row>
    <row r="908" spans="4:4" ht="13">
      <c r="D908" s="161"/>
    </row>
    <row r="909" spans="4:4" ht="13">
      <c r="D909" s="161"/>
    </row>
    <row r="910" spans="4:4" ht="13">
      <c r="D910" s="161"/>
    </row>
    <row r="911" spans="4:4" ht="13">
      <c r="D911" s="161"/>
    </row>
    <row r="912" spans="4:4" ht="13">
      <c r="D912" s="161"/>
    </row>
    <row r="913" spans="4:4" ht="13">
      <c r="D913" s="161"/>
    </row>
    <row r="914" spans="4:4" ht="13">
      <c r="D914" s="161"/>
    </row>
    <row r="915" spans="4:4" ht="13">
      <c r="D915" s="161"/>
    </row>
    <row r="916" spans="4:4" ht="13">
      <c r="D916" s="161"/>
    </row>
    <row r="917" spans="4:4" ht="13">
      <c r="D917" s="161"/>
    </row>
    <row r="918" spans="4:4" ht="13">
      <c r="D918" s="161"/>
    </row>
    <row r="919" spans="4:4" ht="13">
      <c r="D919" s="161"/>
    </row>
    <row r="920" spans="4:4" ht="13">
      <c r="D920" s="161"/>
    </row>
    <row r="921" spans="4:4" ht="13">
      <c r="D921" s="161"/>
    </row>
    <row r="922" spans="4:4" ht="13">
      <c r="D922" s="161"/>
    </row>
    <row r="923" spans="4:4" ht="13">
      <c r="D923" s="161"/>
    </row>
    <row r="924" spans="4:4" ht="13">
      <c r="D924" s="161"/>
    </row>
    <row r="925" spans="4:4" ht="13">
      <c r="D925" s="161"/>
    </row>
    <row r="926" spans="4:4" ht="13">
      <c r="D926" s="161"/>
    </row>
    <row r="927" spans="4:4" ht="13">
      <c r="D927" s="161"/>
    </row>
    <row r="928" spans="4:4" ht="13">
      <c r="D928" s="161"/>
    </row>
    <row r="929" spans="4:4" ht="13">
      <c r="D929" s="161"/>
    </row>
    <row r="930" spans="4:4" ht="13">
      <c r="D930" s="161"/>
    </row>
    <row r="931" spans="4:4" ht="13">
      <c r="D931" s="161"/>
    </row>
    <row r="932" spans="4:4" ht="13">
      <c r="D932" s="161"/>
    </row>
    <row r="933" spans="4:4" ht="13">
      <c r="D933" s="161"/>
    </row>
    <row r="934" spans="4:4" ht="13">
      <c r="D934" s="161"/>
    </row>
    <row r="935" spans="4:4" ht="13">
      <c r="D935" s="161"/>
    </row>
    <row r="936" spans="4:4" ht="13">
      <c r="D936" s="161"/>
    </row>
    <row r="937" spans="4:4" ht="13">
      <c r="D937" s="161"/>
    </row>
    <row r="938" spans="4:4" ht="13">
      <c r="D938" s="161"/>
    </row>
    <row r="939" spans="4:4" ht="13">
      <c r="D939" s="161"/>
    </row>
    <row r="940" spans="4:4" ht="13">
      <c r="D940" s="161"/>
    </row>
    <row r="941" spans="4:4" ht="13">
      <c r="D941" s="161"/>
    </row>
    <row r="942" spans="4:4" ht="13">
      <c r="D942" s="161"/>
    </row>
    <row r="943" spans="4:4" ht="13">
      <c r="D943" s="161"/>
    </row>
    <row r="944" spans="4:4" ht="13">
      <c r="D944" s="161"/>
    </row>
    <row r="945" spans="4:4" ht="13">
      <c r="D945" s="161"/>
    </row>
    <row r="946" spans="4:4" ht="13">
      <c r="D946" s="161"/>
    </row>
    <row r="947" spans="4:4" ht="13">
      <c r="D947" s="161"/>
    </row>
    <row r="948" spans="4:4" ht="13">
      <c r="D948" s="161"/>
    </row>
    <row r="949" spans="4:4" ht="13">
      <c r="D949" s="161"/>
    </row>
    <row r="950" spans="4:4" ht="13">
      <c r="D950" s="161"/>
    </row>
    <row r="951" spans="4:4" ht="13">
      <c r="D951" s="161"/>
    </row>
    <row r="952" spans="4:4" ht="13">
      <c r="D952" s="161"/>
    </row>
    <row r="953" spans="4:4" ht="13">
      <c r="D953" s="161"/>
    </row>
    <row r="954" spans="4:4" ht="13">
      <c r="D954" s="161"/>
    </row>
    <row r="955" spans="4:4" ht="13">
      <c r="D955" s="161"/>
    </row>
    <row r="956" spans="4:4" ht="13">
      <c r="D956" s="161"/>
    </row>
    <row r="957" spans="4:4" ht="13">
      <c r="D957" s="161"/>
    </row>
    <row r="958" spans="4:4" ht="13">
      <c r="D958" s="161"/>
    </row>
    <row r="959" spans="4:4" ht="13">
      <c r="D959" s="161"/>
    </row>
    <row r="960" spans="4:4" ht="13">
      <c r="D960" s="161"/>
    </row>
    <row r="961" spans="4:4" ht="13">
      <c r="D961" s="161"/>
    </row>
    <row r="962" spans="4:4" ht="13">
      <c r="D962" s="161"/>
    </row>
    <row r="963" spans="4:4" ht="13">
      <c r="D963" s="161"/>
    </row>
    <row r="964" spans="4:4" ht="13">
      <c r="D964" s="161"/>
    </row>
    <row r="965" spans="4:4" ht="13">
      <c r="D965" s="161"/>
    </row>
    <row r="966" spans="4:4" ht="13">
      <c r="D966" s="161"/>
    </row>
    <row r="967" spans="4:4" ht="13">
      <c r="D967" s="161"/>
    </row>
    <row r="968" spans="4:4" ht="13">
      <c r="D968" s="161"/>
    </row>
    <row r="969" spans="4:4" ht="13">
      <c r="D969" s="161"/>
    </row>
    <row r="970" spans="4:4" ht="13">
      <c r="D970" s="161"/>
    </row>
    <row r="971" spans="4:4" ht="13">
      <c r="D971" s="161"/>
    </row>
    <row r="972" spans="4:4" ht="13">
      <c r="D972" s="161"/>
    </row>
    <row r="973" spans="4:4" ht="13">
      <c r="D973" s="161"/>
    </row>
    <row r="974" spans="4:4" ht="13">
      <c r="D974" s="161"/>
    </row>
    <row r="975" spans="4:4" ht="13">
      <c r="D975" s="161"/>
    </row>
    <row r="976" spans="4:4" ht="13">
      <c r="D976" s="161"/>
    </row>
    <row r="977" spans="4:4" ht="13">
      <c r="D977" s="161"/>
    </row>
    <row r="978" spans="4:4" ht="13">
      <c r="D978" s="161"/>
    </row>
    <row r="979" spans="4:4" ht="13">
      <c r="D979" s="161"/>
    </row>
    <row r="980" spans="4:4" ht="13">
      <c r="D980" s="161"/>
    </row>
    <row r="981" spans="4:4" ht="13">
      <c r="D981" s="161"/>
    </row>
    <row r="982" spans="4:4" ht="13">
      <c r="D982" s="161"/>
    </row>
    <row r="983" spans="4:4" ht="13">
      <c r="D983" s="161"/>
    </row>
    <row r="984" spans="4:4" ht="13">
      <c r="D984" s="161"/>
    </row>
    <row r="985" spans="4:4" ht="13">
      <c r="D985" s="161"/>
    </row>
    <row r="986" spans="4:4" ht="13">
      <c r="D986" s="161"/>
    </row>
    <row r="987" spans="4:4" ht="13">
      <c r="D987" s="161"/>
    </row>
    <row r="988" spans="4:4" ht="13">
      <c r="D988" s="161"/>
    </row>
    <row r="989" spans="4:4" ht="13">
      <c r="D989" s="161"/>
    </row>
    <row r="990" spans="4:4" ht="13">
      <c r="D990" s="161"/>
    </row>
    <row r="991" spans="4:4" ht="13">
      <c r="D991" s="161"/>
    </row>
    <row r="992" spans="4:4" ht="13">
      <c r="D992" s="161"/>
    </row>
    <row r="993" spans="4:4" ht="13">
      <c r="D993" s="161"/>
    </row>
    <row r="994" spans="4:4" ht="13">
      <c r="D994" s="161"/>
    </row>
    <row r="995" spans="4:4" ht="13">
      <c r="D995" s="161"/>
    </row>
    <row r="996" spans="4:4" ht="13">
      <c r="D996" s="161"/>
    </row>
    <row r="997" spans="4:4" ht="13">
      <c r="D997" s="161"/>
    </row>
    <row r="998" spans="4:4" ht="13">
      <c r="D998" s="161"/>
    </row>
    <row r="999" spans="4:4" ht="13">
      <c r="D999" s="161"/>
    </row>
    <row r="1000" spans="4:4" ht="13">
      <c r="D1000" s="161"/>
    </row>
  </sheetData>
  <autoFilter ref="D3:D69" xr:uid="{00000000-0009-0000-0000-000007000000}"/>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P968"/>
  <sheetViews>
    <sheetView workbookViewId="0">
      <pane ySplit="1" topLeftCell="A2" activePane="bottomLeft" state="frozen"/>
      <selection pane="bottomLeft" activeCell="B3" sqref="B3"/>
    </sheetView>
  </sheetViews>
  <sheetFormatPr baseColWidth="10" defaultColWidth="14.5" defaultRowHeight="15.75" customHeight="1"/>
  <cols>
    <col min="1" max="1" width="18.5" customWidth="1"/>
    <col min="2" max="2" width="14.5" customWidth="1"/>
    <col min="3" max="3" width="29.33203125" customWidth="1"/>
    <col min="4" max="4" width="37.33203125" customWidth="1"/>
    <col min="5" max="5" width="32.5" customWidth="1"/>
    <col min="6" max="6" width="9" customWidth="1"/>
    <col min="7" max="7" width="11.5" customWidth="1"/>
    <col min="8" max="8" width="39.1640625" customWidth="1"/>
    <col min="9" max="9" width="54.6640625" customWidth="1"/>
    <col min="10" max="10" width="62.83203125" customWidth="1"/>
    <col min="11" max="11" width="63.83203125" customWidth="1"/>
    <col min="12" max="16" width="14.5" customWidth="1"/>
  </cols>
  <sheetData>
    <row r="1" spans="1:16" ht="22.5" customHeight="1">
      <c r="A1" s="164" t="s">
        <v>3046</v>
      </c>
      <c r="B1" s="165" t="s">
        <v>3048</v>
      </c>
      <c r="C1" s="166" t="s">
        <v>1774</v>
      </c>
      <c r="D1" s="166" t="s">
        <v>1775</v>
      </c>
      <c r="E1" s="166" t="s">
        <v>22</v>
      </c>
      <c r="F1" s="166" t="s">
        <v>24</v>
      </c>
      <c r="G1" s="166" t="s">
        <v>26</v>
      </c>
      <c r="H1" s="166" t="s">
        <v>3050</v>
      </c>
      <c r="I1" s="166" t="s">
        <v>3051</v>
      </c>
      <c r="J1" s="166" t="s">
        <v>1803</v>
      </c>
      <c r="K1" s="166" t="s">
        <v>1806</v>
      </c>
      <c r="L1" s="167"/>
      <c r="M1" s="167"/>
      <c r="N1" s="167"/>
      <c r="O1" s="167"/>
      <c r="P1" s="167"/>
    </row>
    <row r="2" spans="1:16" ht="31.5" customHeight="1">
      <c r="A2" s="168" t="s">
        <v>1955</v>
      </c>
      <c r="B2" s="169">
        <v>19384</v>
      </c>
      <c r="C2" s="170" t="s">
        <v>1985</v>
      </c>
      <c r="D2" s="171" t="s">
        <v>32</v>
      </c>
      <c r="E2" s="171" t="s">
        <v>1996</v>
      </c>
      <c r="F2" s="172">
        <v>31.531175999999999</v>
      </c>
      <c r="G2" s="172">
        <v>34.914462999999998</v>
      </c>
      <c r="H2" s="171" t="s">
        <v>2001</v>
      </c>
      <c r="I2" s="173"/>
      <c r="J2" s="173"/>
      <c r="K2" s="173"/>
      <c r="L2" s="173"/>
      <c r="M2" s="173"/>
      <c r="N2" s="173"/>
      <c r="O2" s="173"/>
      <c r="P2" s="173"/>
    </row>
    <row r="3" spans="1:16" ht="31.5" customHeight="1">
      <c r="A3" s="168" t="s">
        <v>2010</v>
      </c>
      <c r="B3" s="169">
        <v>19387</v>
      </c>
      <c r="C3" s="174" t="s">
        <v>2012</v>
      </c>
      <c r="D3" s="174" t="s">
        <v>2024</v>
      </c>
      <c r="E3" s="175" t="s">
        <v>2026</v>
      </c>
      <c r="F3" s="170">
        <v>32.029972999999998</v>
      </c>
      <c r="G3" s="170">
        <v>35.018973000000003</v>
      </c>
      <c r="H3" s="175" t="s">
        <v>2038</v>
      </c>
      <c r="I3" s="173"/>
      <c r="J3" s="173"/>
      <c r="K3" s="173"/>
      <c r="L3" s="173"/>
      <c r="M3" s="173"/>
      <c r="N3" s="173"/>
      <c r="O3" s="173"/>
      <c r="P3" s="173"/>
    </row>
    <row r="4" spans="1:16" ht="42" customHeight="1">
      <c r="A4" s="176" t="s">
        <v>1921</v>
      </c>
      <c r="B4" s="177">
        <v>19497</v>
      </c>
      <c r="C4" s="174" t="s">
        <v>2045</v>
      </c>
      <c r="D4" s="174" t="s">
        <v>2046</v>
      </c>
      <c r="E4" s="175" t="s">
        <v>2047</v>
      </c>
      <c r="F4" s="170">
        <v>31.887429999999998</v>
      </c>
      <c r="G4" s="170">
        <v>35.045319999999997</v>
      </c>
      <c r="H4" s="171" t="s">
        <v>2048</v>
      </c>
      <c r="I4" s="173"/>
      <c r="J4" s="173"/>
      <c r="K4" s="173"/>
      <c r="L4" s="173"/>
      <c r="M4" s="173"/>
      <c r="N4" s="173"/>
      <c r="O4" s="173"/>
      <c r="P4" s="173"/>
    </row>
    <row r="5" spans="1:16" ht="31.5" customHeight="1">
      <c r="A5" s="168" t="s">
        <v>2103</v>
      </c>
      <c r="B5" s="169">
        <v>19552</v>
      </c>
      <c r="C5" s="170" t="s">
        <v>1971</v>
      </c>
      <c r="D5" s="174" t="s">
        <v>2106</v>
      </c>
      <c r="E5" s="171" t="s">
        <v>2109</v>
      </c>
      <c r="F5" s="170">
        <v>31.833024000000002</v>
      </c>
      <c r="G5" s="170">
        <v>35.180546</v>
      </c>
      <c r="H5" s="175" t="s">
        <v>2112</v>
      </c>
      <c r="I5" s="173"/>
      <c r="J5" s="173"/>
      <c r="K5" s="173"/>
      <c r="L5" s="173"/>
      <c r="M5" s="173"/>
      <c r="N5" s="173"/>
      <c r="O5" s="173"/>
      <c r="P5" s="173"/>
    </row>
    <row r="6" spans="1:16" ht="31.5" customHeight="1">
      <c r="A6" s="176" t="s">
        <v>2128</v>
      </c>
      <c r="B6" s="169">
        <v>19583</v>
      </c>
      <c r="C6" s="174" t="s">
        <v>2130</v>
      </c>
      <c r="D6" s="174" t="s">
        <v>2132</v>
      </c>
      <c r="E6" s="175" t="s">
        <v>2134</v>
      </c>
      <c r="F6" s="172">
        <v>31.57733</v>
      </c>
      <c r="G6" s="172">
        <v>35.014173999999997</v>
      </c>
      <c r="H6" s="175" t="s">
        <v>2136</v>
      </c>
      <c r="I6" s="173"/>
      <c r="J6" s="173"/>
      <c r="K6" s="173"/>
      <c r="L6" s="173"/>
      <c r="M6" s="173"/>
      <c r="N6" s="173"/>
      <c r="O6" s="173"/>
      <c r="P6" s="173"/>
    </row>
    <row r="7" spans="1:16" ht="21" customHeight="1">
      <c r="A7" s="176" t="s">
        <v>2030</v>
      </c>
      <c r="B7" s="169">
        <v>19602</v>
      </c>
      <c r="C7" s="174" t="s">
        <v>2149</v>
      </c>
      <c r="D7" s="174" t="s">
        <v>2151</v>
      </c>
      <c r="E7" s="175" t="s">
        <v>2153</v>
      </c>
      <c r="F7" s="170">
        <v>32.799889700000001</v>
      </c>
      <c r="G7" s="170">
        <v>35.1671263</v>
      </c>
      <c r="H7" s="175" t="s">
        <v>2156</v>
      </c>
      <c r="I7" s="173"/>
      <c r="J7" s="173"/>
      <c r="K7" s="173"/>
      <c r="L7" s="173"/>
      <c r="M7" s="173"/>
      <c r="N7" s="173"/>
      <c r="O7" s="173"/>
      <c r="P7" s="173"/>
    </row>
    <row r="8" spans="1:16" ht="21" customHeight="1">
      <c r="A8" s="168" t="s">
        <v>2163</v>
      </c>
      <c r="B8" s="169">
        <v>19603</v>
      </c>
      <c r="C8" s="170" t="s">
        <v>2164</v>
      </c>
      <c r="D8" s="174" t="s">
        <v>2166</v>
      </c>
      <c r="E8" s="175" t="s">
        <v>2168</v>
      </c>
      <c r="F8" s="170">
        <v>31.453869000000001</v>
      </c>
      <c r="G8" s="170">
        <v>34.912170000000003</v>
      </c>
      <c r="H8" s="175" t="s">
        <v>2170</v>
      </c>
      <c r="I8" s="173"/>
      <c r="J8" s="173"/>
      <c r="K8" s="173"/>
      <c r="L8" s="173"/>
      <c r="M8" s="173"/>
      <c r="N8" s="173"/>
      <c r="O8" s="173"/>
      <c r="P8" s="173"/>
    </row>
    <row r="9" spans="1:16" ht="21" customHeight="1">
      <c r="A9" s="168" t="s">
        <v>2181</v>
      </c>
      <c r="B9" s="169">
        <v>19642</v>
      </c>
      <c r="C9" s="170" t="s">
        <v>1946</v>
      </c>
      <c r="D9" s="175" t="s">
        <v>2183</v>
      </c>
      <c r="E9" s="175" t="s">
        <v>2185</v>
      </c>
      <c r="F9" s="170">
        <v>31.887429999999998</v>
      </c>
      <c r="G9" s="170">
        <v>35.045319999999997</v>
      </c>
      <c r="H9" s="175" t="s">
        <v>2186</v>
      </c>
      <c r="I9" s="173"/>
      <c r="J9" s="173"/>
      <c r="K9" s="173"/>
      <c r="L9" s="173"/>
      <c r="M9" s="173"/>
      <c r="N9" s="173"/>
      <c r="O9" s="173"/>
      <c r="P9" s="173"/>
    </row>
    <row r="10" spans="1:16" ht="42" customHeight="1">
      <c r="A10" s="176" t="s">
        <v>2015</v>
      </c>
      <c r="B10" s="169">
        <v>19646</v>
      </c>
      <c r="C10" s="174" t="s">
        <v>2193</v>
      </c>
      <c r="D10" s="174" t="s">
        <v>2194</v>
      </c>
      <c r="E10" s="171" t="s">
        <v>2196</v>
      </c>
      <c r="F10" s="172">
        <v>31.977142000000001</v>
      </c>
      <c r="G10" s="172">
        <v>34.953834999999998</v>
      </c>
      <c r="H10" s="175" t="s">
        <v>2199</v>
      </c>
      <c r="I10" s="173"/>
      <c r="J10" s="173"/>
      <c r="K10" s="173"/>
      <c r="L10" s="173"/>
      <c r="M10" s="173"/>
      <c r="N10" s="173"/>
      <c r="O10" s="173"/>
      <c r="P10" s="173"/>
    </row>
    <row r="11" spans="1:16" ht="31.5" customHeight="1">
      <c r="A11" s="168" t="s">
        <v>2214</v>
      </c>
      <c r="B11" s="169">
        <v>19711</v>
      </c>
      <c r="C11" s="174" t="s">
        <v>2216</v>
      </c>
      <c r="D11" s="174" t="s">
        <v>2218</v>
      </c>
      <c r="E11" s="171" t="s">
        <v>2219</v>
      </c>
      <c r="F11" s="170">
        <v>31.688888899999998</v>
      </c>
      <c r="G11" s="170">
        <v>35.169722200000002</v>
      </c>
      <c r="H11" s="175" t="s">
        <v>2220</v>
      </c>
      <c r="I11" s="173"/>
      <c r="J11" s="173"/>
      <c r="K11" s="173"/>
      <c r="L11" s="173"/>
      <c r="M11" s="173"/>
      <c r="N11" s="173"/>
      <c r="O11" s="173"/>
      <c r="P11" s="173"/>
    </row>
    <row r="12" spans="1:16" ht="12" customHeight="1">
      <c r="A12" s="168" t="s">
        <v>2221</v>
      </c>
      <c r="B12" s="169">
        <v>19712</v>
      </c>
      <c r="C12" s="174" t="s">
        <v>2222</v>
      </c>
      <c r="D12" s="174" t="s">
        <v>2223</v>
      </c>
      <c r="E12" s="175" t="s">
        <v>2224</v>
      </c>
      <c r="F12" s="172">
        <v>31.255736200000001</v>
      </c>
      <c r="G12" s="172">
        <v>34.807163600000003</v>
      </c>
      <c r="H12" s="175" t="s">
        <v>2225</v>
      </c>
      <c r="I12" s="173"/>
      <c r="J12" s="173"/>
      <c r="K12" s="173"/>
      <c r="L12" s="173"/>
      <c r="M12" s="173"/>
      <c r="N12" s="173"/>
      <c r="O12" s="173"/>
      <c r="P12" s="173"/>
    </row>
    <row r="13" spans="1:16" ht="21" customHeight="1">
      <c r="A13" s="168" t="s">
        <v>2227</v>
      </c>
      <c r="B13" s="169">
        <v>19714</v>
      </c>
      <c r="C13" s="174" t="s">
        <v>2228</v>
      </c>
      <c r="D13" s="174" t="s">
        <v>2229</v>
      </c>
      <c r="E13" s="175" t="s">
        <v>2230</v>
      </c>
      <c r="F13" s="170">
        <v>31.532568999999999</v>
      </c>
      <c r="G13" s="170">
        <v>35.099826</v>
      </c>
      <c r="H13" s="175" t="s">
        <v>2231</v>
      </c>
      <c r="I13" s="173"/>
      <c r="J13" s="173"/>
      <c r="K13" s="173"/>
      <c r="L13" s="173"/>
      <c r="M13" s="173"/>
      <c r="N13" s="173"/>
      <c r="O13" s="173"/>
      <c r="P13" s="173"/>
    </row>
    <row r="14" spans="1:16" ht="21" customHeight="1">
      <c r="A14" s="168" t="s">
        <v>2227</v>
      </c>
      <c r="B14" s="169">
        <v>19714</v>
      </c>
      <c r="C14" s="174" t="s">
        <v>2238</v>
      </c>
      <c r="D14" s="174" t="s">
        <v>2239</v>
      </c>
      <c r="E14" s="175" t="s">
        <v>2240</v>
      </c>
      <c r="F14" s="170">
        <v>31.57733</v>
      </c>
      <c r="G14" s="170">
        <v>35.014173999999997</v>
      </c>
      <c r="H14" s="175" t="s">
        <v>2242</v>
      </c>
      <c r="I14" s="173"/>
      <c r="J14" s="173"/>
      <c r="K14" s="173"/>
      <c r="L14" s="173"/>
      <c r="M14" s="173"/>
      <c r="N14" s="173"/>
      <c r="O14" s="173"/>
      <c r="P14" s="173"/>
    </row>
    <row r="15" spans="1:16" ht="12" customHeight="1">
      <c r="A15" s="168" t="s">
        <v>2248</v>
      </c>
      <c r="B15" s="169">
        <v>19717</v>
      </c>
      <c r="C15" s="174" t="s">
        <v>2251</v>
      </c>
      <c r="D15" s="174" t="s">
        <v>2253</v>
      </c>
      <c r="E15" s="175" t="s">
        <v>2254</v>
      </c>
      <c r="F15" s="170">
        <v>31.255736200000001</v>
      </c>
      <c r="G15" s="170">
        <v>34.807163600000003</v>
      </c>
      <c r="H15" s="175" t="s">
        <v>2255</v>
      </c>
      <c r="I15" s="173"/>
      <c r="J15" s="173"/>
      <c r="K15" s="173"/>
      <c r="L15" s="173"/>
      <c r="M15" s="173"/>
      <c r="N15" s="173"/>
      <c r="O15" s="173"/>
      <c r="P15" s="173"/>
    </row>
    <row r="16" spans="1:16" ht="21" customHeight="1">
      <c r="A16" s="168" t="s">
        <v>2279</v>
      </c>
      <c r="B16" s="169">
        <v>19756</v>
      </c>
      <c r="C16" s="170" t="s">
        <v>815</v>
      </c>
      <c r="D16" s="170" t="s">
        <v>2281</v>
      </c>
      <c r="E16" s="171" t="s">
        <v>2283</v>
      </c>
      <c r="F16" s="170">
        <v>31.522561</v>
      </c>
      <c r="G16" s="170">
        <v>34.453592999999998</v>
      </c>
      <c r="H16" s="171" t="s">
        <v>2285</v>
      </c>
      <c r="I16" s="173"/>
      <c r="J16" s="173"/>
      <c r="K16" s="173"/>
      <c r="L16" s="173"/>
      <c r="M16" s="173"/>
      <c r="N16" s="173"/>
      <c r="O16" s="173"/>
      <c r="P16" s="173"/>
    </row>
    <row r="17" spans="1:16" ht="31.5" customHeight="1">
      <c r="A17" s="168" t="s">
        <v>2359</v>
      </c>
      <c r="B17" s="169">
        <v>19811</v>
      </c>
      <c r="C17" s="174" t="s">
        <v>2360</v>
      </c>
      <c r="D17" s="174" t="s">
        <v>2361</v>
      </c>
      <c r="E17" s="175" t="s">
        <v>2362</v>
      </c>
      <c r="F17" s="172">
        <v>31.705382100000001</v>
      </c>
      <c r="G17" s="172">
        <v>35.202442499999997</v>
      </c>
      <c r="H17" s="175" t="s">
        <v>2363</v>
      </c>
      <c r="I17" s="173"/>
      <c r="J17" s="173"/>
      <c r="K17" s="173"/>
      <c r="L17" s="173"/>
      <c r="M17" s="173"/>
      <c r="N17" s="173"/>
      <c r="O17" s="173"/>
      <c r="P17" s="173"/>
    </row>
    <row r="18" spans="1:16" ht="21" customHeight="1">
      <c r="A18" s="168" t="s">
        <v>2368</v>
      </c>
      <c r="B18" s="169">
        <v>19816</v>
      </c>
      <c r="C18" s="174" t="s">
        <v>2370</v>
      </c>
      <c r="D18" s="174" t="s">
        <v>2371</v>
      </c>
      <c r="E18" s="171" t="s">
        <v>2373</v>
      </c>
      <c r="F18" s="170">
        <v>31.296779999999899</v>
      </c>
      <c r="G18" s="170">
        <v>34.243482</v>
      </c>
      <c r="H18" s="175" t="s">
        <v>2374</v>
      </c>
      <c r="I18" s="173"/>
      <c r="J18" s="173"/>
      <c r="K18" s="173"/>
      <c r="L18" s="173"/>
      <c r="M18" s="173"/>
      <c r="N18" s="173"/>
      <c r="O18" s="173"/>
      <c r="P18" s="173"/>
    </row>
    <row r="19" spans="1:16" ht="21" customHeight="1">
      <c r="A19" s="178">
        <v>19875</v>
      </c>
      <c r="B19" s="169">
        <v>19875</v>
      </c>
      <c r="C19" s="179" t="s">
        <v>2167</v>
      </c>
      <c r="D19" s="179" t="s">
        <v>2172</v>
      </c>
      <c r="E19" s="179" t="s">
        <v>2172</v>
      </c>
      <c r="F19" s="179">
        <v>28.2584585</v>
      </c>
      <c r="G19" s="179">
        <v>34.675627899999903</v>
      </c>
      <c r="H19" s="180" t="s">
        <v>2433</v>
      </c>
      <c r="I19" s="179"/>
      <c r="J19" s="179"/>
      <c r="K19" s="179"/>
      <c r="L19" s="173"/>
      <c r="M19" s="173"/>
      <c r="N19" s="173"/>
      <c r="O19" s="173"/>
      <c r="P19" s="173"/>
    </row>
    <row r="20" spans="1:16" ht="31.5" customHeight="1">
      <c r="A20" s="168" t="s">
        <v>2492</v>
      </c>
      <c r="B20" s="169">
        <v>19904</v>
      </c>
      <c r="C20" s="174" t="s">
        <v>2494</v>
      </c>
      <c r="D20" s="174" t="s">
        <v>2495</v>
      </c>
      <c r="E20" s="171" t="s">
        <v>2497</v>
      </c>
      <c r="F20" s="170">
        <v>32.177101</v>
      </c>
      <c r="G20" s="170">
        <v>35.055956999999999</v>
      </c>
      <c r="H20" s="175" t="s">
        <v>2498</v>
      </c>
      <c r="I20" s="173"/>
      <c r="J20" s="173"/>
      <c r="K20" s="173"/>
      <c r="L20" s="173"/>
      <c r="M20" s="173"/>
      <c r="N20" s="173"/>
      <c r="O20" s="173"/>
      <c r="P20" s="173"/>
    </row>
    <row r="21" spans="1:16" ht="31.5" customHeight="1">
      <c r="A21" s="168" t="s">
        <v>2546</v>
      </c>
      <c r="B21" s="169">
        <v>19915</v>
      </c>
      <c r="C21" s="174" t="s">
        <v>2549</v>
      </c>
      <c r="D21" s="174" t="s">
        <v>2551</v>
      </c>
      <c r="E21" s="175" t="s">
        <v>2552</v>
      </c>
      <c r="F21" s="170">
        <v>31.349976999999999</v>
      </c>
      <c r="G21" s="170">
        <v>34.299681999999997</v>
      </c>
      <c r="H21" s="175" t="s">
        <v>2553</v>
      </c>
      <c r="I21" s="173"/>
      <c r="J21" s="173"/>
      <c r="K21" s="173"/>
      <c r="L21" s="173"/>
      <c r="M21" s="173"/>
      <c r="N21" s="173"/>
      <c r="O21" s="173"/>
      <c r="P21" s="173"/>
    </row>
    <row r="22" spans="1:16" ht="42" customHeight="1">
      <c r="A22" s="168" t="s">
        <v>2591</v>
      </c>
      <c r="B22" s="169">
        <v>19938</v>
      </c>
      <c r="C22" s="170" t="s">
        <v>2594</v>
      </c>
      <c r="D22" s="170" t="s">
        <v>2297</v>
      </c>
      <c r="E22" s="171" t="s">
        <v>2597</v>
      </c>
      <c r="F22" s="172">
        <v>31.889281</v>
      </c>
      <c r="G22" s="172">
        <v>35.169812999999998</v>
      </c>
      <c r="H22" s="171" t="s">
        <v>2599</v>
      </c>
      <c r="I22" s="173"/>
      <c r="J22" s="173"/>
      <c r="K22" s="173"/>
      <c r="L22" s="173"/>
      <c r="M22" s="173"/>
      <c r="N22" s="173"/>
      <c r="O22" s="173"/>
      <c r="P22" s="173"/>
    </row>
    <row r="23" spans="1:16" ht="21" customHeight="1">
      <c r="A23" s="178">
        <v>19950</v>
      </c>
      <c r="B23" s="169">
        <v>19950</v>
      </c>
      <c r="C23" s="180" t="s">
        <v>2635</v>
      </c>
      <c r="D23" s="180" t="s">
        <v>2636</v>
      </c>
      <c r="E23" s="180" t="s">
        <v>2638</v>
      </c>
      <c r="F23" s="179">
        <v>31.354676300000001</v>
      </c>
      <c r="G23" s="179">
        <v>34.308825499999998</v>
      </c>
      <c r="H23" s="175" t="s">
        <v>2640</v>
      </c>
      <c r="I23" s="179"/>
      <c r="J23" s="179"/>
      <c r="K23" s="179"/>
      <c r="L23" s="173"/>
      <c r="M23" s="173"/>
      <c r="N23" s="173"/>
      <c r="O23" s="173"/>
      <c r="P23" s="173"/>
    </row>
    <row r="24" spans="1:16" ht="42" customHeight="1">
      <c r="A24" s="168" t="s">
        <v>2660</v>
      </c>
      <c r="B24" s="169">
        <v>19966</v>
      </c>
      <c r="C24" s="170" t="s">
        <v>2594</v>
      </c>
      <c r="D24" s="170" t="s">
        <v>176</v>
      </c>
      <c r="E24" s="171" t="s">
        <v>2662</v>
      </c>
      <c r="F24" s="181">
        <v>31.491147999999999</v>
      </c>
      <c r="G24" s="181">
        <v>34.943641999999997</v>
      </c>
      <c r="H24" s="171" t="s">
        <v>2664</v>
      </c>
      <c r="I24" s="173"/>
      <c r="J24" s="173"/>
      <c r="K24" s="173"/>
      <c r="L24" s="173"/>
      <c r="M24" s="173"/>
      <c r="N24" s="173"/>
      <c r="O24" s="173"/>
      <c r="P24" s="173"/>
    </row>
    <row r="25" spans="1:16" ht="63" customHeight="1">
      <c r="A25" s="168" t="s">
        <v>834</v>
      </c>
      <c r="B25" s="169">
        <v>19969</v>
      </c>
      <c r="C25" s="174" t="s">
        <v>2670</v>
      </c>
      <c r="D25" s="174" t="s">
        <v>2673</v>
      </c>
      <c r="E25" s="175" t="s">
        <v>2674</v>
      </c>
      <c r="F25" s="170">
        <v>31.869937</v>
      </c>
      <c r="G25" s="170">
        <v>35.065201999999999</v>
      </c>
      <c r="H25" s="175" t="s">
        <v>2676</v>
      </c>
      <c r="I25" s="173"/>
      <c r="J25" s="173"/>
      <c r="K25" s="173"/>
      <c r="L25" s="173"/>
      <c r="M25" s="173"/>
      <c r="N25" s="173"/>
      <c r="O25" s="173"/>
      <c r="P25" s="173"/>
    </row>
    <row r="26" spans="1:16" ht="12" customHeight="1">
      <c r="A26" s="168" t="s">
        <v>2764</v>
      </c>
      <c r="B26" s="169">
        <v>20062</v>
      </c>
      <c r="C26" s="174" t="s">
        <v>2767</v>
      </c>
      <c r="D26" s="174" t="s">
        <v>2769</v>
      </c>
      <c r="E26" s="175" t="s">
        <v>2771</v>
      </c>
      <c r="F26" s="170">
        <v>30.5833333</v>
      </c>
      <c r="G26" s="170">
        <v>34.484166700000003</v>
      </c>
      <c r="H26" s="171"/>
      <c r="I26" s="173"/>
      <c r="J26" s="173"/>
      <c r="K26" s="173"/>
      <c r="L26" s="173"/>
      <c r="M26" s="173"/>
      <c r="N26" s="173"/>
      <c r="O26" s="173"/>
      <c r="P26" s="173"/>
    </row>
    <row r="27" spans="1:16" ht="12" customHeight="1">
      <c r="A27" s="178">
        <v>20066</v>
      </c>
      <c r="B27" s="169">
        <v>20066</v>
      </c>
      <c r="C27" s="179" t="s">
        <v>2124</v>
      </c>
      <c r="D27" s="179" t="s">
        <v>2127</v>
      </c>
      <c r="E27" s="179" t="s">
        <v>2129</v>
      </c>
      <c r="F27" s="179">
        <v>33.240338000000001</v>
      </c>
      <c r="G27" s="179">
        <v>35.677014999999997</v>
      </c>
      <c r="H27" s="180" t="s">
        <v>2786</v>
      </c>
      <c r="I27" s="179"/>
      <c r="J27" s="179"/>
      <c r="K27" s="179"/>
      <c r="L27" s="173"/>
      <c r="M27" s="173"/>
      <c r="N27" s="173"/>
      <c r="O27" s="173"/>
      <c r="P27" s="173"/>
    </row>
    <row r="28" spans="1:16" ht="42" customHeight="1">
      <c r="A28" s="168" t="s">
        <v>2897</v>
      </c>
      <c r="B28" s="169">
        <v>20148</v>
      </c>
      <c r="C28" s="174" t="s">
        <v>2898</v>
      </c>
      <c r="D28" s="174" t="s">
        <v>2899</v>
      </c>
      <c r="E28" s="175" t="s">
        <v>2900</v>
      </c>
      <c r="F28" s="170">
        <v>31.522561</v>
      </c>
      <c r="G28" s="170">
        <v>34.453592999999998</v>
      </c>
      <c r="H28" s="175" t="s">
        <v>2901</v>
      </c>
      <c r="I28" s="173"/>
      <c r="J28" s="173"/>
      <c r="K28" s="173"/>
      <c r="L28" s="173"/>
      <c r="M28" s="173"/>
      <c r="N28" s="173"/>
      <c r="O28" s="173"/>
      <c r="P28" s="173"/>
    </row>
    <row r="29" spans="1:16" ht="31.5" customHeight="1">
      <c r="A29" s="178">
        <v>20265</v>
      </c>
      <c r="B29" s="169">
        <v>20265</v>
      </c>
      <c r="C29" s="179" t="s">
        <v>2437</v>
      </c>
      <c r="D29" s="179" t="s">
        <v>2440</v>
      </c>
      <c r="E29" s="182" t="s">
        <v>2440</v>
      </c>
      <c r="F29" s="179">
        <v>45.572468000000001</v>
      </c>
      <c r="G29" s="179">
        <v>-122.71988399999999</v>
      </c>
      <c r="H29" s="183" t="s">
        <v>2916</v>
      </c>
      <c r="I29" s="179"/>
      <c r="J29" s="179"/>
      <c r="K29" s="179"/>
      <c r="L29" s="173"/>
      <c r="M29" s="173"/>
      <c r="N29" s="173"/>
      <c r="O29" s="173"/>
      <c r="P29" s="173"/>
    </row>
    <row r="30" spans="1:16" ht="21" customHeight="1">
      <c r="A30" s="178">
        <v>20320</v>
      </c>
      <c r="B30" s="169">
        <v>20320</v>
      </c>
      <c r="C30" s="179" t="s">
        <v>2455</v>
      </c>
      <c r="D30" s="179" t="s">
        <v>2458</v>
      </c>
      <c r="E30" s="179"/>
      <c r="F30" s="179"/>
      <c r="G30" s="179"/>
      <c r="H30" s="183" t="s">
        <v>2924</v>
      </c>
      <c r="I30" s="179"/>
      <c r="J30" s="179"/>
      <c r="K30" s="179"/>
      <c r="L30" s="173"/>
      <c r="M30" s="173"/>
      <c r="N30" s="173"/>
      <c r="O30" s="173"/>
      <c r="P30" s="173"/>
    </row>
    <row r="31" spans="1:16" ht="21" customHeight="1">
      <c r="A31" s="168" t="s">
        <v>1117</v>
      </c>
      <c r="B31" s="169">
        <v>20330</v>
      </c>
      <c r="C31" s="174" t="s">
        <v>2929</v>
      </c>
      <c r="D31" s="174" t="s">
        <v>2930</v>
      </c>
      <c r="E31" s="175" t="s">
        <v>2931</v>
      </c>
      <c r="F31" s="170">
        <v>31.296779999999899</v>
      </c>
      <c r="G31" s="170">
        <v>34.243482</v>
      </c>
      <c r="H31" s="175" t="s">
        <v>2932</v>
      </c>
      <c r="I31" s="173"/>
      <c r="J31" s="173"/>
      <c r="K31" s="173"/>
      <c r="L31" s="173"/>
      <c r="M31" s="173"/>
      <c r="N31" s="173"/>
      <c r="O31" s="173"/>
      <c r="P31" s="173"/>
    </row>
    <row r="32" spans="1:16" ht="42" customHeight="1">
      <c r="A32" s="168" t="s">
        <v>2935</v>
      </c>
      <c r="B32" s="169">
        <v>20332</v>
      </c>
      <c r="C32" s="174" t="s">
        <v>2936</v>
      </c>
      <c r="D32" s="174" t="s">
        <v>2937</v>
      </c>
      <c r="E32" s="175" t="s">
        <v>2938</v>
      </c>
      <c r="F32" s="170">
        <v>31.349976999999999</v>
      </c>
      <c r="G32" s="170">
        <v>34.299681999999997</v>
      </c>
      <c r="H32" s="175" t="s">
        <v>2939</v>
      </c>
      <c r="I32" s="173"/>
      <c r="J32" s="173"/>
      <c r="K32" s="173"/>
      <c r="L32" s="173"/>
      <c r="M32" s="173"/>
      <c r="N32" s="173"/>
      <c r="O32" s="173"/>
      <c r="P32" s="173"/>
    </row>
    <row r="33" spans="1:16" ht="52.5" customHeight="1">
      <c r="A33" s="168" t="s">
        <v>2942</v>
      </c>
      <c r="B33" s="169">
        <v>20354</v>
      </c>
      <c r="C33" s="174" t="s">
        <v>2943</v>
      </c>
      <c r="D33" s="174" t="s">
        <v>2945</v>
      </c>
      <c r="E33" s="171" t="s">
        <v>2946</v>
      </c>
      <c r="F33" s="170">
        <v>30.885983</v>
      </c>
      <c r="G33" s="170">
        <v>34.422569000000003</v>
      </c>
      <c r="H33" s="175" t="s">
        <v>2947</v>
      </c>
      <c r="I33" s="173"/>
      <c r="J33" s="173"/>
      <c r="K33" s="173"/>
      <c r="L33" s="173"/>
      <c r="M33" s="173"/>
      <c r="N33" s="173"/>
      <c r="O33" s="173"/>
      <c r="P33" s="173"/>
    </row>
    <row r="34" spans="1:16" ht="31.5" customHeight="1">
      <c r="A34" s="168" t="s">
        <v>2954</v>
      </c>
      <c r="B34" s="169">
        <v>20384</v>
      </c>
      <c r="C34" s="174" t="s">
        <v>2955</v>
      </c>
      <c r="D34" s="174" t="s">
        <v>2956</v>
      </c>
      <c r="E34" s="175" t="s">
        <v>2957</v>
      </c>
      <c r="F34" s="170">
        <v>32.990997999999998</v>
      </c>
      <c r="G34" s="170">
        <v>35.689864999999998</v>
      </c>
      <c r="H34" s="175" t="s">
        <v>2958</v>
      </c>
      <c r="I34" s="173"/>
      <c r="J34" s="173"/>
      <c r="K34" s="173"/>
      <c r="L34" s="173"/>
      <c r="M34" s="173"/>
      <c r="N34" s="173"/>
      <c r="O34" s="173"/>
      <c r="P34" s="173"/>
    </row>
    <row r="35" spans="1:16" ht="31.5" customHeight="1">
      <c r="A35" s="168" t="s">
        <v>2960</v>
      </c>
      <c r="B35" s="169">
        <v>20389</v>
      </c>
      <c r="C35" s="174" t="s">
        <v>2961</v>
      </c>
      <c r="D35" s="174" t="s">
        <v>2962</v>
      </c>
      <c r="E35" s="175" t="s">
        <v>2963</v>
      </c>
      <c r="F35" s="172">
        <v>32.2655514</v>
      </c>
      <c r="G35" s="172">
        <v>35.539960600000001</v>
      </c>
      <c r="H35" s="175" t="s">
        <v>2964</v>
      </c>
      <c r="I35" s="173"/>
      <c r="J35" s="173"/>
      <c r="K35" s="173"/>
      <c r="L35" s="173"/>
      <c r="M35" s="173"/>
      <c r="N35" s="173"/>
      <c r="O35" s="173"/>
      <c r="P35" s="173"/>
    </row>
    <row r="36" spans="1:16" ht="52.5" customHeight="1">
      <c r="A36" s="168" t="s">
        <v>2966</v>
      </c>
      <c r="B36" s="169">
        <v>20395</v>
      </c>
      <c r="C36" s="174" t="s">
        <v>2967</v>
      </c>
      <c r="D36" s="174" t="s">
        <v>2968</v>
      </c>
      <c r="E36" s="171" t="s">
        <v>2969</v>
      </c>
      <c r="F36" s="170">
        <v>30.885983</v>
      </c>
      <c r="G36" s="170">
        <v>34.422569000000003</v>
      </c>
      <c r="H36" s="175" t="s">
        <v>2970</v>
      </c>
      <c r="I36" s="173"/>
      <c r="J36" s="173"/>
      <c r="K36" s="173"/>
      <c r="L36" s="173"/>
      <c r="M36" s="173"/>
      <c r="N36" s="173"/>
      <c r="O36" s="173"/>
      <c r="P36" s="173"/>
    </row>
    <row r="37" spans="1:16" ht="42" customHeight="1">
      <c r="A37" s="168" t="s">
        <v>1213</v>
      </c>
      <c r="B37" s="169">
        <v>20434</v>
      </c>
      <c r="C37" s="174" t="s">
        <v>2981</v>
      </c>
      <c r="D37" s="174" t="s">
        <v>2982</v>
      </c>
      <c r="E37" s="175" t="s">
        <v>2984</v>
      </c>
      <c r="F37" s="170">
        <v>32.723787000000002</v>
      </c>
      <c r="G37" s="170">
        <v>35.565241999999998</v>
      </c>
      <c r="H37" s="175" t="s">
        <v>2985</v>
      </c>
      <c r="I37" s="173"/>
      <c r="J37" s="173"/>
      <c r="K37" s="173"/>
      <c r="L37" s="173"/>
      <c r="M37" s="173"/>
      <c r="N37" s="173"/>
      <c r="O37" s="173"/>
      <c r="P37" s="173"/>
    </row>
    <row r="38" spans="1:16" ht="31.5" customHeight="1">
      <c r="A38" s="178">
        <v>20697</v>
      </c>
      <c r="B38" s="169">
        <v>20697</v>
      </c>
      <c r="C38" s="179" t="s">
        <v>2557</v>
      </c>
      <c r="D38" s="179" t="s">
        <v>2560</v>
      </c>
      <c r="E38" s="179" t="s">
        <v>2561</v>
      </c>
      <c r="F38" s="179">
        <v>32.112215200000001</v>
      </c>
      <c r="G38" s="179">
        <v>34.815106999999998</v>
      </c>
      <c r="H38" s="183" t="s">
        <v>3011</v>
      </c>
      <c r="J38" s="179"/>
      <c r="K38" s="179"/>
      <c r="L38" s="173"/>
      <c r="M38" s="173"/>
      <c r="N38" s="173"/>
      <c r="O38" s="173"/>
      <c r="P38" s="173"/>
    </row>
    <row r="39" spans="1:16" ht="12" customHeight="1">
      <c r="A39" s="168" t="s">
        <v>3012</v>
      </c>
      <c r="B39" s="169">
        <v>20697</v>
      </c>
      <c r="C39" s="170" t="s">
        <v>3013</v>
      </c>
      <c r="D39" s="170" t="s">
        <v>1042</v>
      </c>
      <c r="E39" s="171"/>
      <c r="F39" s="184"/>
      <c r="G39" s="184"/>
      <c r="H39" s="171"/>
      <c r="I39" s="173"/>
      <c r="J39" s="173"/>
      <c r="K39" s="173"/>
      <c r="L39" s="173"/>
      <c r="M39" s="173"/>
      <c r="N39" s="173"/>
      <c r="O39" s="173"/>
      <c r="P39" s="173"/>
    </row>
    <row r="40" spans="1:16" ht="21" customHeight="1">
      <c r="A40" s="168" t="s">
        <v>1343</v>
      </c>
      <c r="B40" s="169">
        <v>20709</v>
      </c>
      <c r="C40" s="174" t="s">
        <v>3016</v>
      </c>
      <c r="D40" s="174" t="s">
        <v>3017</v>
      </c>
      <c r="E40" s="175" t="s">
        <v>3018</v>
      </c>
      <c r="F40" s="172">
        <v>31.3243516</v>
      </c>
      <c r="G40" s="172">
        <v>34.945467000000001</v>
      </c>
      <c r="H40" s="175" t="s">
        <v>3019</v>
      </c>
      <c r="I40" s="173"/>
      <c r="J40" s="173"/>
      <c r="K40" s="173"/>
      <c r="L40" s="173"/>
      <c r="M40" s="173"/>
      <c r="N40" s="173"/>
      <c r="O40" s="173"/>
      <c r="P40" s="173"/>
    </row>
    <row r="41" spans="1:16" ht="31.5" customHeight="1">
      <c r="A41" s="168" t="s">
        <v>3021</v>
      </c>
      <c r="B41" s="169">
        <v>20711</v>
      </c>
      <c r="C41" s="174" t="s">
        <v>3022</v>
      </c>
      <c r="D41" s="174" t="s">
        <v>3023</v>
      </c>
      <c r="E41" s="175" t="s">
        <v>3024</v>
      </c>
      <c r="F41" s="172">
        <v>30.098611099999999</v>
      </c>
      <c r="G41" s="172">
        <v>35.116388899999997</v>
      </c>
      <c r="H41" s="175" t="s">
        <v>3025</v>
      </c>
      <c r="I41" s="173"/>
      <c r="J41" s="173"/>
      <c r="K41" s="173"/>
      <c r="L41" s="173"/>
      <c r="M41" s="173"/>
      <c r="N41" s="173"/>
      <c r="O41" s="173"/>
      <c r="P41" s="173"/>
    </row>
    <row r="42" spans="1:16" ht="31.5" customHeight="1">
      <c r="A42" s="168" t="s">
        <v>3027</v>
      </c>
      <c r="B42" s="169">
        <v>20723</v>
      </c>
      <c r="C42" s="174" t="s">
        <v>3028</v>
      </c>
      <c r="D42" s="174" t="s">
        <v>3029</v>
      </c>
      <c r="E42" s="175" t="s">
        <v>3030</v>
      </c>
      <c r="F42" s="170">
        <v>31.708425999999999</v>
      </c>
      <c r="G42" s="170">
        <v>35.133425000000003</v>
      </c>
      <c r="H42" s="175" t="s">
        <v>3031</v>
      </c>
      <c r="I42" s="173"/>
      <c r="J42" s="173"/>
      <c r="K42" s="173"/>
      <c r="L42" s="173"/>
      <c r="M42" s="173"/>
      <c r="N42" s="173"/>
      <c r="O42" s="173"/>
      <c r="P42" s="173"/>
    </row>
    <row r="43" spans="1:16" ht="42" customHeight="1">
      <c r="A43" s="168" t="s">
        <v>3033</v>
      </c>
      <c r="B43" s="169">
        <v>20738</v>
      </c>
      <c r="C43" s="174" t="s">
        <v>3034</v>
      </c>
      <c r="D43" s="174" t="s">
        <v>3035</v>
      </c>
      <c r="E43" s="175" t="s">
        <v>3036</v>
      </c>
      <c r="F43" s="170">
        <v>32.196015000000003</v>
      </c>
      <c r="G43" s="170">
        <v>34.981513</v>
      </c>
      <c r="H43" s="175" t="s">
        <v>3038</v>
      </c>
      <c r="I43" s="173"/>
      <c r="J43" s="173"/>
      <c r="K43" s="173"/>
      <c r="L43" s="173"/>
      <c r="M43" s="173"/>
      <c r="N43" s="173"/>
      <c r="O43" s="173"/>
      <c r="P43" s="173"/>
    </row>
    <row r="44" spans="1:16" ht="52.5" customHeight="1">
      <c r="A44" s="178">
        <v>21375</v>
      </c>
      <c r="B44" s="169">
        <v>21375</v>
      </c>
      <c r="C44" s="179" t="s">
        <v>2644</v>
      </c>
      <c r="D44" s="179" t="s">
        <v>2647</v>
      </c>
      <c r="E44" s="179" t="s">
        <v>2647</v>
      </c>
      <c r="F44" s="179">
        <v>30.0940063</v>
      </c>
      <c r="G44" s="179">
        <v>31.326444200000001</v>
      </c>
      <c r="H44" s="183" t="s">
        <v>3070</v>
      </c>
      <c r="I44" s="179"/>
      <c r="J44" s="179"/>
      <c r="K44" s="179"/>
      <c r="L44" s="173"/>
      <c r="M44" s="173"/>
      <c r="N44" s="173"/>
      <c r="O44" s="173"/>
      <c r="P44" s="173"/>
    </row>
    <row r="45" spans="1:16" ht="42" customHeight="1">
      <c r="A45" s="178" t="s">
        <v>2859</v>
      </c>
      <c r="B45" s="169">
        <v>22721</v>
      </c>
      <c r="C45" s="179" t="s">
        <v>2838</v>
      </c>
      <c r="D45" s="179" t="s">
        <v>2841</v>
      </c>
      <c r="E45" s="182" t="s">
        <v>2842</v>
      </c>
      <c r="F45" s="185">
        <v>48.455712599999998</v>
      </c>
      <c r="G45" s="185">
        <v>5.2291417999999998</v>
      </c>
      <c r="H45" s="180" t="s">
        <v>3090</v>
      </c>
      <c r="I45" s="179"/>
      <c r="J45" s="179"/>
      <c r="K45" s="179"/>
      <c r="L45" s="173"/>
      <c r="M45" s="173"/>
      <c r="N45" s="173"/>
      <c r="O45" s="173"/>
      <c r="P45" s="173"/>
    </row>
    <row r="46" spans="1:16" ht="12" customHeight="1">
      <c r="A46" s="186"/>
      <c r="B46" s="187"/>
      <c r="C46" s="179" t="s">
        <v>1819</v>
      </c>
      <c r="D46" s="173" t="s">
        <v>1823</v>
      </c>
      <c r="E46" s="173" t="s">
        <v>1824</v>
      </c>
      <c r="F46" s="173">
        <v>32.462068000000002</v>
      </c>
      <c r="G46" s="173">
        <v>35.302534999999999</v>
      </c>
      <c r="H46" s="173"/>
      <c r="I46" s="179"/>
      <c r="J46" s="179"/>
      <c r="K46" s="179"/>
      <c r="L46" s="173"/>
      <c r="M46" s="173"/>
      <c r="N46" s="173"/>
      <c r="O46" s="173"/>
      <c r="P46" s="173"/>
    </row>
    <row r="47" spans="1:16" ht="21" customHeight="1">
      <c r="A47" s="188">
        <v>25.1953</v>
      </c>
      <c r="B47" s="189">
        <v>25.1953</v>
      </c>
      <c r="C47" s="179" t="s">
        <v>1844</v>
      </c>
      <c r="D47" s="179" t="s">
        <v>1846</v>
      </c>
      <c r="E47" s="179" t="s">
        <v>1847</v>
      </c>
      <c r="F47" s="179">
        <v>31.557251999999998</v>
      </c>
      <c r="G47" s="179">
        <v>34.979242999999997</v>
      </c>
      <c r="H47" s="173"/>
      <c r="I47" s="179" t="s">
        <v>1849</v>
      </c>
      <c r="J47" s="179" t="s">
        <v>1851</v>
      </c>
      <c r="K47" s="179" t="s">
        <v>1853</v>
      </c>
      <c r="L47" s="173"/>
      <c r="M47" s="173"/>
      <c r="N47" s="173"/>
      <c r="O47" s="173"/>
      <c r="P47" s="173"/>
    </row>
    <row r="48" spans="1:16" ht="21" customHeight="1">
      <c r="A48" s="190">
        <v>9.1952999999999996</v>
      </c>
      <c r="B48" s="191" t="s">
        <v>137</v>
      </c>
      <c r="C48" s="179" t="s">
        <v>1924</v>
      </c>
      <c r="D48" s="179" t="s">
        <v>1926</v>
      </c>
      <c r="E48" s="179" t="s">
        <v>1927</v>
      </c>
      <c r="F48" s="192"/>
      <c r="G48" s="192"/>
      <c r="H48" s="180" t="s">
        <v>3095</v>
      </c>
      <c r="I48" s="179"/>
      <c r="J48" s="179"/>
      <c r="K48" s="179"/>
      <c r="L48" s="173"/>
      <c r="M48" s="173"/>
      <c r="N48" s="173"/>
      <c r="O48" s="173"/>
      <c r="P48" s="173"/>
    </row>
    <row r="49" spans="1:16" ht="19.5" customHeight="1">
      <c r="A49" s="194">
        <v>8.1952999999999996</v>
      </c>
      <c r="B49" s="195" t="s">
        <v>3097</v>
      </c>
      <c r="C49" s="173" t="s">
        <v>2042</v>
      </c>
      <c r="D49" s="173" t="s">
        <v>2050</v>
      </c>
      <c r="E49" s="173" t="s">
        <v>338</v>
      </c>
      <c r="F49" s="173">
        <v>31.817429000000001</v>
      </c>
      <c r="G49" s="173">
        <v>35.109406</v>
      </c>
      <c r="H49" s="183" t="s">
        <v>3098</v>
      </c>
      <c r="I49" s="173"/>
      <c r="J49" s="173"/>
      <c r="K49" s="173"/>
      <c r="L49" s="173"/>
      <c r="M49" s="173"/>
      <c r="N49" s="173"/>
      <c r="O49" s="173"/>
      <c r="P49" s="173"/>
    </row>
    <row r="50" spans="1:16" ht="31.5" customHeight="1">
      <c r="A50" s="190">
        <v>8.1953999999999994</v>
      </c>
      <c r="B50" s="191" t="s">
        <v>3100</v>
      </c>
      <c r="C50" s="179" t="s">
        <v>2145</v>
      </c>
      <c r="D50" s="179" t="s">
        <v>2147</v>
      </c>
      <c r="E50" s="179" t="s">
        <v>1218</v>
      </c>
      <c r="F50" s="179">
        <v>31.532568999999999</v>
      </c>
      <c r="G50" s="179">
        <v>35.099826</v>
      </c>
      <c r="H50" s="180" t="s">
        <v>3101</v>
      </c>
      <c r="I50" s="179"/>
      <c r="J50" s="179"/>
      <c r="K50" s="179"/>
      <c r="L50" s="173"/>
      <c r="M50" s="173"/>
      <c r="N50" s="173"/>
      <c r="O50" s="173"/>
      <c r="P50" s="173"/>
    </row>
    <row r="51" spans="1:16" ht="21" customHeight="1">
      <c r="A51" s="196" t="s">
        <v>2405</v>
      </c>
      <c r="B51" s="191">
        <v>1955</v>
      </c>
      <c r="C51" s="179" t="s">
        <v>2403</v>
      </c>
      <c r="D51" s="179" t="s">
        <v>2407</v>
      </c>
      <c r="E51" s="179" t="s">
        <v>2408</v>
      </c>
      <c r="F51" s="185">
        <v>29.492567899999901</v>
      </c>
      <c r="G51" s="185">
        <v>34.894902700000003</v>
      </c>
      <c r="H51" s="180" t="s">
        <v>3103</v>
      </c>
      <c r="I51" s="179"/>
      <c r="J51" s="179"/>
      <c r="K51" s="179"/>
      <c r="L51" s="173"/>
      <c r="M51" s="173"/>
      <c r="N51" s="173"/>
      <c r="O51" s="173"/>
      <c r="P51" s="173"/>
    </row>
    <row r="52" spans="1:16" ht="31.5" customHeight="1">
      <c r="A52" s="196" t="s">
        <v>2405</v>
      </c>
      <c r="B52" s="191">
        <v>1955</v>
      </c>
      <c r="C52" s="179" t="s">
        <v>2420</v>
      </c>
      <c r="D52" s="179" t="s">
        <v>2422</v>
      </c>
      <c r="E52" s="179" t="s">
        <v>2423</v>
      </c>
      <c r="F52" s="192"/>
      <c r="G52" s="192"/>
      <c r="H52" s="183" t="s">
        <v>3107</v>
      </c>
      <c r="I52" s="179"/>
      <c r="J52" s="179"/>
      <c r="K52" s="179"/>
      <c r="L52" s="173"/>
      <c r="M52" s="173"/>
      <c r="N52" s="173"/>
      <c r="O52" s="173"/>
      <c r="P52" s="173"/>
    </row>
    <row r="53" spans="1:16" ht="31.5" customHeight="1">
      <c r="A53" s="196" t="s">
        <v>2473</v>
      </c>
      <c r="B53" s="199">
        <v>20760</v>
      </c>
      <c r="C53" s="179" t="s">
        <v>2472</v>
      </c>
      <c r="D53" s="179" t="s">
        <v>2475</v>
      </c>
      <c r="E53" s="179" t="s">
        <v>2476</v>
      </c>
      <c r="F53" s="179">
        <v>27.915817499999999</v>
      </c>
      <c r="G53" s="179">
        <v>34.329950500000002</v>
      </c>
      <c r="H53" s="180" t="s">
        <v>3109</v>
      </c>
      <c r="I53" s="179"/>
      <c r="J53" s="179"/>
      <c r="K53" s="179"/>
      <c r="L53" s="173"/>
      <c r="M53" s="173"/>
      <c r="N53" s="173"/>
      <c r="O53" s="173"/>
      <c r="P53" s="173"/>
    </row>
    <row r="54" spans="1:16" ht="42" customHeight="1">
      <c r="A54" s="196" t="s">
        <v>2598</v>
      </c>
      <c r="B54" s="191">
        <v>1956</v>
      </c>
      <c r="C54" s="179" t="s">
        <v>2596</v>
      </c>
      <c r="D54" s="179" t="s">
        <v>2601</v>
      </c>
      <c r="E54" s="179" t="s">
        <v>2602</v>
      </c>
      <c r="F54" s="179">
        <v>31.497378000000001</v>
      </c>
      <c r="G54" s="179">
        <v>34.705165000000001</v>
      </c>
      <c r="H54" s="180" t="s">
        <v>3110</v>
      </c>
      <c r="I54" s="179"/>
      <c r="J54" s="179"/>
      <c r="K54" s="179"/>
      <c r="L54" s="173"/>
      <c r="M54" s="173"/>
      <c r="N54" s="173"/>
      <c r="O54" s="173"/>
      <c r="P54" s="173"/>
    </row>
    <row r="55" spans="1:16" ht="42" customHeight="1">
      <c r="A55" s="190" t="s">
        <v>2615</v>
      </c>
      <c r="B55" s="199">
        <v>20801</v>
      </c>
      <c r="C55" s="179" t="s">
        <v>2596</v>
      </c>
      <c r="D55" s="179" t="s">
        <v>2617</v>
      </c>
      <c r="E55" s="179" t="s">
        <v>131</v>
      </c>
      <c r="F55" s="179">
        <v>30.885983</v>
      </c>
      <c r="G55" s="179">
        <v>34.422569000000003</v>
      </c>
      <c r="H55" s="180" t="s">
        <v>3113</v>
      </c>
      <c r="I55" s="179"/>
      <c r="J55" s="179"/>
      <c r="K55" s="179"/>
      <c r="L55" s="173"/>
      <c r="M55" s="173"/>
      <c r="N55" s="173"/>
      <c r="O55" s="173"/>
      <c r="P55" s="173"/>
    </row>
    <row r="56" spans="1:16" ht="31.5" customHeight="1">
      <c r="A56" s="196" t="s">
        <v>2627</v>
      </c>
      <c r="B56" s="191">
        <v>1957</v>
      </c>
      <c r="C56" s="179" t="s">
        <v>2596</v>
      </c>
      <c r="D56" s="179" t="s">
        <v>2629</v>
      </c>
      <c r="E56" s="179" t="s">
        <v>2630</v>
      </c>
      <c r="F56" s="192"/>
      <c r="G56" s="192"/>
      <c r="H56" s="183" t="s">
        <v>3115</v>
      </c>
      <c r="I56" s="179"/>
      <c r="J56" s="179"/>
      <c r="K56" s="179"/>
      <c r="L56" s="173"/>
      <c r="M56" s="173"/>
      <c r="N56" s="173"/>
      <c r="O56" s="173"/>
      <c r="P56" s="173"/>
    </row>
    <row r="57" spans="1:16" ht="21" customHeight="1">
      <c r="A57" s="202" t="s">
        <v>1832</v>
      </c>
      <c r="B57" s="189" t="s">
        <v>1833</v>
      </c>
      <c r="C57" s="179" t="s">
        <v>2663</v>
      </c>
      <c r="D57" s="179" t="s">
        <v>2666</v>
      </c>
      <c r="E57" s="179" t="s">
        <v>2666</v>
      </c>
      <c r="F57" s="179">
        <v>31.414487000000001</v>
      </c>
      <c r="G57" s="179">
        <v>34.761871999999997</v>
      </c>
      <c r="H57" s="173"/>
      <c r="I57" s="179" t="s">
        <v>2668</v>
      </c>
      <c r="J57" s="179" t="s">
        <v>2671</v>
      </c>
      <c r="K57" s="179" t="s">
        <v>2675</v>
      </c>
      <c r="L57" s="173"/>
      <c r="M57" s="173"/>
      <c r="N57" s="173"/>
      <c r="O57" s="173"/>
      <c r="P57" s="173"/>
    </row>
    <row r="58" spans="1:16" ht="21" customHeight="1">
      <c r="A58" s="202" t="s">
        <v>1832</v>
      </c>
      <c r="B58" s="189" t="s">
        <v>1833</v>
      </c>
      <c r="C58" s="179" t="s">
        <v>2596</v>
      </c>
      <c r="D58" s="179" t="s">
        <v>2680</v>
      </c>
      <c r="E58" s="179" t="s">
        <v>286</v>
      </c>
      <c r="F58" s="179">
        <v>31.424513000000001</v>
      </c>
      <c r="G58" s="179">
        <v>34.492567000000001</v>
      </c>
      <c r="H58" s="173"/>
      <c r="I58" s="179" t="s">
        <v>2632</v>
      </c>
      <c r="J58" s="179" t="s">
        <v>2682</v>
      </c>
      <c r="K58" s="179" t="s">
        <v>2684</v>
      </c>
      <c r="L58" s="173"/>
      <c r="M58" s="173"/>
      <c r="N58" s="173"/>
      <c r="O58" s="173"/>
      <c r="P58" s="173"/>
    </row>
    <row r="59" spans="1:16" ht="21" customHeight="1">
      <c r="A59" s="202" t="s">
        <v>1832</v>
      </c>
      <c r="B59" s="189" t="s">
        <v>1833</v>
      </c>
      <c r="C59" s="179" t="s">
        <v>2596</v>
      </c>
      <c r="D59" s="179" t="s">
        <v>2629</v>
      </c>
      <c r="E59" s="179" t="s">
        <v>2630</v>
      </c>
      <c r="F59" s="192"/>
      <c r="G59" s="192"/>
      <c r="H59" s="173"/>
      <c r="I59" s="179" t="s">
        <v>2632</v>
      </c>
      <c r="J59" s="179" t="s">
        <v>2621</v>
      </c>
      <c r="K59" s="179" t="s">
        <v>2690</v>
      </c>
      <c r="L59" s="173"/>
      <c r="M59" s="173"/>
      <c r="N59" s="173"/>
      <c r="O59" s="173"/>
      <c r="P59" s="173"/>
    </row>
    <row r="60" spans="1:16" ht="42" customHeight="1">
      <c r="A60" s="202" t="s">
        <v>1832</v>
      </c>
      <c r="B60" s="189" t="s">
        <v>1833</v>
      </c>
      <c r="C60" s="179" t="s">
        <v>2596</v>
      </c>
      <c r="D60" s="179" t="s">
        <v>2698</v>
      </c>
      <c r="E60" s="179"/>
      <c r="F60" s="179"/>
      <c r="G60" s="179"/>
      <c r="H60" s="173"/>
      <c r="I60" s="179" t="s">
        <v>2632</v>
      </c>
      <c r="J60" s="179" t="s">
        <v>2621</v>
      </c>
      <c r="K60" s="179" t="s">
        <v>2700</v>
      </c>
      <c r="L60" s="173"/>
      <c r="M60" s="173"/>
      <c r="N60" s="173"/>
      <c r="O60" s="173"/>
      <c r="P60" s="173"/>
    </row>
    <row r="61" spans="1:16" ht="31.5" customHeight="1">
      <c r="A61" s="196" t="s">
        <v>2705</v>
      </c>
      <c r="B61" s="199">
        <v>21802</v>
      </c>
      <c r="C61" s="179" t="s">
        <v>2596</v>
      </c>
      <c r="D61" s="179" t="s">
        <v>2707</v>
      </c>
      <c r="E61" s="179" t="s">
        <v>2708</v>
      </c>
      <c r="F61" s="179">
        <v>35.556465799999998</v>
      </c>
      <c r="G61" s="179">
        <v>-83.386326999999994</v>
      </c>
      <c r="H61" s="180" t="s">
        <v>3120</v>
      </c>
      <c r="I61" s="179"/>
      <c r="J61" s="179"/>
      <c r="K61" s="179"/>
      <c r="L61" s="173"/>
      <c r="M61" s="173"/>
      <c r="N61" s="173"/>
      <c r="O61" s="173"/>
      <c r="P61" s="173"/>
    </row>
    <row r="62" spans="1:16" ht="42" customHeight="1">
      <c r="A62" s="190">
        <v>9.59</v>
      </c>
      <c r="B62" s="191" t="s">
        <v>3121</v>
      </c>
      <c r="C62" s="179" t="s">
        <v>2596</v>
      </c>
      <c r="D62" s="179" t="s">
        <v>2718</v>
      </c>
      <c r="E62" s="179" t="s">
        <v>2719</v>
      </c>
      <c r="F62" s="179">
        <v>31.203908999999999</v>
      </c>
      <c r="G62" s="179">
        <v>34.533358999999997</v>
      </c>
      <c r="H62" s="180" t="s">
        <v>3122</v>
      </c>
      <c r="I62" s="179"/>
      <c r="J62" s="179"/>
      <c r="K62" s="179"/>
      <c r="L62" s="173"/>
      <c r="M62" s="173"/>
      <c r="N62" s="173"/>
      <c r="O62" s="173"/>
      <c r="P62" s="173"/>
    </row>
    <row r="63" spans="1:16" ht="31.5" customHeight="1">
      <c r="A63" s="190">
        <v>11.59</v>
      </c>
      <c r="B63" s="191" t="s">
        <v>3123</v>
      </c>
      <c r="C63" s="179" t="s">
        <v>2596</v>
      </c>
      <c r="D63" s="179" t="s">
        <v>2727</v>
      </c>
      <c r="E63" s="179" t="s">
        <v>2728</v>
      </c>
      <c r="F63" s="179">
        <v>31.717845000000001</v>
      </c>
      <c r="G63" s="179">
        <v>34.634636</v>
      </c>
      <c r="H63" s="180" t="s">
        <v>3124</v>
      </c>
      <c r="I63" s="179"/>
      <c r="J63" s="179"/>
      <c r="K63" s="179"/>
      <c r="L63" s="173"/>
      <c r="M63" s="173"/>
      <c r="N63" s="173"/>
      <c r="O63" s="173"/>
      <c r="P63" s="173"/>
    </row>
    <row r="64" spans="1:16" ht="31.5" customHeight="1">
      <c r="A64" s="190">
        <v>12.59</v>
      </c>
      <c r="B64" s="191" t="s">
        <v>3125</v>
      </c>
      <c r="C64" s="179" t="s">
        <v>2596</v>
      </c>
      <c r="D64" s="179" t="s">
        <v>2738</v>
      </c>
      <c r="E64" s="179" t="s">
        <v>281</v>
      </c>
      <c r="F64" s="179">
        <v>31.668788500000002</v>
      </c>
      <c r="G64" s="179">
        <v>34.574252299999998</v>
      </c>
      <c r="H64" s="180" t="s">
        <v>3126</v>
      </c>
      <c r="I64" s="179"/>
      <c r="J64" s="179"/>
      <c r="K64" s="179"/>
      <c r="L64" s="173"/>
      <c r="M64" s="173"/>
      <c r="N64" s="173"/>
      <c r="O64" s="173"/>
      <c r="P64" s="173"/>
    </row>
    <row r="65" spans="1:16" ht="21" customHeight="1">
      <c r="A65" s="202" t="s">
        <v>1832</v>
      </c>
      <c r="B65" s="189" t="s">
        <v>1833</v>
      </c>
      <c r="C65" s="179" t="s">
        <v>2663</v>
      </c>
      <c r="D65" s="179" t="s">
        <v>2747</v>
      </c>
      <c r="E65" s="182" t="s">
        <v>2748</v>
      </c>
      <c r="F65" s="179">
        <v>42.5240072</v>
      </c>
      <c r="G65" s="179">
        <v>-85.026715899999999</v>
      </c>
      <c r="H65" s="173"/>
      <c r="I65" s="179" t="s">
        <v>2750</v>
      </c>
      <c r="J65" s="179" t="s">
        <v>2752</v>
      </c>
      <c r="K65" s="179" t="s">
        <v>2755</v>
      </c>
      <c r="L65" s="173"/>
      <c r="M65" s="173"/>
      <c r="N65" s="173"/>
      <c r="O65" s="173"/>
      <c r="P65" s="173"/>
    </row>
    <row r="66" spans="1:16" ht="31.5" customHeight="1">
      <c r="A66" s="196" t="s">
        <v>2758</v>
      </c>
      <c r="B66" s="191">
        <v>1960</v>
      </c>
      <c r="C66" s="179" t="s">
        <v>2730</v>
      </c>
      <c r="D66" s="179" t="s">
        <v>2760</v>
      </c>
      <c r="E66" s="179" t="s">
        <v>2761</v>
      </c>
      <c r="F66" s="179">
        <v>31.067204799999999</v>
      </c>
      <c r="G66" s="179">
        <v>34.664419799999997</v>
      </c>
      <c r="H66" s="180" t="s">
        <v>3130</v>
      </c>
      <c r="I66" s="179"/>
      <c r="J66" s="179"/>
      <c r="K66" s="179"/>
      <c r="L66" s="173"/>
      <c r="M66" s="173"/>
      <c r="N66" s="173"/>
      <c r="O66" s="173"/>
      <c r="P66" s="173"/>
    </row>
    <row r="67" spans="1:16" ht="21" customHeight="1">
      <c r="A67" s="202" t="s">
        <v>1832</v>
      </c>
      <c r="B67" s="189" t="s">
        <v>1833</v>
      </c>
      <c r="C67" s="179" t="s">
        <v>2730</v>
      </c>
      <c r="D67" s="179" t="s">
        <v>2777</v>
      </c>
      <c r="E67" s="179" t="s">
        <v>2778</v>
      </c>
      <c r="F67" s="179">
        <v>31.386158999999999</v>
      </c>
      <c r="G67" s="179">
        <v>34.458823000000002</v>
      </c>
      <c r="H67" s="173"/>
      <c r="I67" s="179" t="s">
        <v>2781</v>
      </c>
      <c r="J67" s="179" t="s">
        <v>2783</v>
      </c>
      <c r="K67" s="179" t="s">
        <v>2785</v>
      </c>
      <c r="L67" s="173"/>
      <c r="M67" s="173"/>
      <c r="N67" s="173"/>
      <c r="O67" s="173"/>
      <c r="P67" s="173"/>
    </row>
    <row r="68" spans="1:16" ht="31.5" customHeight="1">
      <c r="A68" s="202" t="s">
        <v>1832</v>
      </c>
      <c r="B68" s="189" t="s">
        <v>1833</v>
      </c>
      <c r="C68" s="179" t="s">
        <v>2730</v>
      </c>
      <c r="D68" s="179" t="s">
        <v>2790</v>
      </c>
      <c r="E68" s="179" t="s">
        <v>2791</v>
      </c>
      <c r="F68" s="179">
        <v>31.488405999999902</v>
      </c>
      <c r="G68" s="179">
        <v>34.708995000000002</v>
      </c>
      <c r="H68" s="173"/>
      <c r="I68" s="179" t="s">
        <v>2750</v>
      </c>
      <c r="J68" s="179" t="s">
        <v>2793</v>
      </c>
      <c r="K68" s="179" t="s">
        <v>2795</v>
      </c>
      <c r="L68" s="173"/>
      <c r="M68" s="173"/>
      <c r="N68" s="173"/>
      <c r="O68" s="173"/>
      <c r="P68" s="173"/>
    </row>
    <row r="69" spans="1:16" ht="31.5" customHeight="1">
      <c r="A69" s="196" t="s">
        <v>2800</v>
      </c>
      <c r="B69" s="191">
        <v>1961</v>
      </c>
      <c r="C69" s="179" t="s">
        <v>2730</v>
      </c>
      <c r="D69" s="179" t="s">
        <v>2803</v>
      </c>
      <c r="E69" s="182" t="s">
        <v>2804</v>
      </c>
      <c r="F69" s="179">
        <v>44.448633699999903</v>
      </c>
      <c r="G69" s="179">
        <v>-71.3382462</v>
      </c>
      <c r="H69" s="180" t="s">
        <v>3133</v>
      </c>
      <c r="I69" s="179"/>
      <c r="J69" s="179"/>
      <c r="K69" s="179"/>
      <c r="L69" s="173"/>
      <c r="M69" s="173"/>
      <c r="N69" s="173"/>
      <c r="O69" s="173"/>
      <c r="P69" s="173"/>
    </row>
    <row r="70" spans="1:16" ht="21" customHeight="1">
      <c r="A70" s="202" t="s">
        <v>1832</v>
      </c>
      <c r="B70" s="189" t="s">
        <v>1833</v>
      </c>
      <c r="C70" s="179" t="s">
        <v>2730</v>
      </c>
      <c r="D70" s="179" t="s">
        <v>2816</v>
      </c>
      <c r="E70" s="179" t="s">
        <v>2817</v>
      </c>
      <c r="F70" s="185">
        <v>30.615279699999999</v>
      </c>
      <c r="G70" s="185">
        <v>34.884486699999997</v>
      </c>
      <c r="H70" s="173"/>
      <c r="I70" s="179" t="s">
        <v>2819</v>
      </c>
      <c r="J70" s="179" t="s">
        <v>2821</v>
      </c>
      <c r="K70" s="179" t="s">
        <v>2824</v>
      </c>
      <c r="L70" s="173"/>
      <c r="M70" s="173"/>
      <c r="N70" s="173"/>
      <c r="O70" s="173"/>
      <c r="P70" s="173"/>
    </row>
    <row r="71" spans="1:16" ht="31.5" customHeight="1">
      <c r="A71" s="190">
        <v>6.61</v>
      </c>
      <c r="B71" s="191" t="s">
        <v>3135</v>
      </c>
      <c r="C71" s="179" t="s">
        <v>2730</v>
      </c>
      <c r="D71" s="179" t="s">
        <v>2830</v>
      </c>
      <c r="E71" s="179" t="s">
        <v>2791</v>
      </c>
      <c r="F71" s="179">
        <v>31.488405999999902</v>
      </c>
      <c r="G71" s="179">
        <v>34.708995000000002</v>
      </c>
      <c r="H71" s="183" t="s">
        <v>3136</v>
      </c>
      <c r="I71" s="179"/>
      <c r="J71" s="179"/>
      <c r="K71" s="179"/>
      <c r="L71" s="173"/>
      <c r="M71" s="173"/>
      <c r="N71" s="173"/>
      <c r="O71" s="173"/>
      <c r="P71" s="173"/>
    </row>
    <row r="72" spans="1:16" ht="31.5" customHeight="1">
      <c r="A72" s="196" t="s">
        <v>2860</v>
      </c>
      <c r="B72" s="191">
        <v>1963</v>
      </c>
      <c r="C72" s="179" t="s">
        <v>2730</v>
      </c>
      <c r="D72" s="179" t="s">
        <v>2862</v>
      </c>
      <c r="E72" s="179" t="s">
        <v>2863</v>
      </c>
      <c r="F72" s="179">
        <v>31.577940000000002</v>
      </c>
      <c r="G72" s="179">
        <v>34.658391000000002</v>
      </c>
      <c r="H72" s="183" t="s">
        <v>3139</v>
      </c>
      <c r="I72" s="179" t="s">
        <v>2865</v>
      </c>
      <c r="J72" s="179" t="s">
        <v>2821</v>
      </c>
      <c r="K72" s="179" t="s">
        <v>2596</v>
      </c>
      <c r="L72" s="173"/>
      <c r="M72" s="173"/>
      <c r="N72" s="173"/>
      <c r="O72" s="173"/>
      <c r="P72" s="173"/>
    </row>
    <row r="73" spans="1:16" ht="31.5" customHeight="1">
      <c r="A73" s="202" t="s">
        <v>1832</v>
      </c>
      <c r="B73" s="189" t="s">
        <v>1833</v>
      </c>
      <c r="C73" s="179" t="s">
        <v>2730</v>
      </c>
      <c r="D73" s="179" t="s">
        <v>2872</v>
      </c>
      <c r="E73" s="182" t="s">
        <v>2873</v>
      </c>
      <c r="F73" s="179">
        <v>-27.3961723</v>
      </c>
      <c r="G73" s="179">
        <v>-56.5168094</v>
      </c>
      <c r="H73" s="173"/>
      <c r="I73" s="179" t="s">
        <v>2819</v>
      </c>
      <c r="J73" s="179" t="s">
        <v>2875</v>
      </c>
      <c r="K73" s="179" t="s">
        <v>2877</v>
      </c>
      <c r="L73" s="173"/>
      <c r="M73" s="173"/>
      <c r="N73" s="173"/>
      <c r="O73" s="173"/>
      <c r="P73" s="173"/>
    </row>
    <row r="74" spans="1:16" ht="31.5" customHeight="1">
      <c r="A74" s="196" t="s">
        <v>2885</v>
      </c>
      <c r="B74" s="191">
        <v>1964</v>
      </c>
      <c r="C74" s="179" t="s">
        <v>2730</v>
      </c>
      <c r="D74" s="179" t="s">
        <v>2887</v>
      </c>
      <c r="E74" s="179" t="s">
        <v>2888</v>
      </c>
      <c r="F74" s="179">
        <v>31.556984999999901</v>
      </c>
      <c r="G74" s="179">
        <v>34.646546999999998</v>
      </c>
      <c r="H74" s="183" t="s">
        <v>3142</v>
      </c>
      <c r="I74" s="179"/>
      <c r="J74" s="179"/>
      <c r="K74" s="179"/>
      <c r="L74" s="173"/>
      <c r="M74" s="173"/>
      <c r="N74" s="173"/>
      <c r="O74" s="173"/>
      <c r="P74" s="173"/>
    </row>
    <row r="75" spans="1:16" ht="31.5" customHeight="1">
      <c r="A75" s="203" t="s">
        <v>3143</v>
      </c>
      <c r="B75" s="204">
        <v>19238</v>
      </c>
      <c r="C75" s="171" t="s">
        <v>3147</v>
      </c>
      <c r="D75" s="171" t="s">
        <v>176</v>
      </c>
      <c r="E75" s="171" t="s">
        <v>3148</v>
      </c>
      <c r="F75" s="171">
        <v>31.768319000000002</v>
      </c>
      <c r="G75" s="171">
        <v>35.213709999999999</v>
      </c>
      <c r="H75" s="171" t="s">
        <v>3149</v>
      </c>
      <c r="I75" s="173"/>
      <c r="J75" s="173"/>
      <c r="K75" s="173"/>
      <c r="L75" s="173"/>
      <c r="M75" s="173"/>
      <c r="N75" s="173"/>
      <c r="O75" s="173"/>
      <c r="P75" s="173"/>
    </row>
    <row r="76" spans="1:16" ht="31.5" customHeight="1">
      <c r="A76" s="205" t="s">
        <v>3150</v>
      </c>
      <c r="B76" s="206" t="s">
        <v>3151</v>
      </c>
      <c r="C76" s="170" t="s">
        <v>3153</v>
      </c>
      <c r="D76" s="170" t="s">
        <v>3154</v>
      </c>
      <c r="E76" s="171"/>
      <c r="F76" s="184"/>
      <c r="G76" s="184"/>
      <c r="H76" s="171" t="s">
        <v>3155</v>
      </c>
      <c r="I76" s="173"/>
      <c r="J76" s="173"/>
      <c r="K76" s="173"/>
      <c r="L76" s="173"/>
      <c r="M76" s="173"/>
      <c r="N76" s="173"/>
      <c r="O76" s="173"/>
      <c r="P76" s="173"/>
    </row>
    <row r="77" spans="1:16" ht="21" customHeight="1">
      <c r="A77" s="205" t="s">
        <v>133</v>
      </c>
      <c r="B77" s="206" t="s">
        <v>137</v>
      </c>
      <c r="C77" s="170" t="s">
        <v>3156</v>
      </c>
      <c r="D77" s="170" t="s">
        <v>3157</v>
      </c>
      <c r="E77" s="171" t="s">
        <v>3158</v>
      </c>
      <c r="F77" s="170">
        <v>32.321038999999999</v>
      </c>
      <c r="G77" s="170">
        <v>34.983429999999998</v>
      </c>
      <c r="H77" s="171" t="s">
        <v>3160</v>
      </c>
      <c r="I77" s="173"/>
      <c r="J77" s="173"/>
      <c r="K77" s="173"/>
      <c r="L77" s="173"/>
      <c r="M77" s="173"/>
      <c r="N77" s="173"/>
      <c r="O77" s="173"/>
      <c r="P77" s="173"/>
    </row>
    <row r="78" spans="1:16" ht="31.5" customHeight="1">
      <c r="A78" s="205" t="s">
        <v>133</v>
      </c>
      <c r="B78" s="206" t="s">
        <v>137</v>
      </c>
      <c r="C78" s="171" t="s">
        <v>3161</v>
      </c>
      <c r="D78" s="170" t="s">
        <v>3162</v>
      </c>
      <c r="E78" s="171"/>
      <c r="F78" s="171">
        <v>31.87989</v>
      </c>
      <c r="G78" s="171">
        <v>35.124096999999999</v>
      </c>
      <c r="H78" s="171" t="s">
        <v>3164</v>
      </c>
      <c r="I78" s="173"/>
      <c r="J78" s="173"/>
      <c r="K78" s="173"/>
      <c r="L78" s="173"/>
      <c r="M78" s="173"/>
      <c r="N78" s="173"/>
      <c r="O78" s="173"/>
      <c r="P78" s="173"/>
    </row>
    <row r="79" spans="1:16" ht="42" customHeight="1">
      <c r="A79" s="207"/>
      <c r="B79" s="208"/>
      <c r="C79" s="173"/>
      <c r="D79" s="170" t="s">
        <v>3165</v>
      </c>
      <c r="E79" s="179"/>
      <c r="F79" s="173"/>
      <c r="G79" s="173"/>
      <c r="H79" s="171" t="s">
        <v>3166</v>
      </c>
      <c r="I79" s="173"/>
      <c r="J79" s="173"/>
      <c r="K79" s="173"/>
      <c r="L79" s="173"/>
      <c r="M79" s="173"/>
      <c r="N79" s="173"/>
      <c r="O79" s="173"/>
      <c r="P79" s="173"/>
    </row>
    <row r="80" spans="1:16" ht="11.25" customHeight="1">
      <c r="A80" s="207"/>
      <c r="B80" s="208"/>
      <c r="C80" s="173"/>
      <c r="D80" s="173"/>
      <c r="E80" s="173"/>
      <c r="F80" s="173"/>
      <c r="G80" s="173"/>
      <c r="H80" s="173"/>
      <c r="I80" s="173"/>
      <c r="J80" s="173"/>
      <c r="K80" s="173"/>
      <c r="L80" s="173"/>
      <c r="M80" s="173"/>
      <c r="N80" s="173"/>
      <c r="O80" s="173"/>
      <c r="P80" s="173"/>
    </row>
    <row r="81" spans="1:16" ht="11.25" customHeight="1">
      <c r="A81" s="207"/>
      <c r="B81" s="208"/>
      <c r="C81" s="173"/>
      <c r="D81" s="173"/>
      <c r="E81" s="173"/>
      <c r="F81" s="173"/>
      <c r="G81" s="173"/>
      <c r="H81" s="173"/>
      <c r="I81" s="173"/>
      <c r="J81" s="173"/>
      <c r="K81" s="173"/>
      <c r="L81" s="173"/>
      <c r="M81" s="173"/>
      <c r="N81" s="173"/>
      <c r="O81" s="173"/>
      <c r="P81" s="173"/>
    </row>
    <row r="82" spans="1:16" ht="11.25" customHeight="1">
      <c r="A82" s="207"/>
      <c r="B82" s="208"/>
      <c r="C82" s="173"/>
      <c r="D82" s="173"/>
      <c r="E82" s="173"/>
      <c r="F82" s="173"/>
      <c r="G82" s="173"/>
      <c r="H82" s="173"/>
      <c r="I82" s="173"/>
      <c r="J82" s="173"/>
      <c r="K82" s="173"/>
      <c r="L82" s="173"/>
      <c r="M82" s="173"/>
      <c r="N82" s="173"/>
      <c r="O82" s="173"/>
      <c r="P82" s="173"/>
    </row>
    <row r="83" spans="1:16" ht="11.25" customHeight="1">
      <c r="A83" s="207"/>
      <c r="B83" s="208"/>
      <c r="C83" s="173"/>
      <c r="D83" s="173"/>
      <c r="E83" s="173"/>
      <c r="F83" s="173"/>
      <c r="G83" s="173"/>
      <c r="H83" s="173"/>
      <c r="I83" s="173"/>
      <c r="J83" s="173"/>
      <c r="K83" s="173"/>
      <c r="L83" s="173"/>
      <c r="M83" s="173"/>
      <c r="N83" s="173"/>
      <c r="O83" s="173"/>
      <c r="P83" s="173"/>
    </row>
    <row r="84" spans="1:16" ht="11.25" customHeight="1">
      <c r="A84" s="207"/>
      <c r="B84" s="208"/>
      <c r="C84" s="173"/>
      <c r="D84" s="173"/>
      <c r="E84" s="173"/>
      <c r="F84" s="173"/>
      <c r="G84" s="173"/>
      <c r="H84" s="173"/>
      <c r="I84" s="173"/>
      <c r="J84" s="173"/>
      <c r="K84" s="173"/>
      <c r="L84" s="173"/>
      <c r="M84" s="173"/>
      <c r="N84" s="173"/>
      <c r="O84" s="173"/>
      <c r="P84" s="173"/>
    </row>
    <row r="85" spans="1:16" ht="11.25" customHeight="1">
      <c r="A85" s="207"/>
      <c r="B85" s="208"/>
      <c r="C85" s="173"/>
      <c r="D85" s="173"/>
      <c r="E85" s="173"/>
      <c r="F85" s="173"/>
      <c r="G85" s="173"/>
      <c r="H85" s="173"/>
      <c r="I85" s="173"/>
      <c r="J85" s="173"/>
      <c r="K85" s="173"/>
      <c r="L85" s="173"/>
      <c r="M85" s="173"/>
      <c r="N85" s="173"/>
      <c r="O85" s="173"/>
      <c r="P85" s="173"/>
    </row>
    <row r="86" spans="1:16" ht="11.25" customHeight="1">
      <c r="A86" s="207"/>
      <c r="B86" s="208"/>
      <c r="C86" s="173"/>
      <c r="D86" s="173"/>
      <c r="E86" s="173"/>
      <c r="F86" s="173"/>
      <c r="G86" s="173"/>
      <c r="H86" s="173"/>
      <c r="I86" s="173"/>
      <c r="J86" s="173"/>
      <c r="K86" s="173"/>
      <c r="L86" s="173"/>
      <c r="M86" s="173"/>
      <c r="N86" s="173"/>
      <c r="O86" s="173"/>
      <c r="P86" s="173"/>
    </row>
    <row r="87" spans="1:16" ht="11.25" customHeight="1">
      <c r="A87" s="207"/>
      <c r="B87" s="208"/>
      <c r="C87" s="173"/>
      <c r="D87" s="173"/>
      <c r="E87" s="173"/>
      <c r="F87" s="173"/>
      <c r="G87" s="173"/>
      <c r="H87" s="173"/>
      <c r="I87" s="173"/>
      <c r="J87" s="173"/>
      <c r="K87" s="173"/>
      <c r="L87" s="173"/>
      <c r="M87" s="173"/>
      <c r="N87" s="173"/>
      <c r="O87" s="173"/>
      <c r="P87" s="173"/>
    </row>
    <row r="88" spans="1:16" ht="11.25" customHeight="1">
      <c r="A88" s="207"/>
      <c r="B88" s="208"/>
      <c r="C88" s="173"/>
      <c r="D88" s="173"/>
      <c r="E88" s="173"/>
      <c r="F88" s="173"/>
      <c r="G88" s="173"/>
      <c r="H88" s="173"/>
      <c r="I88" s="173"/>
      <c r="J88" s="173"/>
      <c r="K88" s="173"/>
      <c r="L88" s="173"/>
      <c r="M88" s="173"/>
      <c r="N88" s="173"/>
      <c r="O88" s="173"/>
      <c r="P88" s="173"/>
    </row>
    <row r="89" spans="1:16" ht="11.25" customHeight="1">
      <c r="A89" s="207"/>
      <c r="B89" s="208"/>
      <c r="C89" s="173"/>
      <c r="D89" s="173"/>
      <c r="E89" s="173"/>
      <c r="F89" s="173"/>
      <c r="G89" s="173"/>
      <c r="H89" s="173"/>
      <c r="I89" s="173"/>
      <c r="J89" s="173"/>
      <c r="K89" s="173"/>
      <c r="L89" s="173"/>
      <c r="M89" s="173"/>
      <c r="N89" s="173"/>
      <c r="O89" s="173"/>
      <c r="P89" s="173"/>
    </row>
    <row r="90" spans="1:16" ht="11.25" customHeight="1">
      <c r="A90" s="207"/>
      <c r="B90" s="208"/>
      <c r="C90" s="173"/>
      <c r="D90" s="173"/>
      <c r="E90" s="173"/>
      <c r="F90" s="173"/>
      <c r="G90" s="173"/>
      <c r="H90" s="173"/>
      <c r="I90" s="173"/>
      <c r="J90" s="173"/>
      <c r="K90" s="173"/>
      <c r="L90" s="173"/>
      <c r="M90" s="173"/>
      <c r="N90" s="173"/>
      <c r="O90" s="173"/>
      <c r="P90" s="173"/>
    </row>
    <row r="91" spans="1:16" ht="11.25" customHeight="1">
      <c r="A91" s="207"/>
      <c r="B91" s="208"/>
      <c r="C91" s="173"/>
      <c r="D91" s="173"/>
      <c r="E91" s="173"/>
      <c r="F91" s="173"/>
      <c r="G91" s="173"/>
      <c r="H91" s="173"/>
      <c r="I91" s="173"/>
      <c r="J91" s="173"/>
      <c r="K91" s="173"/>
      <c r="L91" s="173"/>
      <c r="M91" s="173"/>
      <c r="N91" s="173"/>
      <c r="O91" s="173"/>
      <c r="P91" s="173"/>
    </row>
    <row r="92" spans="1:16" ht="11.25" customHeight="1">
      <c r="A92" s="207"/>
      <c r="B92" s="208"/>
      <c r="C92" s="173"/>
      <c r="D92" s="173"/>
      <c r="E92" s="173"/>
      <c r="F92" s="173"/>
      <c r="G92" s="173"/>
      <c r="H92" s="173"/>
      <c r="I92" s="173"/>
      <c r="J92" s="173"/>
      <c r="K92" s="173"/>
      <c r="L92" s="173"/>
      <c r="M92" s="173"/>
      <c r="N92" s="173"/>
      <c r="O92" s="173"/>
      <c r="P92" s="173"/>
    </row>
    <row r="93" spans="1:16" ht="11.25" customHeight="1">
      <c r="A93" s="207"/>
      <c r="B93" s="208"/>
      <c r="C93" s="173"/>
      <c r="D93" s="173"/>
      <c r="E93" s="173"/>
      <c r="F93" s="173"/>
      <c r="G93" s="173"/>
      <c r="H93" s="173"/>
      <c r="I93" s="173"/>
      <c r="J93" s="173"/>
      <c r="K93" s="173"/>
      <c r="L93" s="173"/>
      <c r="M93" s="173"/>
      <c r="N93" s="173"/>
      <c r="O93" s="173"/>
      <c r="P93" s="173"/>
    </row>
    <row r="94" spans="1:16" ht="11.25" customHeight="1">
      <c r="A94" s="207"/>
      <c r="B94" s="208"/>
      <c r="C94" s="173"/>
      <c r="D94" s="173"/>
      <c r="E94" s="173"/>
      <c r="F94" s="173"/>
      <c r="G94" s="173"/>
      <c r="H94" s="173"/>
      <c r="I94" s="173"/>
      <c r="J94" s="173"/>
      <c r="K94" s="173"/>
      <c r="L94" s="173"/>
      <c r="M94" s="173"/>
      <c r="N94" s="173"/>
      <c r="O94" s="173"/>
      <c r="P94" s="173"/>
    </row>
    <row r="95" spans="1:16" ht="11.25" customHeight="1">
      <c r="A95" s="207"/>
      <c r="B95" s="208"/>
      <c r="C95" s="173"/>
      <c r="D95" s="173"/>
      <c r="E95" s="173"/>
      <c r="F95" s="173"/>
      <c r="G95" s="173"/>
      <c r="H95" s="173"/>
      <c r="I95" s="173"/>
      <c r="J95" s="173"/>
      <c r="K95" s="173"/>
      <c r="L95" s="173"/>
      <c r="M95" s="173"/>
      <c r="N95" s="173"/>
      <c r="O95" s="173"/>
      <c r="P95" s="173"/>
    </row>
    <row r="96" spans="1:16" ht="11.25" customHeight="1">
      <c r="A96" s="207"/>
      <c r="B96" s="208"/>
      <c r="C96" s="173"/>
      <c r="D96" s="173"/>
      <c r="E96" s="173"/>
      <c r="F96" s="173"/>
      <c r="G96" s="173"/>
      <c r="H96" s="173"/>
      <c r="I96" s="173"/>
      <c r="J96" s="173"/>
      <c r="K96" s="173"/>
      <c r="L96" s="173"/>
      <c r="M96" s="173"/>
      <c r="N96" s="173"/>
      <c r="O96" s="173"/>
      <c r="P96" s="173"/>
    </row>
    <row r="97" spans="1:16" ht="11.25" customHeight="1">
      <c r="A97" s="207"/>
      <c r="B97" s="208"/>
      <c r="C97" s="173"/>
      <c r="D97" s="173"/>
      <c r="E97" s="173"/>
      <c r="F97" s="173"/>
      <c r="G97" s="173"/>
      <c r="H97" s="173"/>
      <c r="I97" s="173"/>
      <c r="J97" s="173"/>
      <c r="K97" s="173"/>
      <c r="L97" s="173"/>
      <c r="M97" s="173"/>
      <c r="N97" s="173"/>
      <c r="O97" s="173"/>
      <c r="P97" s="173"/>
    </row>
    <row r="98" spans="1:16" ht="11.25" customHeight="1">
      <c r="A98" s="207"/>
      <c r="B98" s="208"/>
      <c r="C98" s="173"/>
      <c r="D98" s="173"/>
      <c r="E98" s="173"/>
      <c r="F98" s="173"/>
      <c r="G98" s="173"/>
      <c r="H98" s="173"/>
      <c r="I98" s="173"/>
      <c r="J98" s="173"/>
      <c r="K98" s="173"/>
      <c r="L98" s="173"/>
      <c r="M98" s="173"/>
      <c r="N98" s="173"/>
      <c r="O98" s="173"/>
      <c r="P98" s="173"/>
    </row>
    <row r="99" spans="1:16" ht="11.25" customHeight="1">
      <c r="A99" s="207"/>
      <c r="B99" s="208"/>
      <c r="C99" s="173"/>
      <c r="D99" s="173"/>
      <c r="E99" s="173"/>
      <c r="F99" s="173"/>
      <c r="G99" s="173"/>
      <c r="H99" s="173"/>
      <c r="I99" s="173"/>
      <c r="J99" s="173"/>
      <c r="K99" s="173"/>
      <c r="L99" s="173"/>
      <c r="M99" s="173"/>
      <c r="N99" s="173"/>
      <c r="O99" s="173"/>
      <c r="P99" s="173"/>
    </row>
    <row r="100" spans="1:16" ht="11.25" customHeight="1">
      <c r="A100" s="207"/>
      <c r="B100" s="208"/>
      <c r="C100" s="173"/>
      <c r="D100" s="173"/>
      <c r="E100" s="173"/>
      <c r="F100" s="173"/>
      <c r="G100" s="173"/>
      <c r="H100" s="173"/>
      <c r="I100" s="173"/>
      <c r="J100" s="173"/>
      <c r="K100" s="173"/>
      <c r="L100" s="173"/>
      <c r="M100" s="173"/>
      <c r="N100" s="173"/>
      <c r="O100" s="173"/>
      <c r="P100" s="173"/>
    </row>
    <row r="101" spans="1:16" ht="11.25" customHeight="1">
      <c r="A101" s="207"/>
      <c r="B101" s="208"/>
      <c r="C101" s="173"/>
      <c r="D101" s="173"/>
      <c r="E101" s="173"/>
      <c r="F101" s="173"/>
      <c r="G101" s="173"/>
      <c r="H101" s="173"/>
      <c r="I101" s="173"/>
      <c r="J101" s="173"/>
      <c r="K101" s="173"/>
      <c r="L101" s="173"/>
      <c r="M101" s="173"/>
      <c r="N101" s="173"/>
      <c r="O101" s="173"/>
      <c r="P101" s="173"/>
    </row>
    <row r="102" spans="1:16" ht="11.25" customHeight="1">
      <c r="A102" s="207"/>
      <c r="B102" s="208"/>
      <c r="C102" s="173"/>
      <c r="D102" s="173"/>
      <c r="E102" s="173"/>
      <c r="F102" s="173"/>
      <c r="G102" s="173"/>
      <c r="H102" s="173"/>
      <c r="I102" s="173"/>
      <c r="J102" s="173"/>
      <c r="K102" s="173"/>
      <c r="L102" s="173"/>
      <c r="M102" s="173"/>
      <c r="N102" s="173"/>
      <c r="O102" s="173"/>
      <c r="P102" s="173"/>
    </row>
    <row r="103" spans="1:16" ht="11.25" customHeight="1">
      <c r="A103" s="207"/>
      <c r="B103" s="208"/>
      <c r="C103" s="173"/>
      <c r="D103" s="173"/>
      <c r="E103" s="173"/>
      <c r="F103" s="173"/>
      <c r="G103" s="173"/>
      <c r="H103" s="173"/>
      <c r="I103" s="173"/>
      <c r="J103" s="173"/>
      <c r="K103" s="173"/>
      <c r="L103" s="173"/>
      <c r="M103" s="173"/>
      <c r="N103" s="173"/>
      <c r="O103" s="173"/>
      <c r="P103" s="173"/>
    </row>
    <row r="104" spans="1:16" ht="11.25" customHeight="1">
      <c r="A104" s="207"/>
      <c r="B104" s="208"/>
      <c r="C104" s="173"/>
      <c r="D104" s="173"/>
      <c r="E104" s="173"/>
      <c r="F104" s="173"/>
      <c r="G104" s="173"/>
      <c r="H104" s="173"/>
      <c r="I104" s="173"/>
      <c r="J104" s="173"/>
      <c r="K104" s="173"/>
      <c r="L104" s="173"/>
      <c r="M104" s="173"/>
      <c r="N104" s="173"/>
      <c r="O104" s="173"/>
      <c r="P104" s="173"/>
    </row>
    <row r="105" spans="1:16" ht="11.25" customHeight="1">
      <c r="A105" s="207"/>
      <c r="B105" s="208"/>
      <c r="C105" s="173"/>
      <c r="D105" s="173"/>
      <c r="E105" s="173"/>
      <c r="F105" s="173"/>
      <c r="G105" s="173"/>
      <c r="H105" s="173"/>
      <c r="I105" s="173"/>
      <c r="J105" s="173"/>
      <c r="K105" s="173"/>
      <c r="L105" s="173"/>
      <c r="M105" s="173"/>
      <c r="N105" s="173"/>
      <c r="O105" s="173"/>
      <c r="P105" s="173"/>
    </row>
    <row r="106" spans="1:16" ht="11.25" customHeight="1">
      <c r="A106" s="207"/>
      <c r="B106" s="208"/>
      <c r="C106" s="173"/>
      <c r="D106" s="173"/>
      <c r="E106" s="173"/>
      <c r="F106" s="173"/>
      <c r="G106" s="173"/>
      <c r="H106" s="173"/>
      <c r="I106" s="173"/>
      <c r="J106" s="173"/>
      <c r="K106" s="173"/>
      <c r="L106" s="173"/>
      <c r="M106" s="173"/>
      <c r="N106" s="173"/>
      <c r="O106" s="173"/>
      <c r="P106" s="173"/>
    </row>
    <row r="107" spans="1:16" ht="11.25" customHeight="1">
      <c r="A107" s="207"/>
      <c r="B107" s="208"/>
      <c r="C107" s="173"/>
      <c r="D107" s="173"/>
      <c r="E107" s="173"/>
      <c r="F107" s="173"/>
      <c r="G107" s="173"/>
      <c r="H107" s="173"/>
      <c r="I107" s="173"/>
      <c r="J107" s="173"/>
      <c r="K107" s="173"/>
      <c r="L107" s="173"/>
      <c r="M107" s="173"/>
      <c r="N107" s="173"/>
      <c r="O107" s="173"/>
      <c r="P107" s="173"/>
    </row>
    <row r="108" spans="1:16" ht="11.25" customHeight="1">
      <c r="A108" s="207"/>
      <c r="B108" s="208"/>
      <c r="C108" s="173"/>
      <c r="D108" s="173"/>
      <c r="E108" s="173"/>
      <c r="F108" s="173"/>
      <c r="G108" s="173"/>
      <c r="H108" s="173"/>
      <c r="I108" s="173"/>
      <c r="J108" s="173"/>
      <c r="K108" s="173"/>
      <c r="L108" s="173"/>
      <c r="M108" s="173"/>
      <c r="N108" s="173"/>
      <c r="O108" s="173"/>
      <c r="P108" s="173"/>
    </row>
    <row r="109" spans="1:16" ht="11.25" customHeight="1">
      <c r="A109" s="207"/>
      <c r="B109" s="208"/>
      <c r="C109" s="173"/>
      <c r="D109" s="173"/>
      <c r="E109" s="173"/>
      <c r="F109" s="173"/>
      <c r="G109" s="173"/>
      <c r="H109" s="173"/>
      <c r="I109" s="173"/>
      <c r="J109" s="173"/>
      <c r="K109" s="173"/>
      <c r="L109" s="173"/>
      <c r="M109" s="173"/>
      <c r="N109" s="173"/>
      <c r="O109" s="173"/>
      <c r="P109" s="173"/>
    </row>
    <row r="110" spans="1:16" ht="11.25" customHeight="1">
      <c r="A110" s="207"/>
      <c r="B110" s="208"/>
      <c r="C110" s="173"/>
      <c r="D110" s="173"/>
      <c r="E110" s="173"/>
      <c r="F110" s="173"/>
      <c r="G110" s="173"/>
      <c r="H110" s="173"/>
      <c r="I110" s="173"/>
      <c r="J110" s="173"/>
      <c r="K110" s="173"/>
      <c r="L110" s="173"/>
      <c r="M110" s="173"/>
      <c r="N110" s="173"/>
      <c r="O110" s="173"/>
      <c r="P110" s="173"/>
    </row>
    <row r="111" spans="1:16" ht="11.25" customHeight="1">
      <c r="A111" s="207"/>
      <c r="B111" s="208"/>
      <c r="C111" s="173"/>
      <c r="D111" s="173"/>
      <c r="E111" s="173"/>
      <c r="F111" s="173"/>
      <c r="G111" s="173"/>
      <c r="H111" s="173"/>
      <c r="I111" s="173"/>
      <c r="J111" s="173"/>
      <c r="K111" s="173"/>
      <c r="L111" s="173"/>
      <c r="M111" s="173"/>
      <c r="N111" s="173"/>
      <c r="O111" s="173"/>
      <c r="P111" s="173"/>
    </row>
    <row r="112" spans="1:16" ht="11.25" customHeight="1">
      <c r="A112" s="207"/>
      <c r="B112" s="208"/>
      <c r="C112" s="173"/>
      <c r="D112" s="173"/>
      <c r="E112" s="173"/>
      <c r="F112" s="173"/>
      <c r="G112" s="173"/>
      <c r="H112" s="173"/>
      <c r="I112" s="173"/>
      <c r="J112" s="173"/>
      <c r="K112" s="173"/>
      <c r="L112" s="173"/>
      <c r="M112" s="173"/>
      <c r="N112" s="173"/>
      <c r="O112" s="173"/>
      <c r="P112" s="173"/>
    </row>
    <row r="113" spans="1:16" ht="11.25" customHeight="1">
      <c r="A113" s="207"/>
      <c r="B113" s="208"/>
      <c r="C113" s="173"/>
      <c r="D113" s="173"/>
      <c r="E113" s="173"/>
      <c r="F113" s="173"/>
      <c r="G113" s="173"/>
      <c r="H113" s="173"/>
      <c r="I113" s="173"/>
      <c r="J113" s="173"/>
      <c r="K113" s="173"/>
      <c r="L113" s="173"/>
      <c r="M113" s="173"/>
      <c r="N113" s="173"/>
      <c r="O113" s="173"/>
      <c r="P113" s="173"/>
    </row>
    <row r="114" spans="1:16" ht="11.25" customHeight="1">
      <c r="A114" s="207"/>
      <c r="B114" s="208"/>
      <c r="C114" s="173"/>
      <c r="D114" s="173"/>
      <c r="E114" s="173"/>
      <c r="F114" s="173"/>
      <c r="G114" s="173"/>
      <c r="H114" s="173"/>
      <c r="I114" s="173"/>
      <c r="J114" s="173"/>
      <c r="K114" s="173"/>
      <c r="L114" s="173"/>
      <c r="M114" s="173"/>
      <c r="N114" s="173"/>
      <c r="O114" s="173"/>
      <c r="P114" s="173"/>
    </row>
    <row r="115" spans="1:16" ht="11.25" customHeight="1">
      <c r="A115" s="207"/>
      <c r="B115" s="208"/>
      <c r="C115" s="173"/>
      <c r="D115" s="173"/>
      <c r="E115" s="173"/>
      <c r="F115" s="173"/>
      <c r="G115" s="173"/>
      <c r="H115" s="173"/>
      <c r="I115" s="173"/>
      <c r="J115" s="173"/>
      <c r="K115" s="173"/>
      <c r="L115" s="173"/>
      <c r="M115" s="173"/>
      <c r="N115" s="173"/>
      <c r="O115" s="173"/>
      <c r="P115" s="173"/>
    </row>
    <row r="116" spans="1:16" ht="11.25" customHeight="1">
      <c r="A116" s="207"/>
      <c r="B116" s="208"/>
      <c r="C116" s="173"/>
      <c r="D116" s="173"/>
      <c r="E116" s="173"/>
      <c r="F116" s="173"/>
      <c r="G116" s="173"/>
      <c r="H116" s="173"/>
      <c r="I116" s="173"/>
      <c r="J116" s="173"/>
      <c r="K116" s="173"/>
      <c r="L116" s="173"/>
      <c r="M116" s="173"/>
      <c r="N116" s="173"/>
      <c r="O116" s="173"/>
      <c r="P116" s="173"/>
    </row>
    <row r="117" spans="1:16" ht="11.25" customHeight="1">
      <c r="A117" s="207"/>
      <c r="B117" s="208"/>
      <c r="C117" s="173"/>
      <c r="D117" s="173"/>
      <c r="E117" s="173"/>
      <c r="F117" s="173"/>
      <c r="G117" s="173"/>
      <c r="H117" s="173"/>
      <c r="I117" s="173"/>
      <c r="J117" s="173"/>
      <c r="K117" s="173"/>
      <c r="L117" s="173"/>
      <c r="M117" s="173"/>
      <c r="N117" s="173"/>
      <c r="O117" s="173"/>
      <c r="P117" s="173"/>
    </row>
    <row r="118" spans="1:16" ht="11.25" customHeight="1">
      <c r="A118" s="207"/>
      <c r="B118" s="208"/>
      <c r="C118" s="173"/>
      <c r="D118" s="173"/>
      <c r="E118" s="173"/>
      <c r="F118" s="173"/>
      <c r="G118" s="173"/>
      <c r="H118" s="173"/>
      <c r="I118" s="173"/>
      <c r="J118" s="173"/>
      <c r="K118" s="173"/>
      <c r="L118" s="173"/>
      <c r="M118" s="173"/>
      <c r="N118" s="173"/>
      <c r="O118" s="173"/>
      <c r="P118" s="173"/>
    </row>
    <row r="119" spans="1:16" ht="11.25" customHeight="1">
      <c r="A119" s="207"/>
      <c r="B119" s="208"/>
      <c r="C119" s="173"/>
      <c r="D119" s="173"/>
      <c r="E119" s="173"/>
      <c r="F119" s="173"/>
      <c r="G119" s="173"/>
      <c r="H119" s="173"/>
      <c r="I119" s="173"/>
      <c r="J119" s="173"/>
      <c r="K119" s="173"/>
      <c r="L119" s="173"/>
      <c r="M119" s="173"/>
      <c r="N119" s="173"/>
      <c r="O119" s="173"/>
      <c r="P119" s="173"/>
    </row>
    <row r="120" spans="1:16" ht="11.25" customHeight="1">
      <c r="A120" s="207"/>
      <c r="B120" s="208"/>
      <c r="C120" s="173"/>
      <c r="D120" s="173"/>
      <c r="E120" s="173"/>
      <c r="F120" s="173"/>
      <c r="G120" s="173"/>
      <c r="H120" s="173"/>
      <c r="I120" s="173"/>
      <c r="J120" s="173"/>
      <c r="K120" s="173"/>
      <c r="L120" s="173"/>
      <c r="M120" s="173"/>
      <c r="N120" s="173"/>
      <c r="O120" s="173"/>
      <c r="P120" s="173"/>
    </row>
    <row r="121" spans="1:16" ht="11.25" customHeight="1">
      <c r="A121" s="207"/>
      <c r="B121" s="208"/>
      <c r="C121" s="173"/>
      <c r="D121" s="173"/>
      <c r="E121" s="173"/>
      <c r="F121" s="173"/>
      <c r="G121" s="173"/>
      <c r="H121" s="173"/>
      <c r="I121" s="173"/>
      <c r="J121" s="173"/>
      <c r="K121" s="173"/>
      <c r="L121" s="173"/>
      <c r="M121" s="173"/>
      <c r="N121" s="173"/>
      <c r="O121" s="173"/>
      <c r="P121" s="173"/>
    </row>
    <row r="122" spans="1:16" ht="11.25" customHeight="1">
      <c r="A122" s="207"/>
      <c r="B122" s="208"/>
      <c r="C122" s="173"/>
      <c r="D122" s="173"/>
      <c r="E122" s="173"/>
      <c r="F122" s="173"/>
      <c r="G122" s="173"/>
      <c r="H122" s="173"/>
      <c r="I122" s="173"/>
      <c r="J122" s="173"/>
      <c r="K122" s="173"/>
      <c r="L122" s="173"/>
      <c r="M122" s="173"/>
      <c r="N122" s="173"/>
      <c r="O122" s="173"/>
      <c r="P122" s="173"/>
    </row>
    <row r="123" spans="1:16" ht="11.25" customHeight="1">
      <c r="A123" s="207"/>
      <c r="B123" s="208"/>
      <c r="C123" s="173"/>
      <c r="D123" s="173"/>
      <c r="E123" s="173"/>
      <c r="F123" s="173"/>
      <c r="G123" s="173"/>
      <c r="H123" s="173"/>
      <c r="I123" s="173"/>
      <c r="J123" s="173"/>
      <c r="K123" s="173"/>
      <c r="L123" s="173"/>
      <c r="M123" s="173"/>
      <c r="N123" s="173"/>
      <c r="O123" s="173"/>
      <c r="P123" s="173"/>
    </row>
    <row r="124" spans="1:16" ht="11.25" customHeight="1">
      <c r="A124" s="207"/>
      <c r="B124" s="208"/>
      <c r="C124" s="173"/>
      <c r="D124" s="173"/>
      <c r="E124" s="173"/>
      <c r="F124" s="173"/>
      <c r="G124" s="173"/>
      <c r="H124" s="173"/>
      <c r="I124" s="173"/>
      <c r="J124" s="173"/>
      <c r="K124" s="173"/>
      <c r="L124" s="173"/>
      <c r="M124" s="173"/>
      <c r="N124" s="173"/>
      <c r="O124" s="173"/>
      <c r="P124" s="173"/>
    </row>
    <row r="125" spans="1:16" ht="11.25" customHeight="1">
      <c r="A125" s="207"/>
      <c r="B125" s="208"/>
      <c r="C125" s="173"/>
      <c r="D125" s="173"/>
      <c r="E125" s="173"/>
      <c r="F125" s="173"/>
      <c r="G125" s="173"/>
      <c r="H125" s="173"/>
      <c r="I125" s="173"/>
      <c r="J125" s="173"/>
      <c r="K125" s="173"/>
      <c r="L125" s="173"/>
      <c r="M125" s="173"/>
      <c r="N125" s="173"/>
      <c r="O125" s="173"/>
      <c r="P125" s="173"/>
    </row>
    <row r="126" spans="1:16" ht="11.25" customHeight="1">
      <c r="A126" s="207"/>
      <c r="B126" s="208"/>
      <c r="C126" s="173"/>
      <c r="D126" s="173"/>
      <c r="E126" s="173"/>
      <c r="F126" s="173"/>
      <c r="G126" s="173"/>
      <c r="H126" s="173"/>
      <c r="I126" s="173"/>
      <c r="J126" s="173"/>
      <c r="K126" s="173"/>
      <c r="L126" s="173"/>
      <c r="M126" s="173"/>
      <c r="N126" s="173"/>
      <c r="O126" s="173"/>
      <c r="P126" s="173"/>
    </row>
    <row r="127" spans="1:16" ht="11.25" customHeight="1">
      <c r="A127" s="207"/>
      <c r="B127" s="208"/>
      <c r="C127" s="173"/>
      <c r="D127" s="173"/>
      <c r="E127" s="173"/>
      <c r="F127" s="173"/>
      <c r="G127" s="173"/>
      <c r="H127" s="173"/>
      <c r="I127" s="173"/>
      <c r="J127" s="173"/>
      <c r="K127" s="173"/>
      <c r="L127" s="173"/>
      <c r="M127" s="173"/>
      <c r="N127" s="173"/>
      <c r="O127" s="173"/>
      <c r="P127" s="173"/>
    </row>
    <row r="128" spans="1:16" ht="11.25" customHeight="1">
      <c r="A128" s="207"/>
      <c r="B128" s="208"/>
      <c r="C128" s="173"/>
      <c r="D128" s="173"/>
      <c r="E128" s="173"/>
      <c r="F128" s="173"/>
      <c r="G128" s="173"/>
      <c r="H128" s="173"/>
      <c r="I128" s="173"/>
      <c r="J128" s="173"/>
      <c r="K128" s="173"/>
      <c r="L128" s="173"/>
      <c r="M128" s="173"/>
      <c r="N128" s="173"/>
      <c r="O128" s="173"/>
      <c r="P128" s="173"/>
    </row>
    <row r="129" spans="1:16" ht="11.25" customHeight="1">
      <c r="A129" s="207"/>
      <c r="B129" s="208"/>
      <c r="C129" s="173"/>
      <c r="D129" s="173"/>
      <c r="E129" s="173"/>
      <c r="F129" s="173"/>
      <c r="G129" s="173"/>
      <c r="H129" s="173"/>
      <c r="I129" s="173"/>
      <c r="J129" s="173"/>
      <c r="K129" s="173"/>
      <c r="L129" s="173"/>
      <c r="M129" s="173"/>
      <c r="N129" s="173"/>
      <c r="O129" s="173"/>
      <c r="P129" s="173"/>
    </row>
    <row r="130" spans="1:16" ht="11.25" customHeight="1">
      <c r="A130" s="207"/>
      <c r="B130" s="208"/>
      <c r="C130" s="173"/>
      <c r="D130" s="173"/>
      <c r="E130" s="173"/>
      <c r="F130" s="173"/>
      <c r="G130" s="173"/>
      <c r="H130" s="173"/>
      <c r="I130" s="173"/>
      <c r="J130" s="173"/>
      <c r="K130" s="173"/>
      <c r="L130" s="173"/>
      <c r="M130" s="173"/>
      <c r="N130" s="173"/>
      <c r="O130" s="173"/>
      <c r="P130" s="173"/>
    </row>
    <row r="131" spans="1:16" ht="11.25" customHeight="1">
      <c r="A131" s="207"/>
      <c r="B131" s="208"/>
      <c r="C131" s="173"/>
      <c r="D131" s="173"/>
      <c r="E131" s="173"/>
      <c r="F131" s="173"/>
      <c r="G131" s="173"/>
      <c r="H131" s="173"/>
      <c r="I131" s="173"/>
      <c r="J131" s="173"/>
      <c r="K131" s="173"/>
      <c r="L131" s="173"/>
      <c r="M131" s="173"/>
      <c r="N131" s="173"/>
      <c r="O131" s="173"/>
      <c r="P131" s="173"/>
    </row>
    <row r="132" spans="1:16" ht="11.25" customHeight="1">
      <c r="A132" s="207"/>
      <c r="B132" s="208"/>
      <c r="C132" s="173"/>
      <c r="D132" s="173"/>
      <c r="E132" s="173"/>
      <c r="F132" s="173"/>
      <c r="G132" s="173"/>
      <c r="H132" s="173"/>
      <c r="I132" s="173"/>
      <c r="J132" s="173"/>
      <c r="K132" s="173"/>
      <c r="L132" s="173"/>
      <c r="M132" s="173"/>
      <c r="N132" s="173"/>
      <c r="O132" s="173"/>
      <c r="P132" s="173"/>
    </row>
    <row r="133" spans="1:16" ht="11.25" customHeight="1">
      <c r="A133" s="207"/>
      <c r="B133" s="208"/>
      <c r="C133" s="173"/>
      <c r="D133" s="173"/>
      <c r="E133" s="173"/>
      <c r="F133" s="173"/>
      <c r="G133" s="173"/>
      <c r="H133" s="173"/>
      <c r="I133" s="173"/>
      <c r="J133" s="173"/>
      <c r="K133" s="173"/>
      <c r="L133" s="173"/>
      <c r="M133" s="173"/>
      <c r="N133" s="173"/>
      <c r="O133" s="173"/>
      <c r="P133" s="173"/>
    </row>
    <row r="134" spans="1:16" ht="11.25" customHeight="1">
      <c r="A134" s="207"/>
      <c r="B134" s="208"/>
      <c r="C134" s="173"/>
      <c r="D134" s="173"/>
      <c r="E134" s="173"/>
      <c r="F134" s="173"/>
      <c r="G134" s="173"/>
      <c r="H134" s="173"/>
      <c r="I134" s="173"/>
      <c r="J134" s="173"/>
      <c r="K134" s="173"/>
      <c r="L134" s="173"/>
      <c r="M134" s="173"/>
      <c r="N134" s="173"/>
      <c r="O134" s="173"/>
      <c r="P134" s="173"/>
    </row>
    <row r="135" spans="1:16" ht="11.25" customHeight="1">
      <c r="A135" s="207"/>
      <c r="B135" s="208"/>
      <c r="C135" s="173"/>
      <c r="D135" s="173"/>
      <c r="E135" s="173"/>
      <c r="F135" s="173"/>
      <c r="G135" s="173"/>
      <c r="H135" s="173"/>
      <c r="I135" s="173"/>
      <c r="J135" s="173"/>
      <c r="K135" s="173"/>
      <c r="L135" s="173"/>
      <c r="M135" s="173"/>
      <c r="N135" s="173"/>
      <c r="O135" s="173"/>
      <c r="P135" s="173"/>
    </row>
    <row r="136" spans="1:16" ht="11.25" customHeight="1">
      <c r="A136" s="207"/>
      <c r="B136" s="208"/>
      <c r="C136" s="173"/>
      <c r="D136" s="173"/>
      <c r="E136" s="173"/>
      <c r="F136" s="173"/>
      <c r="G136" s="173"/>
      <c r="H136" s="173"/>
      <c r="I136" s="173"/>
      <c r="J136" s="173"/>
      <c r="K136" s="173"/>
      <c r="L136" s="173"/>
      <c r="M136" s="173"/>
      <c r="N136" s="173"/>
      <c r="O136" s="173"/>
      <c r="P136" s="173"/>
    </row>
    <row r="137" spans="1:16" ht="11.25" customHeight="1">
      <c r="A137" s="207"/>
      <c r="B137" s="208"/>
      <c r="C137" s="173"/>
      <c r="D137" s="173"/>
      <c r="E137" s="173"/>
      <c r="F137" s="173"/>
      <c r="G137" s="173"/>
      <c r="H137" s="173"/>
      <c r="I137" s="173"/>
      <c r="J137" s="173"/>
      <c r="K137" s="173"/>
      <c r="L137" s="173"/>
      <c r="M137" s="173"/>
      <c r="N137" s="173"/>
      <c r="O137" s="173"/>
      <c r="P137" s="173"/>
    </row>
    <row r="138" spans="1:16" ht="11.25" customHeight="1">
      <c r="A138" s="207"/>
      <c r="B138" s="208"/>
      <c r="C138" s="173"/>
      <c r="D138" s="173"/>
      <c r="E138" s="173"/>
      <c r="F138" s="173"/>
      <c r="G138" s="173"/>
      <c r="H138" s="173"/>
      <c r="I138" s="173"/>
      <c r="J138" s="173"/>
      <c r="K138" s="173"/>
      <c r="L138" s="173"/>
      <c r="M138" s="173"/>
      <c r="N138" s="173"/>
      <c r="O138" s="173"/>
      <c r="P138" s="173"/>
    </row>
    <row r="139" spans="1:16" ht="11.25" customHeight="1">
      <c r="A139" s="207"/>
      <c r="B139" s="208"/>
      <c r="C139" s="173"/>
      <c r="D139" s="173"/>
      <c r="E139" s="173"/>
      <c r="F139" s="173"/>
      <c r="G139" s="173"/>
      <c r="H139" s="173"/>
      <c r="I139" s="173"/>
      <c r="J139" s="173"/>
      <c r="K139" s="173"/>
      <c r="L139" s="173"/>
      <c r="M139" s="173"/>
      <c r="N139" s="173"/>
      <c r="O139" s="173"/>
      <c r="P139" s="173"/>
    </row>
    <row r="140" spans="1:16" ht="11.25" customHeight="1">
      <c r="A140" s="207"/>
      <c r="B140" s="208"/>
      <c r="C140" s="173"/>
      <c r="D140" s="173"/>
      <c r="E140" s="173"/>
      <c r="F140" s="173"/>
      <c r="G140" s="173"/>
      <c r="H140" s="173"/>
      <c r="I140" s="173"/>
      <c r="J140" s="173"/>
      <c r="K140" s="173"/>
      <c r="L140" s="173"/>
      <c r="M140" s="173"/>
      <c r="N140" s="173"/>
      <c r="O140" s="173"/>
      <c r="P140" s="173"/>
    </row>
    <row r="141" spans="1:16" ht="11.25" customHeight="1">
      <c r="A141" s="207"/>
      <c r="B141" s="208"/>
      <c r="C141" s="173"/>
      <c r="D141" s="173"/>
      <c r="E141" s="173"/>
      <c r="F141" s="173"/>
      <c r="G141" s="173"/>
      <c r="H141" s="173"/>
      <c r="I141" s="173"/>
      <c r="J141" s="173"/>
      <c r="K141" s="173"/>
      <c r="L141" s="173"/>
      <c r="M141" s="173"/>
      <c r="N141" s="173"/>
      <c r="O141" s="173"/>
      <c r="P141" s="173"/>
    </row>
    <row r="142" spans="1:16" ht="11.25" customHeight="1">
      <c r="A142" s="207"/>
      <c r="B142" s="208"/>
      <c r="C142" s="173"/>
      <c r="D142" s="173"/>
      <c r="E142" s="173"/>
      <c r="F142" s="173"/>
      <c r="G142" s="173"/>
      <c r="H142" s="173"/>
      <c r="I142" s="173"/>
      <c r="J142" s="173"/>
      <c r="K142" s="173"/>
      <c r="L142" s="173"/>
      <c r="M142" s="173"/>
      <c r="N142" s="173"/>
      <c r="O142" s="173"/>
      <c r="P142" s="173"/>
    </row>
    <row r="143" spans="1:16" ht="11.25" customHeight="1">
      <c r="A143" s="207"/>
      <c r="B143" s="208"/>
      <c r="C143" s="173"/>
      <c r="D143" s="173"/>
      <c r="E143" s="173"/>
      <c r="F143" s="173"/>
      <c r="G143" s="173"/>
      <c r="H143" s="173"/>
      <c r="I143" s="173"/>
      <c r="J143" s="173"/>
      <c r="K143" s="173"/>
      <c r="L143" s="173"/>
      <c r="M143" s="173"/>
      <c r="N143" s="173"/>
      <c r="O143" s="173"/>
      <c r="P143" s="173"/>
    </row>
    <row r="144" spans="1:16" ht="11.25" customHeight="1">
      <c r="A144" s="207"/>
      <c r="B144" s="208"/>
      <c r="C144" s="173"/>
      <c r="D144" s="173"/>
      <c r="E144" s="173"/>
      <c r="F144" s="173"/>
      <c r="G144" s="173"/>
      <c r="H144" s="173"/>
      <c r="I144" s="173"/>
      <c r="J144" s="173"/>
      <c r="K144" s="173"/>
      <c r="L144" s="173"/>
      <c r="M144" s="173"/>
      <c r="N144" s="173"/>
      <c r="O144" s="173"/>
      <c r="P144" s="173"/>
    </row>
    <row r="145" spans="1:16" ht="11.25" customHeight="1">
      <c r="A145" s="207"/>
      <c r="B145" s="208"/>
      <c r="C145" s="173"/>
      <c r="D145" s="173"/>
      <c r="E145" s="173"/>
      <c r="F145" s="173"/>
      <c r="G145" s="173"/>
      <c r="H145" s="173"/>
      <c r="I145" s="173"/>
      <c r="J145" s="173"/>
      <c r="K145" s="173"/>
      <c r="L145" s="173"/>
      <c r="M145" s="173"/>
      <c r="N145" s="173"/>
      <c r="O145" s="173"/>
      <c r="P145" s="173"/>
    </row>
    <row r="146" spans="1:16" ht="11.25" customHeight="1">
      <c r="A146" s="207"/>
      <c r="B146" s="208"/>
      <c r="C146" s="173"/>
      <c r="D146" s="173"/>
      <c r="E146" s="173"/>
      <c r="F146" s="173"/>
      <c r="G146" s="173"/>
      <c r="H146" s="173"/>
      <c r="I146" s="173"/>
      <c r="J146" s="173"/>
      <c r="K146" s="173"/>
      <c r="L146" s="173"/>
      <c r="M146" s="173"/>
      <c r="N146" s="173"/>
      <c r="O146" s="173"/>
      <c r="P146" s="173"/>
    </row>
    <row r="147" spans="1:16" ht="11.25" customHeight="1">
      <c r="A147" s="207"/>
      <c r="B147" s="208"/>
      <c r="C147" s="173"/>
      <c r="D147" s="173"/>
      <c r="E147" s="173"/>
      <c r="F147" s="173"/>
      <c r="G147" s="173"/>
      <c r="H147" s="173"/>
      <c r="I147" s="173"/>
      <c r="J147" s="173"/>
      <c r="K147" s="173"/>
      <c r="L147" s="173"/>
      <c r="M147" s="173"/>
      <c r="N147" s="173"/>
      <c r="O147" s="173"/>
      <c r="P147" s="173"/>
    </row>
    <row r="148" spans="1:16" ht="11.25" customHeight="1">
      <c r="A148" s="207"/>
      <c r="B148" s="208"/>
      <c r="C148" s="173"/>
      <c r="D148" s="173"/>
      <c r="E148" s="173"/>
      <c r="F148" s="173"/>
      <c r="G148" s="173"/>
      <c r="H148" s="173"/>
      <c r="I148" s="173"/>
      <c r="J148" s="173"/>
      <c r="K148" s="173"/>
      <c r="L148" s="173"/>
      <c r="M148" s="173"/>
      <c r="N148" s="173"/>
      <c r="O148" s="173"/>
      <c r="P148" s="173"/>
    </row>
    <row r="149" spans="1:16" ht="11.25" customHeight="1">
      <c r="A149" s="207"/>
      <c r="B149" s="208"/>
      <c r="C149" s="173"/>
      <c r="D149" s="173"/>
      <c r="E149" s="173"/>
      <c r="F149" s="173"/>
      <c r="G149" s="173"/>
      <c r="H149" s="173"/>
      <c r="I149" s="173"/>
      <c r="J149" s="173"/>
      <c r="K149" s="173"/>
      <c r="L149" s="173"/>
      <c r="M149" s="173"/>
      <c r="N149" s="173"/>
      <c r="O149" s="173"/>
      <c r="P149" s="173"/>
    </row>
    <row r="150" spans="1:16" ht="11.25" customHeight="1">
      <c r="A150" s="207"/>
      <c r="B150" s="208"/>
      <c r="C150" s="173"/>
      <c r="D150" s="173"/>
      <c r="E150" s="173"/>
      <c r="F150" s="173"/>
      <c r="G150" s="173"/>
      <c r="H150" s="173"/>
      <c r="I150" s="173"/>
      <c r="J150" s="173"/>
      <c r="K150" s="173"/>
      <c r="L150" s="173"/>
      <c r="M150" s="173"/>
      <c r="N150" s="173"/>
      <c r="O150" s="173"/>
      <c r="P150" s="173"/>
    </row>
    <row r="151" spans="1:16" ht="11.25" customHeight="1">
      <c r="A151" s="207"/>
      <c r="B151" s="208"/>
      <c r="C151" s="173"/>
      <c r="D151" s="173"/>
      <c r="E151" s="173"/>
      <c r="F151" s="173"/>
      <c r="G151" s="173"/>
      <c r="H151" s="173"/>
      <c r="I151" s="173"/>
      <c r="J151" s="173"/>
      <c r="K151" s="173"/>
      <c r="L151" s="173"/>
      <c r="M151" s="173"/>
      <c r="N151" s="173"/>
      <c r="O151" s="173"/>
      <c r="P151" s="173"/>
    </row>
    <row r="152" spans="1:16" ht="11.25" customHeight="1">
      <c r="A152" s="207"/>
      <c r="B152" s="208"/>
      <c r="C152" s="173"/>
      <c r="D152" s="173"/>
      <c r="E152" s="173"/>
      <c r="F152" s="173"/>
      <c r="G152" s="173"/>
      <c r="H152" s="173"/>
      <c r="I152" s="173"/>
      <c r="J152" s="173"/>
      <c r="K152" s="173"/>
      <c r="L152" s="173"/>
      <c r="M152" s="173"/>
      <c r="N152" s="173"/>
      <c r="O152" s="173"/>
      <c r="P152" s="173"/>
    </row>
    <row r="153" spans="1:16" ht="11.25" customHeight="1">
      <c r="A153" s="207"/>
      <c r="B153" s="208"/>
      <c r="C153" s="173"/>
      <c r="D153" s="173"/>
      <c r="E153" s="173"/>
      <c r="F153" s="173"/>
      <c r="G153" s="173"/>
      <c r="H153" s="173"/>
      <c r="I153" s="173"/>
      <c r="J153" s="173"/>
      <c r="K153" s="173"/>
      <c r="L153" s="173"/>
      <c r="M153" s="173"/>
      <c r="N153" s="173"/>
      <c r="O153" s="173"/>
      <c r="P153" s="173"/>
    </row>
    <row r="154" spans="1:16" ht="11.25" customHeight="1">
      <c r="A154" s="207"/>
      <c r="B154" s="208"/>
      <c r="C154" s="173"/>
      <c r="D154" s="173"/>
      <c r="E154" s="173"/>
      <c r="F154" s="173"/>
      <c r="G154" s="173"/>
      <c r="H154" s="173"/>
      <c r="I154" s="173"/>
      <c r="J154" s="173"/>
      <c r="K154" s="173"/>
      <c r="L154" s="173"/>
      <c r="M154" s="173"/>
      <c r="N154" s="173"/>
      <c r="O154" s="173"/>
      <c r="P154" s="173"/>
    </row>
    <row r="155" spans="1:16" ht="11.25" customHeight="1">
      <c r="A155" s="207"/>
      <c r="B155" s="208"/>
      <c r="C155" s="173"/>
      <c r="D155" s="173"/>
      <c r="E155" s="173"/>
      <c r="F155" s="173"/>
      <c r="G155" s="173"/>
      <c r="H155" s="173"/>
      <c r="I155" s="173"/>
      <c r="J155" s="173"/>
      <c r="K155" s="173"/>
      <c r="L155" s="173"/>
      <c r="M155" s="173"/>
      <c r="N155" s="173"/>
      <c r="O155" s="173"/>
      <c r="P155" s="173"/>
    </row>
    <row r="156" spans="1:16" ht="11.25" customHeight="1">
      <c r="A156" s="207"/>
      <c r="B156" s="208"/>
      <c r="C156" s="173"/>
      <c r="D156" s="173"/>
      <c r="E156" s="173"/>
      <c r="F156" s="173"/>
      <c r="G156" s="173"/>
      <c r="H156" s="173"/>
      <c r="I156" s="173"/>
      <c r="J156" s="173"/>
      <c r="K156" s="173"/>
      <c r="L156" s="173"/>
      <c r="M156" s="173"/>
      <c r="N156" s="173"/>
      <c r="O156" s="173"/>
      <c r="P156" s="173"/>
    </row>
    <row r="157" spans="1:16" ht="11.25" customHeight="1">
      <c r="A157" s="207"/>
      <c r="B157" s="208"/>
      <c r="C157" s="173"/>
      <c r="D157" s="173"/>
      <c r="E157" s="173"/>
      <c r="F157" s="173"/>
      <c r="G157" s="173"/>
      <c r="H157" s="173"/>
      <c r="I157" s="173"/>
      <c r="J157" s="173"/>
      <c r="K157" s="173"/>
      <c r="L157" s="173"/>
      <c r="M157" s="173"/>
      <c r="N157" s="173"/>
      <c r="O157" s="173"/>
      <c r="P157" s="173"/>
    </row>
    <row r="158" spans="1:16" ht="11.25" customHeight="1">
      <c r="A158" s="207"/>
      <c r="B158" s="208"/>
      <c r="C158" s="173"/>
      <c r="D158" s="173"/>
      <c r="E158" s="173"/>
      <c r="F158" s="173"/>
      <c r="G158" s="173"/>
      <c r="H158" s="173"/>
      <c r="I158" s="173"/>
      <c r="J158" s="173"/>
      <c r="K158" s="173"/>
      <c r="L158" s="173"/>
      <c r="M158" s="173"/>
      <c r="N158" s="173"/>
      <c r="O158" s="173"/>
      <c r="P158" s="173"/>
    </row>
    <row r="159" spans="1:16" ht="11.25" customHeight="1">
      <c r="A159" s="207"/>
      <c r="B159" s="208"/>
      <c r="C159" s="173"/>
      <c r="D159" s="173"/>
      <c r="E159" s="173"/>
      <c r="F159" s="173"/>
      <c r="G159" s="173"/>
      <c r="H159" s="173"/>
      <c r="I159" s="173"/>
      <c r="J159" s="173"/>
      <c r="K159" s="173"/>
      <c r="L159" s="173"/>
      <c r="M159" s="173"/>
      <c r="N159" s="173"/>
      <c r="O159" s="173"/>
      <c r="P159" s="173"/>
    </row>
    <row r="160" spans="1:16" ht="11.25" customHeight="1">
      <c r="A160" s="207"/>
      <c r="B160" s="208"/>
      <c r="C160" s="173"/>
      <c r="D160" s="173"/>
      <c r="E160" s="173"/>
      <c r="F160" s="173"/>
      <c r="G160" s="173"/>
      <c r="H160" s="173"/>
      <c r="I160" s="173"/>
      <c r="J160" s="173"/>
      <c r="K160" s="173"/>
      <c r="L160" s="173"/>
      <c r="M160" s="173"/>
      <c r="N160" s="173"/>
      <c r="O160" s="173"/>
      <c r="P160" s="173"/>
    </row>
    <row r="161" spans="1:16" ht="11.25" customHeight="1">
      <c r="A161" s="207"/>
      <c r="B161" s="208"/>
      <c r="C161" s="173"/>
      <c r="D161" s="173"/>
      <c r="E161" s="173"/>
      <c r="F161" s="173"/>
      <c r="G161" s="173"/>
      <c r="H161" s="173"/>
      <c r="I161" s="173"/>
      <c r="J161" s="173"/>
      <c r="K161" s="173"/>
      <c r="L161" s="173"/>
      <c r="M161" s="173"/>
      <c r="N161" s="173"/>
      <c r="O161" s="173"/>
      <c r="P161" s="173"/>
    </row>
    <row r="162" spans="1:16" ht="11.25" customHeight="1">
      <c r="A162" s="207"/>
      <c r="B162" s="208"/>
      <c r="C162" s="173"/>
      <c r="D162" s="173"/>
      <c r="E162" s="173"/>
      <c r="F162" s="173"/>
      <c r="G162" s="173"/>
      <c r="H162" s="173"/>
      <c r="I162" s="173"/>
      <c r="J162" s="173"/>
      <c r="K162" s="173"/>
      <c r="L162" s="173"/>
      <c r="M162" s="173"/>
      <c r="N162" s="173"/>
      <c r="O162" s="173"/>
      <c r="P162" s="173"/>
    </row>
    <row r="163" spans="1:16" ht="11.25" customHeight="1">
      <c r="A163" s="207"/>
      <c r="B163" s="208"/>
      <c r="C163" s="173"/>
      <c r="D163" s="173"/>
      <c r="E163" s="173"/>
      <c r="F163" s="173"/>
      <c r="G163" s="173"/>
      <c r="H163" s="173"/>
      <c r="I163" s="173"/>
      <c r="J163" s="173"/>
      <c r="K163" s="173"/>
      <c r="L163" s="173"/>
      <c r="M163" s="173"/>
      <c r="N163" s="173"/>
      <c r="O163" s="173"/>
      <c r="P163" s="173"/>
    </row>
    <row r="164" spans="1:16" ht="11.25" customHeight="1">
      <c r="A164" s="207"/>
      <c r="B164" s="208"/>
      <c r="C164" s="173"/>
      <c r="D164" s="173"/>
      <c r="E164" s="173"/>
      <c r="F164" s="173"/>
      <c r="G164" s="173"/>
      <c r="H164" s="173"/>
      <c r="I164" s="173"/>
      <c r="J164" s="173"/>
      <c r="K164" s="173"/>
      <c r="L164" s="173"/>
      <c r="M164" s="173"/>
      <c r="N164" s="173"/>
      <c r="O164" s="173"/>
      <c r="P164" s="173"/>
    </row>
    <row r="165" spans="1:16" ht="11.25" customHeight="1">
      <c r="A165" s="207"/>
      <c r="B165" s="208"/>
      <c r="C165" s="173"/>
      <c r="D165" s="173"/>
      <c r="E165" s="173"/>
      <c r="F165" s="173"/>
      <c r="G165" s="173"/>
      <c r="H165" s="173"/>
      <c r="I165" s="173"/>
      <c r="J165" s="173"/>
      <c r="K165" s="173"/>
      <c r="L165" s="173"/>
      <c r="M165" s="173"/>
      <c r="N165" s="173"/>
      <c r="O165" s="173"/>
      <c r="P165" s="173"/>
    </row>
    <row r="166" spans="1:16" ht="11.25" customHeight="1">
      <c r="A166" s="207"/>
      <c r="B166" s="208"/>
      <c r="C166" s="173"/>
      <c r="D166" s="173"/>
      <c r="E166" s="173"/>
      <c r="F166" s="173"/>
      <c r="G166" s="173"/>
      <c r="H166" s="173"/>
      <c r="I166" s="173"/>
      <c r="J166" s="173"/>
      <c r="K166" s="173"/>
      <c r="L166" s="173"/>
      <c r="M166" s="173"/>
      <c r="N166" s="173"/>
      <c r="O166" s="173"/>
      <c r="P166" s="173"/>
    </row>
    <row r="167" spans="1:16" ht="11.25" customHeight="1">
      <c r="A167" s="207"/>
      <c r="B167" s="208"/>
      <c r="C167" s="173"/>
      <c r="D167" s="173"/>
      <c r="E167" s="173"/>
      <c r="F167" s="173"/>
      <c r="G167" s="173"/>
      <c r="H167" s="173"/>
      <c r="I167" s="173"/>
      <c r="J167" s="173"/>
      <c r="K167" s="173"/>
      <c r="L167" s="173"/>
      <c r="M167" s="173"/>
      <c r="N167" s="173"/>
      <c r="O167" s="173"/>
      <c r="P167" s="173"/>
    </row>
    <row r="168" spans="1:16" ht="11.25" customHeight="1">
      <c r="A168" s="207"/>
      <c r="B168" s="208"/>
      <c r="C168" s="173"/>
      <c r="D168" s="173"/>
      <c r="E168" s="173"/>
      <c r="F168" s="173"/>
      <c r="G168" s="173"/>
      <c r="H168" s="173"/>
      <c r="I168" s="173"/>
      <c r="J168" s="173"/>
      <c r="K168" s="173"/>
      <c r="L168" s="173"/>
      <c r="M168" s="173"/>
      <c r="N168" s="173"/>
      <c r="O168" s="173"/>
      <c r="P168" s="173"/>
    </row>
    <row r="169" spans="1:16" ht="11.25" customHeight="1">
      <c r="A169" s="207"/>
      <c r="B169" s="208"/>
      <c r="C169" s="173"/>
      <c r="D169" s="173"/>
      <c r="E169" s="173"/>
      <c r="F169" s="173"/>
      <c r="G169" s="173"/>
      <c r="H169" s="173"/>
      <c r="I169" s="173"/>
      <c r="J169" s="173"/>
      <c r="K169" s="173"/>
      <c r="L169" s="173"/>
      <c r="M169" s="173"/>
      <c r="N169" s="173"/>
      <c r="O169" s="173"/>
      <c r="P169" s="173"/>
    </row>
    <row r="170" spans="1:16" ht="11.25" customHeight="1">
      <c r="A170" s="207"/>
      <c r="B170" s="208"/>
      <c r="C170" s="173"/>
      <c r="D170" s="173"/>
      <c r="E170" s="173"/>
      <c r="F170" s="173"/>
      <c r="G170" s="173"/>
      <c r="H170" s="173"/>
      <c r="I170" s="173"/>
      <c r="J170" s="173"/>
      <c r="K170" s="173"/>
      <c r="L170" s="173"/>
      <c r="M170" s="173"/>
      <c r="N170" s="173"/>
      <c r="O170" s="173"/>
      <c r="P170" s="173"/>
    </row>
    <row r="171" spans="1:16" ht="11.25" customHeight="1">
      <c r="A171" s="207"/>
      <c r="B171" s="208"/>
      <c r="C171" s="173"/>
      <c r="D171" s="173"/>
      <c r="E171" s="173"/>
      <c r="F171" s="173"/>
      <c r="G171" s="173"/>
      <c r="H171" s="173"/>
      <c r="I171" s="173"/>
      <c r="J171" s="173"/>
      <c r="K171" s="173"/>
      <c r="L171" s="173"/>
      <c r="M171" s="173"/>
      <c r="N171" s="173"/>
      <c r="O171" s="173"/>
      <c r="P171" s="173"/>
    </row>
    <row r="172" spans="1:16" ht="11.25" customHeight="1">
      <c r="A172" s="207"/>
      <c r="B172" s="208"/>
      <c r="C172" s="173"/>
      <c r="D172" s="173"/>
      <c r="E172" s="173"/>
      <c r="F172" s="173"/>
      <c r="G172" s="173"/>
      <c r="H172" s="173"/>
      <c r="I172" s="173"/>
      <c r="J172" s="173"/>
      <c r="K172" s="173"/>
      <c r="L172" s="173"/>
      <c r="M172" s="173"/>
      <c r="N172" s="173"/>
      <c r="O172" s="173"/>
      <c r="P172" s="173"/>
    </row>
    <row r="173" spans="1:16" ht="11.25" customHeight="1">
      <c r="A173" s="207"/>
      <c r="B173" s="208"/>
      <c r="C173" s="173"/>
      <c r="D173" s="173"/>
      <c r="E173" s="173"/>
      <c r="F173" s="173"/>
      <c r="G173" s="173"/>
      <c r="H173" s="173"/>
      <c r="I173" s="173"/>
      <c r="J173" s="173"/>
      <c r="K173" s="173"/>
      <c r="L173" s="173"/>
      <c r="M173" s="173"/>
      <c r="N173" s="173"/>
      <c r="O173" s="173"/>
      <c r="P173" s="173"/>
    </row>
    <row r="174" spans="1:16" ht="11.25" customHeight="1">
      <c r="A174" s="207"/>
      <c r="B174" s="208"/>
      <c r="C174" s="173"/>
      <c r="D174" s="173"/>
      <c r="E174" s="173"/>
      <c r="F174" s="173"/>
      <c r="G174" s="173"/>
      <c r="H174" s="173"/>
      <c r="I174" s="173"/>
      <c r="J174" s="173"/>
      <c r="K174" s="173"/>
      <c r="L174" s="173"/>
      <c r="M174" s="173"/>
      <c r="N174" s="173"/>
      <c r="O174" s="173"/>
      <c r="P174" s="173"/>
    </row>
    <row r="175" spans="1:16" ht="11.25" customHeight="1">
      <c r="A175" s="207"/>
      <c r="B175" s="208"/>
      <c r="C175" s="173"/>
      <c r="D175" s="173"/>
      <c r="E175" s="173"/>
      <c r="F175" s="173"/>
      <c r="G175" s="173"/>
      <c r="H175" s="173"/>
      <c r="I175" s="173"/>
      <c r="J175" s="173"/>
      <c r="K175" s="173"/>
      <c r="L175" s="173"/>
      <c r="M175" s="173"/>
      <c r="N175" s="173"/>
      <c r="O175" s="173"/>
      <c r="P175" s="173"/>
    </row>
    <row r="176" spans="1:16" ht="11.25" customHeight="1">
      <c r="A176" s="207"/>
      <c r="B176" s="208"/>
      <c r="C176" s="173"/>
      <c r="D176" s="173"/>
      <c r="E176" s="173"/>
      <c r="F176" s="173"/>
      <c r="G176" s="173"/>
      <c r="H176" s="173"/>
      <c r="I176" s="173"/>
      <c r="J176" s="173"/>
      <c r="K176" s="173"/>
      <c r="L176" s="173"/>
      <c r="M176" s="173"/>
      <c r="N176" s="173"/>
      <c r="O176" s="173"/>
      <c r="P176" s="173"/>
    </row>
    <row r="177" spans="1:16" ht="11.25" customHeight="1">
      <c r="A177" s="207"/>
      <c r="B177" s="208"/>
      <c r="C177" s="173"/>
      <c r="D177" s="173"/>
      <c r="E177" s="173"/>
      <c r="F177" s="173"/>
      <c r="G177" s="173"/>
      <c r="H177" s="173"/>
      <c r="I177" s="173"/>
      <c r="J177" s="173"/>
      <c r="K177" s="173"/>
      <c r="L177" s="173"/>
      <c r="M177" s="173"/>
      <c r="N177" s="173"/>
      <c r="O177" s="173"/>
      <c r="P177" s="173"/>
    </row>
    <row r="178" spans="1:16" ht="11.25" customHeight="1">
      <c r="A178" s="207"/>
      <c r="B178" s="208"/>
      <c r="C178" s="173"/>
      <c r="D178" s="173"/>
      <c r="E178" s="173"/>
      <c r="F178" s="173"/>
      <c r="G178" s="173"/>
      <c r="H178" s="173"/>
      <c r="I178" s="173"/>
      <c r="J178" s="173"/>
      <c r="K178" s="173"/>
      <c r="L178" s="173"/>
      <c r="M178" s="173"/>
      <c r="N178" s="173"/>
      <c r="O178" s="173"/>
      <c r="P178" s="173"/>
    </row>
    <row r="179" spans="1:16" ht="11.25" customHeight="1">
      <c r="A179" s="207"/>
      <c r="B179" s="208"/>
      <c r="C179" s="173"/>
      <c r="D179" s="173"/>
      <c r="E179" s="173"/>
      <c r="F179" s="173"/>
      <c r="G179" s="173"/>
      <c r="H179" s="173"/>
      <c r="I179" s="173"/>
      <c r="J179" s="173"/>
      <c r="K179" s="173"/>
      <c r="L179" s="173"/>
      <c r="M179" s="173"/>
      <c r="N179" s="173"/>
      <c r="O179" s="173"/>
      <c r="P179" s="173"/>
    </row>
    <row r="180" spans="1:16" ht="11.25" customHeight="1">
      <c r="A180" s="207"/>
      <c r="B180" s="208"/>
      <c r="C180" s="173"/>
      <c r="D180" s="173"/>
      <c r="E180" s="173"/>
      <c r="F180" s="173"/>
      <c r="G180" s="173"/>
      <c r="H180" s="173"/>
      <c r="I180" s="173"/>
      <c r="J180" s="173"/>
      <c r="K180" s="173"/>
      <c r="L180" s="173"/>
      <c r="M180" s="173"/>
      <c r="N180" s="173"/>
      <c r="O180" s="173"/>
      <c r="P180" s="173"/>
    </row>
    <row r="181" spans="1:16" ht="11.25" customHeight="1">
      <c r="A181" s="207"/>
      <c r="B181" s="208"/>
      <c r="C181" s="173"/>
      <c r="D181" s="173"/>
      <c r="E181" s="173"/>
      <c r="F181" s="173"/>
      <c r="G181" s="173"/>
      <c r="H181" s="173"/>
      <c r="I181" s="173"/>
      <c r="J181" s="173"/>
      <c r="K181" s="173"/>
      <c r="L181" s="173"/>
      <c r="M181" s="173"/>
      <c r="N181" s="173"/>
      <c r="O181" s="173"/>
      <c r="P181" s="173"/>
    </row>
    <row r="182" spans="1:16" ht="11.25" customHeight="1">
      <c r="A182" s="207"/>
      <c r="B182" s="208"/>
      <c r="C182" s="173"/>
      <c r="D182" s="173"/>
      <c r="E182" s="173"/>
      <c r="F182" s="173"/>
      <c r="G182" s="173"/>
      <c r="H182" s="173"/>
      <c r="I182" s="173"/>
      <c r="J182" s="173"/>
      <c r="K182" s="173"/>
      <c r="L182" s="173"/>
      <c r="M182" s="173"/>
      <c r="N182" s="173"/>
      <c r="O182" s="173"/>
      <c r="P182" s="173"/>
    </row>
    <row r="183" spans="1:16" ht="11.25" customHeight="1">
      <c r="A183" s="207"/>
      <c r="B183" s="208"/>
      <c r="C183" s="173"/>
      <c r="D183" s="173"/>
      <c r="E183" s="173"/>
      <c r="F183" s="173"/>
      <c r="G183" s="173"/>
      <c r="H183" s="173"/>
      <c r="I183" s="173"/>
      <c r="J183" s="173"/>
      <c r="K183" s="173"/>
      <c r="L183" s="173"/>
      <c r="M183" s="173"/>
      <c r="N183" s="173"/>
      <c r="O183" s="173"/>
      <c r="P183" s="173"/>
    </row>
    <row r="184" spans="1:16" ht="11.25" customHeight="1">
      <c r="A184" s="207"/>
      <c r="B184" s="208"/>
      <c r="C184" s="173"/>
      <c r="D184" s="173"/>
      <c r="E184" s="173"/>
      <c r="F184" s="173"/>
      <c r="G184" s="173"/>
      <c r="H184" s="173"/>
      <c r="I184" s="173"/>
      <c r="J184" s="173"/>
      <c r="K184" s="173"/>
      <c r="L184" s="173"/>
      <c r="M184" s="173"/>
      <c r="N184" s="173"/>
      <c r="O184" s="173"/>
      <c r="P184" s="173"/>
    </row>
    <row r="185" spans="1:16" ht="11.25" customHeight="1">
      <c r="A185" s="207"/>
      <c r="B185" s="208"/>
      <c r="C185" s="173"/>
      <c r="D185" s="173"/>
      <c r="E185" s="173"/>
      <c r="F185" s="173"/>
      <c r="G185" s="173"/>
      <c r="H185" s="173"/>
      <c r="I185" s="173"/>
      <c r="J185" s="173"/>
      <c r="K185" s="173"/>
      <c r="L185" s="173"/>
      <c r="M185" s="173"/>
      <c r="N185" s="173"/>
      <c r="O185" s="173"/>
      <c r="P185" s="173"/>
    </row>
    <row r="186" spans="1:16" ht="11.25" customHeight="1">
      <c r="A186" s="207"/>
      <c r="B186" s="208"/>
      <c r="C186" s="173"/>
      <c r="D186" s="173"/>
      <c r="E186" s="173"/>
      <c r="F186" s="173"/>
      <c r="G186" s="173"/>
      <c r="H186" s="173"/>
      <c r="I186" s="173"/>
      <c r="J186" s="173"/>
      <c r="K186" s="173"/>
      <c r="L186" s="173"/>
      <c r="M186" s="173"/>
      <c r="N186" s="173"/>
      <c r="O186" s="173"/>
      <c r="P186" s="173"/>
    </row>
    <row r="187" spans="1:16" ht="11.25" customHeight="1">
      <c r="A187" s="207"/>
      <c r="B187" s="208"/>
      <c r="C187" s="173"/>
      <c r="D187" s="173"/>
      <c r="E187" s="173"/>
      <c r="F187" s="173"/>
      <c r="G187" s="173"/>
      <c r="H187" s="173"/>
      <c r="I187" s="173"/>
      <c r="J187" s="173"/>
      <c r="K187" s="173"/>
      <c r="L187" s="173"/>
      <c r="M187" s="173"/>
      <c r="N187" s="173"/>
      <c r="O187" s="173"/>
      <c r="P187" s="173"/>
    </row>
    <row r="188" spans="1:16" ht="11.25" customHeight="1">
      <c r="A188" s="207"/>
      <c r="B188" s="208"/>
      <c r="C188" s="173"/>
      <c r="D188" s="173"/>
      <c r="E188" s="173"/>
      <c r="F188" s="173"/>
      <c r="G188" s="173"/>
      <c r="H188" s="173"/>
      <c r="I188" s="173"/>
      <c r="J188" s="173"/>
      <c r="K188" s="173"/>
      <c r="L188" s="173"/>
      <c r="M188" s="173"/>
      <c r="N188" s="173"/>
      <c r="O188" s="173"/>
      <c r="P188" s="173"/>
    </row>
    <row r="189" spans="1:16" ht="11.25" customHeight="1">
      <c r="A189" s="207"/>
      <c r="B189" s="208"/>
      <c r="C189" s="173"/>
      <c r="D189" s="173"/>
      <c r="E189" s="173"/>
      <c r="F189" s="173"/>
      <c r="G189" s="173"/>
      <c r="H189" s="173"/>
      <c r="I189" s="173"/>
      <c r="J189" s="173"/>
      <c r="K189" s="173"/>
      <c r="L189" s="173"/>
      <c r="M189" s="173"/>
      <c r="N189" s="173"/>
      <c r="O189" s="173"/>
      <c r="P189" s="173"/>
    </row>
    <row r="190" spans="1:16" ht="11.25" customHeight="1">
      <c r="A190" s="207"/>
      <c r="B190" s="208"/>
      <c r="C190" s="173"/>
      <c r="D190" s="173"/>
      <c r="E190" s="173"/>
      <c r="F190" s="173"/>
      <c r="G190" s="173"/>
      <c r="H190" s="173"/>
      <c r="I190" s="173"/>
      <c r="J190" s="173"/>
      <c r="K190" s="173"/>
      <c r="L190" s="173"/>
      <c r="M190" s="173"/>
      <c r="N190" s="173"/>
      <c r="O190" s="173"/>
      <c r="P190" s="173"/>
    </row>
    <row r="191" spans="1:16" ht="11.25" customHeight="1">
      <c r="A191" s="207"/>
      <c r="B191" s="208"/>
      <c r="C191" s="173"/>
      <c r="D191" s="173"/>
      <c r="E191" s="173"/>
      <c r="F191" s="173"/>
      <c r="G191" s="173"/>
      <c r="H191" s="173"/>
      <c r="I191" s="173"/>
      <c r="J191" s="173"/>
      <c r="K191" s="173"/>
      <c r="L191" s="173"/>
      <c r="M191" s="173"/>
      <c r="N191" s="173"/>
      <c r="O191" s="173"/>
      <c r="P191" s="173"/>
    </row>
    <row r="192" spans="1:16" ht="11.25" customHeight="1">
      <c r="A192" s="207"/>
      <c r="B192" s="208"/>
      <c r="C192" s="173"/>
      <c r="D192" s="173"/>
      <c r="E192" s="173"/>
      <c r="F192" s="173"/>
      <c r="G192" s="173"/>
      <c r="H192" s="173"/>
      <c r="I192" s="173"/>
      <c r="J192" s="173"/>
      <c r="K192" s="173"/>
      <c r="L192" s="173"/>
      <c r="M192" s="173"/>
      <c r="N192" s="173"/>
      <c r="O192" s="173"/>
      <c r="P192" s="173"/>
    </row>
    <row r="193" spans="1:16" ht="11.25" customHeight="1">
      <c r="A193" s="207"/>
      <c r="B193" s="208"/>
      <c r="C193" s="173"/>
      <c r="D193" s="173"/>
      <c r="E193" s="173"/>
      <c r="F193" s="173"/>
      <c r="G193" s="173"/>
      <c r="H193" s="173"/>
      <c r="I193" s="173"/>
      <c r="J193" s="173"/>
      <c r="K193" s="173"/>
      <c r="L193" s="173"/>
      <c r="M193" s="173"/>
      <c r="N193" s="173"/>
      <c r="O193" s="173"/>
      <c r="P193" s="173"/>
    </row>
    <row r="194" spans="1:16" ht="11.25" customHeight="1">
      <c r="A194" s="207"/>
      <c r="B194" s="208"/>
      <c r="C194" s="173"/>
      <c r="D194" s="173"/>
      <c r="E194" s="173"/>
      <c r="F194" s="173"/>
      <c r="G194" s="173"/>
      <c r="H194" s="173"/>
      <c r="I194" s="173"/>
      <c r="J194" s="173"/>
      <c r="K194" s="173"/>
      <c r="L194" s="173"/>
      <c r="M194" s="173"/>
      <c r="N194" s="173"/>
      <c r="O194" s="173"/>
      <c r="P194" s="173"/>
    </row>
    <row r="195" spans="1:16" ht="11.25" customHeight="1">
      <c r="A195" s="207"/>
      <c r="B195" s="208"/>
      <c r="C195" s="173"/>
      <c r="D195" s="173"/>
      <c r="E195" s="173"/>
      <c r="F195" s="173"/>
      <c r="G195" s="173"/>
      <c r="H195" s="173"/>
      <c r="I195" s="173"/>
      <c r="J195" s="173"/>
      <c r="K195" s="173"/>
      <c r="L195" s="173"/>
      <c r="M195" s="173"/>
      <c r="N195" s="173"/>
      <c r="O195" s="173"/>
      <c r="P195" s="173"/>
    </row>
    <row r="196" spans="1:16" ht="11.25" customHeight="1">
      <c r="A196" s="207"/>
      <c r="B196" s="208"/>
      <c r="C196" s="173"/>
      <c r="D196" s="173"/>
      <c r="E196" s="173"/>
      <c r="F196" s="173"/>
      <c r="G196" s="173"/>
      <c r="H196" s="173"/>
      <c r="I196" s="173"/>
      <c r="J196" s="173"/>
      <c r="K196" s="173"/>
      <c r="L196" s="173"/>
      <c r="M196" s="173"/>
      <c r="N196" s="173"/>
      <c r="O196" s="173"/>
      <c r="P196" s="173"/>
    </row>
    <row r="197" spans="1:16" ht="11.25" customHeight="1">
      <c r="A197" s="207"/>
      <c r="B197" s="208"/>
      <c r="C197" s="173"/>
      <c r="D197" s="173"/>
      <c r="E197" s="173"/>
      <c r="F197" s="173"/>
      <c r="G197" s="173"/>
      <c r="H197" s="173"/>
      <c r="I197" s="173"/>
      <c r="J197" s="173"/>
      <c r="K197" s="173"/>
      <c r="L197" s="173"/>
      <c r="M197" s="173"/>
      <c r="N197" s="173"/>
      <c r="O197" s="173"/>
      <c r="P197" s="173"/>
    </row>
    <row r="198" spans="1:16" ht="11.25" customHeight="1">
      <c r="A198" s="207"/>
      <c r="B198" s="208"/>
      <c r="C198" s="173"/>
      <c r="D198" s="173"/>
      <c r="E198" s="173"/>
      <c r="F198" s="173"/>
      <c r="G198" s="173"/>
      <c r="H198" s="173"/>
      <c r="I198" s="173"/>
      <c r="J198" s="173"/>
      <c r="K198" s="173"/>
      <c r="L198" s="173"/>
      <c r="M198" s="173"/>
      <c r="N198" s="173"/>
      <c r="O198" s="173"/>
      <c r="P198" s="173"/>
    </row>
    <row r="199" spans="1:16" ht="11.25" customHeight="1">
      <c r="A199" s="207"/>
      <c r="B199" s="208"/>
      <c r="C199" s="173"/>
      <c r="D199" s="173"/>
      <c r="E199" s="173"/>
      <c r="F199" s="173"/>
      <c r="G199" s="173"/>
      <c r="H199" s="173"/>
      <c r="I199" s="173"/>
      <c r="J199" s="173"/>
      <c r="K199" s="173"/>
      <c r="L199" s="173"/>
      <c r="M199" s="173"/>
      <c r="N199" s="173"/>
      <c r="O199" s="173"/>
      <c r="P199" s="173"/>
    </row>
    <row r="200" spans="1:16" ht="11.25" customHeight="1">
      <c r="A200" s="207"/>
      <c r="B200" s="208"/>
      <c r="C200" s="173"/>
      <c r="D200" s="173"/>
      <c r="E200" s="173"/>
      <c r="F200" s="173"/>
      <c r="G200" s="173"/>
      <c r="H200" s="173"/>
      <c r="I200" s="173"/>
      <c r="J200" s="173"/>
      <c r="K200" s="173"/>
      <c r="L200" s="173"/>
      <c r="M200" s="173"/>
      <c r="N200" s="173"/>
      <c r="O200" s="173"/>
      <c r="P200" s="173"/>
    </row>
    <row r="201" spans="1:16" ht="11.25" customHeight="1">
      <c r="A201" s="207"/>
      <c r="B201" s="208"/>
      <c r="C201" s="173"/>
      <c r="D201" s="173"/>
      <c r="E201" s="173"/>
      <c r="F201" s="173"/>
      <c r="G201" s="173"/>
      <c r="H201" s="173"/>
      <c r="I201" s="173"/>
      <c r="J201" s="173"/>
      <c r="K201" s="173"/>
      <c r="L201" s="173"/>
      <c r="M201" s="173"/>
      <c r="N201" s="173"/>
      <c r="O201" s="173"/>
      <c r="P201" s="173"/>
    </row>
    <row r="202" spans="1:16" ht="11.25" customHeight="1">
      <c r="A202" s="207"/>
      <c r="B202" s="208"/>
      <c r="C202" s="173"/>
      <c r="D202" s="173"/>
      <c r="E202" s="173"/>
      <c r="F202" s="173"/>
      <c r="G202" s="173"/>
      <c r="H202" s="173"/>
      <c r="I202" s="173"/>
      <c r="J202" s="173"/>
      <c r="K202" s="173"/>
      <c r="L202" s="173"/>
      <c r="M202" s="173"/>
      <c r="N202" s="173"/>
      <c r="O202" s="173"/>
      <c r="P202" s="173"/>
    </row>
    <row r="203" spans="1:16" ht="11.25" customHeight="1">
      <c r="A203" s="207"/>
      <c r="B203" s="208"/>
      <c r="C203" s="173"/>
      <c r="D203" s="173"/>
      <c r="E203" s="173"/>
      <c r="F203" s="173"/>
      <c r="G203" s="173"/>
      <c r="H203" s="173"/>
      <c r="I203" s="173"/>
      <c r="J203" s="173"/>
      <c r="K203" s="173"/>
      <c r="L203" s="173"/>
      <c r="M203" s="173"/>
      <c r="N203" s="173"/>
      <c r="O203" s="173"/>
      <c r="P203" s="173"/>
    </row>
    <row r="204" spans="1:16" ht="11.25" customHeight="1">
      <c r="A204" s="207"/>
      <c r="B204" s="208"/>
      <c r="C204" s="173"/>
      <c r="D204" s="173"/>
      <c r="E204" s="173"/>
      <c r="F204" s="173"/>
      <c r="G204" s="173"/>
      <c r="H204" s="173"/>
      <c r="I204" s="173"/>
      <c r="J204" s="173"/>
      <c r="K204" s="173"/>
      <c r="L204" s="173"/>
      <c r="M204" s="173"/>
      <c r="N204" s="173"/>
      <c r="O204" s="173"/>
      <c r="P204" s="173"/>
    </row>
    <row r="205" spans="1:16" ht="11.25" customHeight="1">
      <c r="A205" s="207"/>
      <c r="B205" s="208"/>
      <c r="C205" s="173"/>
      <c r="D205" s="173"/>
      <c r="E205" s="173"/>
      <c r="F205" s="173"/>
      <c r="G205" s="173"/>
      <c r="H205" s="173"/>
      <c r="I205" s="173"/>
      <c r="J205" s="173"/>
      <c r="K205" s="173"/>
      <c r="L205" s="173"/>
      <c r="M205" s="173"/>
      <c r="N205" s="173"/>
      <c r="O205" s="173"/>
      <c r="P205" s="173"/>
    </row>
    <row r="206" spans="1:16" ht="11.25" customHeight="1">
      <c r="A206" s="207"/>
      <c r="B206" s="208"/>
      <c r="C206" s="173"/>
      <c r="D206" s="173"/>
      <c r="E206" s="173"/>
      <c r="F206" s="173"/>
      <c r="G206" s="173"/>
      <c r="H206" s="173"/>
      <c r="I206" s="173"/>
      <c r="J206" s="173"/>
      <c r="K206" s="173"/>
      <c r="L206" s="173"/>
      <c r="M206" s="173"/>
      <c r="N206" s="173"/>
      <c r="O206" s="173"/>
      <c r="P206" s="173"/>
    </row>
    <row r="207" spans="1:16" ht="11.25" customHeight="1">
      <c r="A207" s="207"/>
      <c r="B207" s="208"/>
      <c r="C207" s="173"/>
      <c r="D207" s="173"/>
      <c r="E207" s="173"/>
      <c r="F207" s="173"/>
      <c r="G207" s="173"/>
      <c r="H207" s="173"/>
      <c r="I207" s="173"/>
      <c r="J207" s="173"/>
      <c r="K207" s="173"/>
      <c r="L207" s="173"/>
      <c r="M207" s="173"/>
      <c r="N207" s="173"/>
      <c r="O207" s="173"/>
      <c r="P207" s="173"/>
    </row>
    <row r="208" spans="1:16" ht="11.25" customHeight="1">
      <c r="A208" s="207"/>
      <c r="B208" s="208"/>
      <c r="C208" s="173"/>
      <c r="D208" s="173"/>
      <c r="E208" s="173"/>
      <c r="F208" s="173"/>
      <c r="G208" s="173"/>
      <c r="H208" s="173"/>
      <c r="I208" s="173"/>
      <c r="J208" s="173"/>
      <c r="K208" s="173"/>
      <c r="L208" s="173"/>
      <c r="M208" s="173"/>
      <c r="N208" s="173"/>
      <c r="O208" s="173"/>
      <c r="P208" s="173"/>
    </row>
    <row r="209" spans="1:16" ht="11.25" customHeight="1">
      <c r="A209" s="207"/>
      <c r="B209" s="208"/>
      <c r="C209" s="173"/>
      <c r="D209" s="173"/>
      <c r="E209" s="173"/>
      <c r="F209" s="173"/>
      <c r="G209" s="173"/>
      <c r="H209" s="173"/>
      <c r="I209" s="173"/>
      <c r="J209" s="173"/>
      <c r="K209" s="173"/>
      <c r="L209" s="173"/>
      <c r="M209" s="173"/>
      <c r="N209" s="173"/>
      <c r="O209" s="173"/>
      <c r="P209" s="173"/>
    </row>
    <row r="210" spans="1:16" ht="11.25" customHeight="1">
      <c r="A210" s="207"/>
      <c r="B210" s="208"/>
      <c r="C210" s="173"/>
      <c r="D210" s="173"/>
      <c r="E210" s="173"/>
      <c r="F210" s="173"/>
      <c r="G210" s="173"/>
      <c r="H210" s="173"/>
      <c r="I210" s="173"/>
      <c r="J210" s="173"/>
      <c r="K210" s="173"/>
      <c r="L210" s="173"/>
      <c r="M210" s="173"/>
      <c r="N210" s="173"/>
      <c r="O210" s="173"/>
      <c r="P210" s="173"/>
    </row>
    <row r="211" spans="1:16" ht="11.25" customHeight="1">
      <c r="A211" s="207"/>
      <c r="B211" s="208"/>
      <c r="C211" s="173"/>
      <c r="D211" s="173"/>
      <c r="E211" s="173"/>
      <c r="F211" s="173"/>
      <c r="G211" s="173"/>
      <c r="H211" s="173"/>
      <c r="I211" s="173"/>
      <c r="J211" s="173"/>
      <c r="K211" s="173"/>
      <c r="L211" s="173"/>
      <c r="M211" s="173"/>
      <c r="N211" s="173"/>
      <c r="O211" s="173"/>
      <c r="P211" s="173"/>
    </row>
    <row r="212" spans="1:16" ht="11.25" customHeight="1">
      <c r="A212" s="207"/>
      <c r="B212" s="208"/>
      <c r="C212" s="173"/>
      <c r="D212" s="173"/>
      <c r="E212" s="173"/>
      <c r="F212" s="173"/>
      <c r="G212" s="173"/>
      <c r="H212" s="173"/>
      <c r="I212" s="173"/>
      <c r="J212" s="173"/>
      <c r="K212" s="173"/>
      <c r="L212" s="173"/>
      <c r="M212" s="173"/>
      <c r="N212" s="173"/>
      <c r="O212" s="173"/>
      <c r="P212" s="173"/>
    </row>
    <row r="213" spans="1:16" ht="11.25" customHeight="1">
      <c r="A213" s="207"/>
      <c r="B213" s="208"/>
      <c r="C213" s="173"/>
      <c r="D213" s="173"/>
      <c r="E213" s="173"/>
      <c r="F213" s="173"/>
      <c r="G213" s="173"/>
      <c r="H213" s="173"/>
      <c r="I213" s="173"/>
      <c r="J213" s="173"/>
      <c r="K213" s="173"/>
      <c r="L213" s="173"/>
      <c r="M213" s="173"/>
      <c r="N213" s="173"/>
      <c r="O213" s="173"/>
      <c r="P213" s="173"/>
    </row>
    <row r="214" spans="1:16" ht="11.25" customHeight="1">
      <c r="A214" s="207"/>
      <c r="B214" s="208"/>
      <c r="C214" s="173"/>
      <c r="D214" s="173"/>
      <c r="E214" s="173"/>
      <c r="F214" s="173"/>
      <c r="G214" s="173"/>
      <c r="H214" s="173"/>
      <c r="I214" s="173"/>
      <c r="J214" s="173"/>
      <c r="K214" s="173"/>
      <c r="L214" s="173"/>
      <c r="M214" s="173"/>
      <c r="N214" s="173"/>
      <c r="O214" s="173"/>
      <c r="P214" s="173"/>
    </row>
    <row r="215" spans="1:16" ht="11.25" customHeight="1">
      <c r="A215" s="207"/>
      <c r="B215" s="208"/>
      <c r="C215" s="173"/>
      <c r="D215" s="173"/>
      <c r="E215" s="173"/>
      <c r="F215" s="173"/>
      <c r="G215" s="173"/>
      <c r="H215" s="173"/>
      <c r="I215" s="173"/>
      <c r="J215" s="173"/>
      <c r="K215" s="173"/>
      <c r="L215" s="173"/>
      <c r="M215" s="173"/>
      <c r="N215" s="173"/>
      <c r="O215" s="173"/>
      <c r="P215" s="173"/>
    </row>
    <row r="216" spans="1:16" ht="11.25" customHeight="1">
      <c r="A216" s="207"/>
      <c r="B216" s="208"/>
      <c r="C216" s="173"/>
      <c r="D216" s="173"/>
      <c r="E216" s="173"/>
      <c r="F216" s="173"/>
      <c r="G216" s="173"/>
      <c r="H216" s="173"/>
      <c r="I216" s="173"/>
      <c r="J216" s="173"/>
      <c r="K216" s="173"/>
      <c r="L216" s="173"/>
      <c r="M216" s="173"/>
      <c r="N216" s="173"/>
      <c r="O216" s="173"/>
      <c r="P216" s="173"/>
    </row>
    <row r="217" spans="1:16" ht="11.25" customHeight="1">
      <c r="A217" s="207"/>
      <c r="B217" s="208"/>
      <c r="C217" s="173"/>
      <c r="D217" s="173"/>
      <c r="E217" s="173"/>
      <c r="F217" s="173"/>
      <c r="G217" s="173"/>
      <c r="H217" s="173"/>
      <c r="I217" s="173"/>
      <c r="J217" s="173"/>
      <c r="K217" s="173"/>
      <c r="L217" s="173"/>
      <c r="M217" s="173"/>
      <c r="N217" s="173"/>
      <c r="O217" s="173"/>
      <c r="P217" s="173"/>
    </row>
    <row r="218" spans="1:16" ht="11.25" customHeight="1">
      <c r="A218" s="207"/>
      <c r="B218" s="208"/>
      <c r="C218" s="173"/>
      <c r="D218" s="173"/>
      <c r="E218" s="173"/>
      <c r="F218" s="173"/>
      <c r="G218" s="173"/>
      <c r="H218" s="173"/>
      <c r="I218" s="173"/>
      <c r="J218" s="173"/>
      <c r="K218" s="173"/>
      <c r="L218" s="173"/>
      <c r="M218" s="173"/>
      <c r="N218" s="173"/>
      <c r="O218" s="173"/>
      <c r="P218" s="173"/>
    </row>
    <row r="219" spans="1:16" ht="11.25" customHeight="1">
      <c r="A219" s="207"/>
      <c r="B219" s="208"/>
      <c r="C219" s="173"/>
      <c r="D219" s="173"/>
      <c r="E219" s="173"/>
      <c r="F219" s="173"/>
      <c r="G219" s="173"/>
      <c r="H219" s="173"/>
      <c r="I219" s="173"/>
      <c r="J219" s="173"/>
      <c r="K219" s="173"/>
      <c r="L219" s="173"/>
      <c r="M219" s="173"/>
      <c r="N219" s="173"/>
      <c r="O219" s="173"/>
      <c r="P219" s="173"/>
    </row>
    <row r="220" spans="1:16" ht="11.25" customHeight="1">
      <c r="A220" s="207"/>
      <c r="B220" s="208"/>
      <c r="C220" s="173"/>
      <c r="D220" s="173"/>
      <c r="E220" s="173"/>
      <c r="F220" s="173"/>
      <c r="G220" s="173"/>
      <c r="H220" s="173"/>
      <c r="I220" s="173"/>
      <c r="J220" s="173"/>
      <c r="K220" s="173"/>
      <c r="L220" s="173"/>
      <c r="M220" s="173"/>
      <c r="N220" s="173"/>
      <c r="O220" s="173"/>
      <c r="P220" s="173"/>
    </row>
    <row r="221" spans="1:16" ht="11.25" customHeight="1">
      <c r="A221" s="207"/>
      <c r="B221" s="208"/>
      <c r="C221" s="173"/>
      <c r="D221" s="173"/>
      <c r="E221" s="173"/>
      <c r="F221" s="173"/>
      <c r="G221" s="173"/>
      <c r="H221" s="173"/>
      <c r="I221" s="173"/>
      <c r="J221" s="173"/>
      <c r="K221" s="173"/>
      <c r="L221" s="173"/>
      <c r="M221" s="173"/>
      <c r="N221" s="173"/>
      <c r="O221" s="173"/>
      <c r="P221" s="173"/>
    </row>
    <row r="222" spans="1:16" ht="11.25" customHeight="1">
      <c r="A222" s="207"/>
      <c r="B222" s="208"/>
      <c r="C222" s="173"/>
      <c r="D222" s="173"/>
      <c r="E222" s="173"/>
      <c r="F222" s="173"/>
      <c r="G222" s="173"/>
      <c r="H222" s="173"/>
      <c r="I222" s="173"/>
      <c r="J222" s="173"/>
      <c r="K222" s="173"/>
      <c r="L222" s="173"/>
      <c r="M222" s="173"/>
      <c r="N222" s="173"/>
      <c r="O222" s="173"/>
      <c r="P222" s="173"/>
    </row>
    <row r="223" spans="1:16" ht="11.25" customHeight="1">
      <c r="A223" s="207"/>
      <c r="B223" s="208"/>
      <c r="C223" s="173"/>
      <c r="D223" s="173"/>
      <c r="E223" s="173"/>
      <c r="F223" s="173"/>
      <c r="G223" s="173"/>
      <c r="H223" s="173"/>
      <c r="I223" s="173"/>
      <c r="J223" s="173"/>
      <c r="K223" s="173"/>
      <c r="L223" s="173"/>
      <c r="M223" s="173"/>
      <c r="N223" s="173"/>
      <c r="O223" s="173"/>
      <c r="P223" s="173"/>
    </row>
    <row r="224" spans="1:16" ht="11.25" customHeight="1">
      <c r="A224" s="207"/>
      <c r="B224" s="208"/>
      <c r="C224" s="173"/>
      <c r="D224" s="173"/>
      <c r="E224" s="173"/>
      <c r="F224" s="173"/>
      <c r="G224" s="173"/>
      <c r="H224" s="173"/>
      <c r="I224" s="173"/>
      <c r="J224" s="173"/>
      <c r="K224" s="173"/>
      <c r="L224" s="173"/>
      <c r="M224" s="173"/>
      <c r="N224" s="173"/>
      <c r="O224" s="173"/>
      <c r="P224" s="173"/>
    </row>
    <row r="225" spans="1:16" ht="11.25" customHeight="1">
      <c r="A225" s="207"/>
      <c r="B225" s="208"/>
      <c r="C225" s="173"/>
      <c r="D225" s="173"/>
      <c r="E225" s="173"/>
      <c r="F225" s="173"/>
      <c r="G225" s="173"/>
      <c r="H225" s="173"/>
      <c r="I225" s="173"/>
      <c r="J225" s="173"/>
      <c r="K225" s="173"/>
      <c r="L225" s="173"/>
      <c r="M225" s="173"/>
      <c r="N225" s="173"/>
      <c r="O225" s="173"/>
      <c r="P225" s="173"/>
    </row>
    <row r="226" spans="1:16" ht="11.25" customHeight="1">
      <c r="A226" s="207"/>
      <c r="B226" s="208"/>
      <c r="C226" s="173"/>
      <c r="D226" s="173"/>
      <c r="E226" s="173"/>
      <c r="F226" s="173"/>
      <c r="G226" s="173"/>
      <c r="H226" s="173"/>
      <c r="I226" s="173"/>
      <c r="J226" s="173"/>
      <c r="K226" s="173"/>
      <c r="L226" s="173"/>
      <c r="M226" s="173"/>
      <c r="N226" s="173"/>
      <c r="O226" s="173"/>
      <c r="P226" s="173"/>
    </row>
    <row r="227" spans="1:16" ht="11.25" customHeight="1">
      <c r="A227" s="207"/>
      <c r="B227" s="208"/>
      <c r="C227" s="173"/>
      <c r="D227" s="173"/>
      <c r="E227" s="173"/>
      <c r="F227" s="173"/>
      <c r="G227" s="173"/>
      <c r="H227" s="173"/>
      <c r="I227" s="173"/>
      <c r="J227" s="173"/>
      <c r="K227" s="173"/>
      <c r="L227" s="173"/>
      <c r="M227" s="173"/>
      <c r="N227" s="173"/>
      <c r="O227" s="173"/>
      <c r="P227" s="173"/>
    </row>
    <row r="228" spans="1:16" ht="11.25" customHeight="1">
      <c r="A228" s="207"/>
      <c r="B228" s="208"/>
      <c r="C228" s="173"/>
      <c r="D228" s="173"/>
      <c r="E228" s="173"/>
      <c r="F228" s="173"/>
      <c r="G228" s="173"/>
      <c r="H228" s="173"/>
      <c r="I228" s="173"/>
      <c r="J228" s="173"/>
      <c r="K228" s="173"/>
      <c r="L228" s="173"/>
      <c r="M228" s="173"/>
      <c r="N228" s="173"/>
      <c r="O228" s="173"/>
      <c r="P228" s="173"/>
    </row>
    <row r="229" spans="1:16" ht="11.25" customHeight="1">
      <c r="A229" s="207"/>
      <c r="B229" s="208"/>
      <c r="C229" s="173"/>
      <c r="D229" s="173"/>
      <c r="E229" s="173"/>
      <c r="F229" s="173"/>
      <c r="G229" s="173"/>
      <c r="H229" s="173"/>
      <c r="I229" s="173"/>
      <c r="J229" s="173"/>
      <c r="K229" s="173"/>
      <c r="L229" s="173"/>
      <c r="M229" s="173"/>
      <c r="N229" s="173"/>
      <c r="O229" s="173"/>
      <c r="P229" s="173"/>
    </row>
    <row r="230" spans="1:16" ht="11.25" customHeight="1">
      <c r="A230" s="207"/>
      <c r="B230" s="208"/>
      <c r="C230" s="173"/>
      <c r="D230" s="173"/>
      <c r="E230" s="173"/>
      <c r="F230" s="173"/>
      <c r="G230" s="173"/>
      <c r="H230" s="173"/>
      <c r="I230" s="173"/>
      <c r="J230" s="173"/>
      <c r="K230" s="173"/>
      <c r="L230" s="173"/>
      <c r="M230" s="173"/>
      <c r="N230" s="173"/>
      <c r="O230" s="173"/>
      <c r="P230" s="173"/>
    </row>
    <row r="231" spans="1:16" ht="11.25" customHeight="1">
      <c r="A231" s="207"/>
      <c r="B231" s="208"/>
      <c r="C231" s="173"/>
      <c r="D231" s="173"/>
      <c r="E231" s="173"/>
      <c r="F231" s="173"/>
      <c r="G231" s="173"/>
      <c r="H231" s="173"/>
      <c r="I231" s="173"/>
      <c r="J231" s="173"/>
      <c r="K231" s="173"/>
      <c r="L231" s="173"/>
      <c r="M231" s="173"/>
      <c r="N231" s="173"/>
      <c r="O231" s="173"/>
      <c r="P231" s="173"/>
    </row>
    <row r="232" spans="1:16" ht="11.25" customHeight="1">
      <c r="A232" s="207"/>
      <c r="B232" s="208"/>
      <c r="C232" s="173"/>
      <c r="D232" s="173"/>
      <c r="E232" s="173"/>
      <c r="F232" s="173"/>
      <c r="G232" s="173"/>
      <c r="H232" s="173"/>
      <c r="I232" s="173"/>
      <c r="J232" s="173"/>
      <c r="K232" s="173"/>
      <c r="L232" s="173"/>
      <c r="M232" s="173"/>
      <c r="N232" s="173"/>
      <c r="O232" s="173"/>
      <c r="P232" s="173"/>
    </row>
    <row r="233" spans="1:16" ht="11.25" customHeight="1">
      <c r="A233" s="207"/>
      <c r="B233" s="208"/>
      <c r="C233" s="173"/>
      <c r="D233" s="173"/>
      <c r="E233" s="173"/>
      <c r="F233" s="173"/>
      <c r="G233" s="173"/>
      <c r="H233" s="173"/>
      <c r="I233" s="173"/>
      <c r="J233" s="173"/>
      <c r="K233" s="173"/>
      <c r="L233" s="173"/>
      <c r="M233" s="173"/>
      <c r="N233" s="173"/>
      <c r="O233" s="173"/>
      <c r="P233" s="173"/>
    </row>
    <row r="234" spans="1:16" ht="11.25" customHeight="1">
      <c r="A234" s="207"/>
      <c r="B234" s="208"/>
      <c r="C234" s="173"/>
      <c r="D234" s="173"/>
      <c r="E234" s="173"/>
      <c r="F234" s="173"/>
      <c r="G234" s="173"/>
      <c r="H234" s="173"/>
      <c r="I234" s="173"/>
      <c r="J234" s="173"/>
      <c r="K234" s="173"/>
      <c r="L234" s="173"/>
      <c r="M234" s="173"/>
      <c r="N234" s="173"/>
      <c r="O234" s="173"/>
      <c r="P234" s="173"/>
    </row>
    <row r="235" spans="1:16" ht="11.25" customHeight="1">
      <c r="A235" s="207"/>
      <c r="B235" s="208"/>
      <c r="C235" s="173"/>
      <c r="D235" s="173"/>
      <c r="E235" s="173"/>
      <c r="F235" s="173"/>
      <c r="G235" s="173"/>
      <c r="H235" s="173"/>
      <c r="I235" s="173"/>
      <c r="J235" s="173"/>
      <c r="K235" s="173"/>
      <c r="L235" s="173"/>
      <c r="M235" s="173"/>
      <c r="N235" s="173"/>
      <c r="O235" s="173"/>
      <c r="P235" s="173"/>
    </row>
    <row r="236" spans="1:16" ht="11.25" customHeight="1">
      <c r="A236" s="207"/>
      <c r="B236" s="208"/>
      <c r="C236" s="173"/>
      <c r="D236" s="173"/>
      <c r="E236" s="173"/>
      <c r="F236" s="173"/>
      <c r="G236" s="173"/>
      <c r="H236" s="173"/>
      <c r="I236" s="173"/>
      <c r="J236" s="173"/>
      <c r="K236" s="173"/>
      <c r="L236" s="173"/>
      <c r="M236" s="173"/>
      <c r="N236" s="173"/>
      <c r="O236" s="173"/>
      <c r="P236" s="173"/>
    </row>
    <row r="237" spans="1:16" ht="11.25" customHeight="1">
      <c r="A237" s="207"/>
      <c r="B237" s="208"/>
      <c r="C237" s="173"/>
      <c r="D237" s="173"/>
      <c r="E237" s="173"/>
      <c r="F237" s="173"/>
      <c r="G237" s="173"/>
      <c r="H237" s="173"/>
      <c r="I237" s="173"/>
      <c r="J237" s="173"/>
      <c r="K237" s="173"/>
      <c r="L237" s="173"/>
      <c r="M237" s="173"/>
      <c r="N237" s="173"/>
      <c r="O237" s="173"/>
      <c r="P237" s="173"/>
    </row>
    <row r="238" spans="1:16" ht="11.25" customHeight="1">
      <c r="A238" s="207"/>
      <c r="B238" s="208"/>
      <c r="C238" s="173"/>
      <c r="D238" s="173"/>
      <c r="E238" s="173"/>
      <c r="F238" s="173"/>
      <c r="G238" s="173"/>
      <c r="H238" s="173"/>
      <c r="I238" s="173"/>
      <c r="J238" s="173"/>
      <c r="K238" s="173"/>
      <c r="L238" s="173"/>
      <c r="M238" s="173"/>
      <c r="N238" s="173"/>
      <c r="O238" s="173"/>
      <c r="P238" s="173"/>
    </row>
    <row r="239" spans="1:16" ht="11.25" customHeight="1">
      <c r="A239" s="207"/>
      <c r="B239" s="208"/>
      <c r="C239" s="173"/>
      <c r="D239" s="173"/>
      <c r="E239" s="173"/>
      <c r="F239" s="173"/>
      <c r="G239" s="173"/>
      <c r="H239" s="173"/>
      <c r="I239" s="173"/>
      <c r="J239" s="173"/>
      <c r="K239" s="173"/>
      <c r="L239" s="173"/>
      <c r="M239" s="173"/>
      <c r="N239" s="173"/>
      <c r="O239" s="173"/>
      <c r="P239" s="173"/>
    </row>
    <row r="240" spans="1:16" ht="11.25" customHeight="1">
      <c r="A240" s="207"/>
      <c r="B240" s="208"/>
      <c r="C240" s="173"/>
      <c r="D240" s="173"/>
      <c r="E240" s="173"/>
      <c r="F240" s="173"/>
      <c r="G240" s="173"/>
      <c r="H240" s="173"/>
      <c r="I240" s="173"/>
      <c r="J240" s="173"/>
      <c r="K240" s="173"/>
      <c r="L240" s="173"/>
      <c r="M240" s="173"/>
      <c r="N240" s="173"/>
      <c r="O240" s="173"/>
      <c r="P240" s="173"/>
    </row>
    <row r="241" spans="1:16" ht="11.25" customHeight="1">
      <c r="A241" s="207"/>
      <c r="B241" s="208"/>
      <c r="C241" s="173"/>
      <c r="D241" s="173"/>
      <c r="E241" s="173"/>
      <c r="F241" s="173"/>
      <c r="G241" s="173"/>
      <c r="H241" s="173"/>
      <c r="I241" s="173"/>
      <c r="J241" s="173"/>
      <c r="K241" s="173"/>
      <c r="L241" s="173"/>
      <c r="M241" s="173"/>
      <c r="N241" s="173"/>
      <c r="O241" s="173"/>
      <c r="P241" s="173"/>
    </row>
    <row r="242" spans="1:16" ht="11.25" customHeight="1">
      <c r="A242" s="207"/>
      <c r="B242" s="208"/>
      <c r="C242" s="173"/>
      <c r="D242" s="173"/>
      <c r="E242" s="173"/>
      <c r="F242" s="173"/>
      <c r="G242" s="173"/>
      <c r="H242" s="173"/>
      <c r="I242" s="173"/>
      <c r="J242" s="173"/>
      <c r="K242" s="173"/>
      <c r="L242" s="173"/>
      <c r="M242" s="173"/>
      <c r="N242" s="173"/>
      <c r="O242" s="173"/>
      <c r="P242" s="173"/>
    </row>
    <row r="243" spans="1:16" ht="11.25" customHeight="1">
      <c r="A243" s="207"/>
      <c r="B243" s="208"/>
      <c r="C243" s="173"/>
      <c r="D243" s="173"/>
      <c r="E243" s="173"/>
      <c r="F243" s="173"/>
      <c r="G243" s="173"/>
      <c r="H243" s="173"/>
      <c r="I243" s="173"/>
      <c r="J243" s="173"/>
      <c r="K243" s="173"/>
      <c r="L243" s="173"/>
      <c r="M243" s="173"/>
      <c r="N243" s="173"/>
      <c r="O243" s="173"/>
      <c r="P243" s="173"/>
    </row>
    <row r="244" spans="1:16" ht="11.25" customHeight="1">
      <c r="A244" s="207"/>
      <c r="B244" s="208"/>
      <c r="C244" s="173"/>
      <c r="D244" s="173"/>
      <c r="E244" s="173"/>
      <c r="F244" s="173"/>
      <c r="G244" s="173"/>
      <c r="H244" s="173"/>
      <c r="I244" s="173"/>
      <c r="J244" s="173"/>
      <c r="K244" s="173"/>
      <c r="L244" s="173"/>
      <c r="M244" s="173"/>
      <c r="N244" s="173"/>
      <c r="O244" s="173"/>
      <c r="P244" s="173"/>
    </row>
    <row r="245" spans="1:16" ht="11.25" customHeight="1">
      <c r="A245" s="207"/>
      <c r="B245" s="208"/>
      <c r="C245" s="173"/>
      <c r="D245" s="173"/>
      <c r="E245" s="173"/>
      <c r="F245" s="173"/>
      <c r="G245" s="173"/>
      <c r="H245" s="173"/>
      <c r="I245" s="173"/>
      <c r="J245" s="173"/>
      <c r="K245" s="173"/>
      <c r="L245" s="173"/>
      <c r="M245" s="173"/>
      <c r="N245" s="173"/>
      <c r="O245" s="173"/>
      <c r="P245" s="173"/>
    </row>
    <row r="246" spans="1:16" ht="11.25" customHeight="1">
      <c r="A246" s="207"/>
      <c r="B246" s="208"/>
      <c r="C246" s="173"/>
      <c r="D246" s="173"/>
      <c r="E246" s="173"/>
      <c r="F246" s="173"/>
      <c r="G246" s="173"/>
      <c r="H246" s="173"/>
      <c r="I246" s="173"/>
      <c r="J246" s="173"/>
      <c r="K246" s="173"/>
      <c r="L246" s="173"/>
      <c r="M246" s="173"/>
      <c r="N246" s="173"/>
      <c r="O246" s="173"/>
      <c r="P246" s="173"/>
    </row>
    <row r="247" spans="1:16" ht="11.25" customHeight="1">
      <c r="A247" s="207"/>
      <c r="B247" s="208"/>
      <c r="C247" s="173"/>
      <c r="D247" s="173"/>
      <c r="E247" s="173"/>
      <c r="F247" s="173"/>
      <c r="G247" s="173"/>
      <c r="H247" s="173"/>
      <c r="I247" s="173"/>
      <c r="J247" s="173"/>
      <c r="K247" s="173"/>
      <c r="L247" s="173"/>
      <c r="M247" s="173"/>
      <c r="N247" s="173"/>
      <c r="O247" s="173"/>
      <c r="P247" s="173"/>
    </row>
    <row r="248" spans="1:16" ht="11.25" customHeight="1">
      <c r="A248" s="207"/>
      <c r="B248" s="208"/>
      <c r="C248" s="173"/>
      <c r="D248" s="173"/>
      <c r="E248" s="173"/>
      <c r="F248" s="173"/>
      <c r="G248" s="173"/>
      <c r="H248" s="173"/>
      <c r="I248" s="173"/>
      <c r="J248" s="173"/>
      <c r="K248" s="173"/>
      <c r="L248" s="173"/>
      <c r="M248" s="173"/>
      <c r="N248" s="173"/>
      <c r="O248" s="173"/>
      <c r="P248" s="173"/>
    </row>
    <row r="249" spans="1:16" ht="11.25" customHeight="1">
      <c r="A249" s="207"/>
      <c r="B249" s="208"/>
      <c r="C249" s="173"/>
      <c r="D249" s="173"/>
      <c r="E249" s="173"/>
      <c r="F249" s="173"/>
      <c r="G249" s="173"/>
      <c r="H249" s="173"/>
      <c r="I249" s="173"/>
      <c r="J249" s="173"/>
      <c r="K249" s="173"/>
      <c r="L249" s="173"/>
      <c r="M249" s="173"/>
      <c r="N249" s="173"/>
      <c r="O249" s="173"/>
      <c r="P249" s="173"/>
    </row>
    <row r="250" spans="1:16" ht="11.25" customHeight="1">
      <c r="A250" s="207"/>
      <c r="B250" s="208"/>
      <c r="C250" s="173"/>
      <c r="D250" s="173"/>
      <c r="E250" s="173"/>
      <c r="F250" s="173"/>
      <c r="G250" s="173"/>
      <c r="H250" s="173"/>
      <c r="I250" s="173"/>
      <c r="J250" s="173"/>
      <c r="K250" s="173"/>
      <c r="L250" s="173"/>
      <c r="M250" s="173"/>
      <c r="N250" s="173"/>
      <c r="O250" s="173"/>
      <c r="P250" s="173"/>
    </row>
    <row r="251" spans="1:16" ht="11.25" customHeight="1">
      <c r="A251" s="207"/>
      <c r="B251" s="208"/>
      <c r="C251" s="173"/>
      <c r="D251" s="173"/>
      <c r="E251" s="173"/>
      <c r="F251" s="173"/>
      <c r="G251" s="173"/>
      <c r="H251" s="173"/>
      <c r="I251" s="173"/>
      <c r="J251" s="173"/>
      <c r="K251" s="173"/>
      <c r="L251" s="173"/>
      <c r="M251" s="173"/>
      <c r="N251" s="173"/>
      <c r="O251" s="173"/>
      <c r="P251" s="173"/>
    </row>
    <row r="252" spans="1:16" ht="11.25" customHeight="1">
      <c r="A252" s="207"/>
      <c r="B252" s="208"/>
      <c r="C252" s="173"/>
      <c r="D252" s="173"/>
      <c r="E252" s="173"/>
      <c r="F252" s="173"/>
      <c r="G252" s="173"/>
      <c r="H252" s="173"/>
      <c r="I252" s="173"/>
      <c r="J252" s="173"/>
      <c r="K252" s="173"/>
      <c r="L252" s="173"/>
      <c r="M252" s="173"/>
      <c r="N252" s="173"/>
      <c r="O252" s="173"/>
      <c r="P252" s="173"/>
    </row>
    <row r="253" spans="1:16" ht="11.25" customHeight="1">
      <c r="A253" s="207"/>
      <c r="B253" s="208"/>
      <c r="C253" s="173"/>
      <c r="D253" s="173"/>
      <c r="E253" s="173"/>
      <c r="F253" s="173"/>
      <c r="G253" s="173"/>
      <c r="H253" s="173"/>
      <c r="I253" s="173"/>
      <c r="J253" s="173"/>
      <c r="K253" s="173"/>
      <c r="L253" s="173"/>
      <c r="M253" s="173"/>
      <c r="N253" s="173"/>
      <c r="O253" s="173"/>
      <c r="P253" s="173"/>
    </row>
    <row r="254" spans="1:16" ht="11.25" customHeight="1">
      <c r="A254" s="207"/>
      <c r="B254" s="208"/>
      <c r="C254" s="173"/>
      <c r="D254" s="173"/>
      <c r="E254" s="173"/>
      <c r="F254" s="173"/>
      <c r="G254" s="173"/>
      <c r="H254" s="173"/>
      <c r="I254" s="173"/>
      <c r="J254" s="173"/>
      <c r="K254" s="173"/>
      <c r="L254" s="173"/>
      <c r="M254" s="173"/>
      <c r="N254" s="173"/>
      <c r="O254" s="173"/>
      <c r="P254" s="173"/>
    </row>
    <row r="255" spans="1:16" ht="11.25" customHeight="1">
      <c r="A255" s="207"/>
      <c r="B255" s="208"/>
      <c r="C255" s="173"/>
      <c r="D255" s="173"/>
      <c r="E255" s="173"/>
      <c r="F255" s="173"/>
      <c r="G255" s="173"/>
      <c r="H255" s="173"/>
      <c r="I255" s="173"/>
      <c r="J255" s="173"/>
      <c r="K255" s="173"/>
      <c r="L255" s="173"/>
      <c r="M255" s="173"/>
      <c r="N255" s="173"/>
      <c r="O255" s="173"/>
      <c r="P255" s="173"/>
    </row>
    <row r="256" spans="1:16" ht="11.25" customHeight="1">
      <c r="A256" s="207"/>
      <c r="B256" s="208"/>
      <c r="C256" s="173"/>
      <c r="D256" s="173"/>
      <c r="E256" s="173"/>
      <c r="F256" s="173"/>
      <c r="G256" s="173"/>
      <c r="H256" s="173"/>
      <c r="I256" s="173"/>
      <c r="J256" s="173"/>
      <c r="K256" s="173"/>
      <c r="L256" s="173"/>
      <c r="M256" s="173"/>
      <c r="N256" s="173"/>
      <c r="O256" s="173"/>
      <c r="P256" s="173"/>
    </row>
    <row r="257" spans="1:16" ht="11.25" customHeight="1">
      <c r="A257" s="207"/>
      <c r="B257" s="208"/>
      <c r="C257" s="173"/>
      <c r="D257" s="173"/>
      <c r="E257" s="173"/>
      <c r="F257" s="173"/>
      <c r="G257" s="173"/>
      <c r="H257" s="173"/>
      <c r="I257" s="173"/>
      <c r="J257" s="173"/>
      <c r="K257" s="173"/>
      <c r="L257" s="173"/>
      <c r="M257" s="173"/>
      <c r="N257" s="173"/>
      <c r="O257" s="173"/>
      <c r="P257" s="173"/>
    </row>
    <row r="258" spans="1:16" ht="11.25" customHeight="1">
      <c r="A258" s="207"/>
      <c r="B258" s="208"/>
      <c r="C258" s="173"/>
      <c r="D258" s="173"/>
      <c r="E258" s="173"/>
      <c r="F258" s="173"/>
      <c r="G258" s="173"/>
      <c r="H258" s="173"/>
      <c r="I258" s="173"/>
      <c r="J258" s="173"/>
      <c r="K258" s="173"/>
      <c r="L258" s="173"/>
      <c r="M258" s="173"/>
      <c r="N258" s="173"/>
      <c r="O258" s="173"/>
      <c r="P258" s="173"/>
    </row>
    <row r="259" spans="1:16" ht="11.25" customHeight="1">
      <c r="A259" s="207"/>
      <c r="B259" s="208"/>
      <c r="C259" s="173"/>
      <c r="D259" s="173"/>
      <c r="E259" s="173"/>
      <c r="F259" s="173"/>
      <c r="G259" s="173"/>
      <c r="H259" s="173"/>
      <c r="I259" s="173"/>
      <c r="J259" s="173"/>
      <c r="K259" s="173"/>
      <c r="L259" s="173"/>
      <c r="M259" s="173"/>
      <c r="N259" s="173"/>
      <c r="O259" s="173"/>
      <c r="P259" s="173"/>
    </row>
    <row r="260" spans="1:16" ht="11.25" customHeight="1">
      <c r="A260" s="207"/>
      <c r="B260" s="208"/>
      <c r="C260" s="173"/>
      <c r="D260" s="173"/>
      <c r="E260" s="173"/>
      <c r="F260" s="173"/>
      <c r="G260" s="173"/>
      <c r="H260" s="173"/>
      <c r="I260" s="173"/>
      <c r="J260" s="173"/>
      <c r="K260" s="173"/>
      <c r="L260" s="173"/>
      <c r="M260" s="173"/>
      <c r="N260" s="173"/>
      <c r="O260" s="173"/>
      <c r="P260" s="173"/>
    </row>
    <row r="261" spans="1:16" ht="11.25" customHeight="1">
      <c r="A261" s="207"/>
      <c r="B261" s="208"/>
      <c r="C261" s="173"/>
      <c r="D261" s="173"/>
      <c r="E261" s="173"/>
      <c r="F261" s="173"/>
      <c r="G261" s="173"/>
      <c r="H261" s="173"/>
      <c r="I261" s="173"/>
      <c r="J261" s="173"/>
      <c r="K261" s="173"/>
      <c r="L261" s="173"/>
      <c r="M261" s="173"/>
      <c r="N261" s="173"/>
      <c r="O261" s="173"/>
      <c r="P261" s="173"/>
    </row>
    <row r="262" spans="1:16" ht="11.25" customHeight="1">
      <c r="A262" s="207"/>
      <c r="B262" s="208"/>
      <c r="C262" s="173"/>
      <c r="D262" s="173"/>
      <c r="E262" s="173"/>
      <c r="F262" s="173"/>
      <c r="G262" s="173"/>
      <c r="H262" s="173"/>
      <c r="I262" s="173"/>
      <c r="J262" s="173"/>
      <c r="K262" s="173"/>
      <c r="L262" s="173"/>
      <c r="M262" s="173"/>
      <c r="N262" s="173"/>
      <c r="O262" s="173"/>
      <c r="P262" s="173"/>
    </row>
    <row r="263" spans="1:16" ht="11.25" customHeight="1">
      <c r="A263" s="207"/>
      <c r="B263" s="208"/>
      <c r="C263" s="173"/>
      <c r="D263" s="173"/>
      <c r="E263" s="173"/>
      <c r="F263" s="173"/>
      <c r="G263" s="173"/>
      <c r="H263" s="173"/>
      <c r="I263" s="173"/>
      <c r="J263" s="173"/>
      <c r="K263" s="173"/>
      <c r="L263" s="173"/>
      <c r="M263" s="173"/>
      <c r="N263" s="173"/>
      <c r="O263" s="173"/>
      <c r="P263" s="173"/>
    </row>
    <row r="264" spans="1:16" ht="11.25" customHeight="1">
      <c r="A264" s="207"/>
      <c r="B264" s="208"/>
      <c r="C264" s="173"/>
      <c r="D264" s="173"/>
      <c r="E264" s="173"/>
      <c r="F264" s="173"/>
      <c r="G264" s="173"/>
      <c r="H264" s="173"/>
      <c r="I264" s="173"/>
      <c r="J264" s="173"/>
      <c r="K264" s="173"/>
      <c r="L264" s="173"/>
      <c r="M264" s="173"/>
      <c r="N264" s="173"/>
      <c r="O264" s="173"/>
      <c r="P264" s="173"/>
    </row>
    <row r="265" spans="1:16" ht="11.25" customHeight="1">
      <c r="A265" s="207"/>
      <c r="B265" s="208"/>
      <c r="C265" s="173"/>
      <c r="D265" s="173"/>
      <c r="E265" s="173"/>
      <c r="F265" s="173"/>
      <c r="G265" s="173"/>
      <c r="H265" s="173"/>
      <c r="I265" s="173"/>
      <c r="J265" s="173"/>
      <c r="K265" s="173"/>
      <c r="L265" s="173"/>
      <c r="M265" s="173"/>
      <c r="N265" s="173"/>
      <c r="O265" s="173"/>
      <c r="P265" s="173"/>
    </row>
    <row r="266" spans="1:16" ht="11.25" customHeight="1">
      <c r="A266" s="207"/>
      <c r="B266" s="208"/>
      <c r="C266" s="173"/>
      <c r="D266" s="173"/>
      <c r="E266" s="173"/>
      <c r="F266" s="173"/>
      <c r="G266" s="173"/>
      <c r="H266" s="173"/>
      <c r="I266" s="173"/>
      <c r="J266" s="173"/>
      <c r="K266" s="173"/>
      <c r="L266" s="173"/>
      <c r="M266" s="173"/>
      <c r="N266" s="173"/>
      <c r="O266" s="173"/>
      <c r="P266" s="173"/>
    </row>
    <row r="267" spans="1:16" ht="11.25" customHeight="1">
      <c r="A267" s="207"/>
      <c r="B267" s="208"/>
      <c r="C267" s="173"/>
      <c r="D267" s="173"/>
      <c r="E267" s="173"/>
      <c r="F267" s="173"/>
      <c r="G267" s="173"/>
      <c r="H267" s="173"/>
      <c r="I267" s="173"/>
      <c r="J267" s="173"/>
      <c r="K267" s="173"/>
      <c r="L267" s="173"/>
      <c r="M267" s="173"/>
      <c r="N267" s="173"/>
      <c r="O267" s="173"/>
      <c r="P267" s="173"/>
    </row>
    <row r="268" spans="1:16" ht="11.25" customHeight="1">
      <c r="A268" s="207"/>
      <c r="B268" s="208"/>
      <c r="C268" s="173"/>
      <c r="D268" s="173"/>
      <c r="E268" s="173"/>
      <c r="F268" s="173"/>
      <c r="G268" s="173"/>
      <c r="H268" s="173"/>
      <c r="I268" s="173"/>
      <c r="J268" s="173"/>
      <c r="K268" s="173"/>
      <c r="L268" s="173"/>
      <c r="M268" s="173"/>
      <c r="N268" s="173"/>
      <c r="O268" s="173"/>
      <c r="P268" s="173"/>
    </row>
    <row r="269" spans="1:16" ht="11.25" customHeight="1">
      <c r="A269" s="207"/>
      <c r="B269" s="208"/>
      <c r="C269" s="173"/>
      <c r="D269" s="173"/>
      <c r="E269" s="173"/>
      <c r="F269" s="173"/>
      <c r="G269" s="173"/>
      <c r="H269" s="173"/>
      <c r="I269" s="173"/>
      <c r="J269" s="173"/>
      <c r="K269" s="173"/>
      <c r="L269" s="173"/>
      <c r="M269" s="173"/>
      <c r="N269" s="173"/>
      <c r="O269" s="173"/>
      <c r="P269" s="173"/>
    </row>
    <row r="270" spans="1:16" ht="11.25" customHeight="1">
      <c r="A270" s="207"/>
      <c r="B270" s="208"/>
      <c r="C270" s="173"/>
      <c r="D270" s="173"/>
      <c r="E270" s="173"/>
      <c r="F270" s="173"/>
      <c r="G270" s="173"/>
      <c r="H270" s="173"/>
      <c r="I270" s="173"/>
      <c r="J270" s="173"/>
      <c r="K270" s="173"/>
      <c r="L270" s="173"/>
      <c r="M270" s="173"/>
      <c r="N270" s="173"/>
      <c r="O270" s="173"/>
      <c r="P270" s="173"/>
    </row>
    <row r="271" spans="1:16" ht="11.25" customHeight="1">
      <c r="A271" s="207"/>
      <c r="B271" s="208"/>
      <c r="C271" s="173"/>
      <c r="D271" s="173"/>
      <c r="E271" s="173"/>
      <c r="F271" s="173"/>
      <c r="G271" s="173"/>
      <c r="H271" s="173"/>
      <c r="I271" s="173"/>
      <c r="J271" s="173"/>
      <c r="K271" s="173"/>
      <c r="L271" s="173"/>
      <c r="M271" s="173"/>
      <c r="N271" s="173"/>
      <c r="O271" s="173"/>
      <c r="P271" s="173"/>
    </row>
    <row r="272" spans="1:16" ht="11.25" customHeight="1">
      <c r="A272" s="207"/>
      <c r="B272" s="208"/>
      <c r="C272" s="173"/>
      <c r="D272" s="173"/>
      <c r="E272" s="173"/>
      <c r="F272" s="173"/>
      <c r="G272" s="173"/>
      <c r="H272" s="173"/>
      <c r="I272" s="173"/>
      <c r="J272" s="173"/>
      <c r="K272" s="173"/>
      <c r="L272" s="173"/>
      <c r="M272" s="173"/>
      <c r="N272" s="173"/>
      <c r="O272" s="173"/>
      <c r="P272" s="173"/>
    </row>
    <row r="273" spans="1:16" ht="11.25" customHeight="1">
      <c r="A273" s="207"/>
      <c r="B273" s="208"/>
      <c r="C273" s="173"/>
      <c r="D273" s="173"/>
      <c r="E273" s="173"/>
      <c r="F273" s="173"/>
      <c r="G273" s="173"/>
      <c r="H273" s="173"/>
      <c r="I273" s="173"/>
      <c r="J273" s="173"/>
      <c r="K273" s="173"/>
      <c r="L273" s="173"/>
      <c r="M273" s="173"/>
      <c r="N273" s="173"/>
      <c r="O273" s="173"/>
      <c r="P273" s="173"/>
    </row>
    <row r="274" spans="1:16" ht="11.25" customHeight="1">
      <c r="A274" s="207"/>
      <c r="B274" s="208"/>
      <c r="C274" s="173"/>
      <c r="D274" s="173"/>
      <c r="E274" s="173"/>
      <c r="F274" s="173"/>
      <c r="G274" s="173"/>
      <c r="H274" s="173"/>
      <c r="I274" s="173"/>
      <c r="J274" s="173"/>
      <c r="K274" s="173"/>
      <c r="L274" s="173"/>
      <c r="M274" s="173"/>
      <c r="N274" s="173"/>
      <c r="O274" s="173"/>
      <c r="P274" s="173"/>
    </row>
    <row r="275" spans="1:16" ht="11.25" customHeight="1">
      <c r="A275" s="207"/>
      <c r="B275" s="208"/>
      <c r="C275" s="173"/>
      <c r="D275" s="173"/>
      <c r="E275" s="173"/>
      <c r="F275" s="173"/>
      <c r="G275" s="173"/>
      <c r="H275" s="173"/>
      <c r="I275" s="173"/>
      <c r="J275" s="173"/>
      <c r="K275" s="173"/>
      <c r="L275" s="173"/>
      <c r="M275" s="173"/>
      <c r="N275" s="173"/>
      <c r="O275" s="173"/>
      <c r="P275" s="173"/>
    </row>
    <row r="276" spans="1:16" ht="11.25" customHeight="1">
      <c r="A276" s="207"/>
      <c r="B276" s="208"/>
      <c r="C276" s="173"/>
      <c r="D276" s="173"/>
      <c r="E276" s="173"/>
      <c r="F276" s="173"/>
      <c r="G276" s="173"/>
      <c r="H276" s="173"/>
      <c r="I276" s="173"/>
      <c r="J276" s="173"/>
      <c r="K276" s="173"/>
      <c r="L276" s="173"/>
      <c r="M276" s="173"/>
      <c r="N276" s="173"/>
      <c r="O276" s="173"/>
      <c r="P276" s="173"/>
    </row>
    <row r="277" spans="1:16" ht="11.25" customHeight="1">
      <c r="A277" s="207"/>
      <c r="B277" s="208"/>
      <c r="C277" s="173"/>
      <c r="D277" s="173"/>
      <c r="E277" s="173"/>
      <c r="F277" s="173"/>
      <c r="G277" s="173"/>
      <c r="H277" s="173"/>
      <c r="I277" s="173"/>
      <c r="J277" s="173"/>
      <c r="K277" s="173"/>
      <c r="L277" s="173"/>
      <c r="M277" s="173"/>
      <c r="N277" s="173"/>
      <c r="O277" s="173"/>
      <c r="P277" s="173"/>
    </row>
    <row r="278" spans="1:16" ht="11.25" customHeight="1">
      <c r="A278" s="207"/>
      <c r="B278" s="208"/>
      <c r="C278" s="173"/>
      <c r="D278" s="173"/>
      <c r="E278" s="173"/>
      <c r="F278" s="173"/>
      <c r="G278" s="173"/>
      <c r="H278" s="173"/>
      <c r="I278" s="173"/>
      <c r="J278" s="173"/>
      <c r="K278" s="173"/>
      <c r="L278" s="173"/>
      <c r="M278" s="173"/>
      <c r="N278" s="173"/>
      <c r="O278" s="173"/>
      <c r="P278" s="173"/>
    </row>
    <row r="279" spans="1:16" ht="11.25" customHeight="1">
      <c r="A279" s="207"/>
      <c r="B279" s="208"/>
      <c r="C279" s="173"/>
      <c r="D279" s="173"/>
      <c r="E279" s="173"/>
      <c r="F279" s="173"/>
      <c r="G279" s="173"/>
      <c r="H279" s="173"/>
      <c r="I279" s="173"/>
      <c r="J279" s="173"/>
      <c r="K279" s="173"/>
      <c r="L279" s="173"/>
      <c r="M279" s="173"/>
      <c r="N279" s="173"/>
      <c r="O279" s="173"/>
      <c r="P279" s="173"/>
    </row>
    <row r="280" spans="1:16" ht="11.25" customHeight="1">
      <c r="A280" s="207"/>
      <c r="B280" s="208"/>
      <c r="C280" s="173"/>
      <c r="D280" s="173"/>
      <c r="E280" s="173"/>
      <c r="F280" s="173"/>
      <c r="G280" s="173"/>
      <c r="H280" s="173"/>
      <c r="I280" s="173"/>
      <c r="J280" s="173"/>
      <c r="K280" s="173"/>
      <c r="L280" s="173"/>
      <c r="M280" s="173"/>
      <c r="N280" s="173"/>
      <c r="O280" s="173"/>
      <c r="P280" s="173"/>
    </row>
    <row r="281" spans="1:16" ht="11.25" customHeight="1">
      <c r="A281" s="207"/>
      <c r="B281" s="208"/>
      <c r="C281" s="173"/>
      <c r="D281" s="173"/>
      <c r="E281" s="173"/>
      <c r="F281" s="173"/>
      <c r="G281" s="173"/>
      <c r="H281" s="173"/>
      <c r="I281" s="173"/>
      <c r="J281" s="173"/>
      <c r="K281" s="173"/>
      <c r="L281" s="173"/>
      <c r="M281" s="173"/>
      <c r="N281" s="173"/>
      <c r="O281" s="173"/>
      <c r="P281" s="173"/>
    </row>
    <row r="282" spans="1:16" ht="11.25" customHeight="1">
      <c r="A282" s="207"/>
      <c r="B282" s="208"/>
      <c r="C282" s="173"/>
      <c r="D282" s="173"/>
      <c r="E282" s="173"/>
      <c r="F282" s="173"/>
      <c r="G282" s="173"/>
      <c r="H282" s="173"/>
      <c r="I282" s="173"/>
      <c r="J282" s="173"/>
      <c r="K282" s="173"/>
      <c r="L282" s="173"/>
      <c r="M282" s="173"/>
      <c r="N282" s="173"/>
      <c r="O282" s="173"/>
      <c r="P282" s="173"/>
    </row>
    <row r="283" spans="1:16" ht="11.25" customHeight="1">
      <c r="A283" s="207"/>
      <c r="B283" s="208"/>
      <c r="C283" s="173"/>
      <c r="D283" s="173"/>
      <c r="E283" s="173"/>
      <c r="F283" s="173"/>
      <c r="G283" s="173"/>
      <c r="H283" s="173"/>
      <c r="I283" s="173"/>
      <c r="J283" s="173"/>
      <c r="K283" s="173"/>
      <c r="L283" s="173"/>
      <c r="M283" s="173"/>
      <c r="N283" s="173"/>
      <c r="O283" s="173"/>
      <c r="P283" s="173"/>
    </row>
    <row r="284" spans="1:16" ht="11.25" customHeight="1">
      <c r="A284" s="207"/>
      <c r="B284" s="208"/>
      <c r="C284" s="173"/>
      <c r="D284" s="173"/>
      <c r="E284" s="173"/>
      <c r="F284" s="173"/>
      <c r="G284" s="173"/>
      <c r="H284" s="173"/>
      <c r="I284" s="173"/>
      <c r="J284" s="173"/>
      <c r="K284" s="173"/>
      <c r="L284" s="173"/>
      <c r="M284" s="173"/>
      <c r="N284" s="173"/>
      <c r="O284" s="173"/>
      <c r="P284" s="173"/>
    </row>
    <row r="285" spans="1:16" ht="11.25" customHeight="1">
      <c r="A285" s="207"/>
      <c r="B285" s="208"/>
      <c r="C285" s="173"/>
      <c r="D285" s="173"/>
      <c r="E285" s="173"/>
      <c r="F285" s="173"/>
      <c r="G285" s="173"/>
      <c r="H285" s="173"/>
      <c r="I285" s="173"/>
      <c r="J285" s="173"/>
      <c r="K285" s="173"/>
      <c r="L285" s="173"/>
      <c r="M285" s="173"/>
      <c r="N285" s="173"/>
      <c r="O285" s="173"/>
      <c r="P285" s="173"/>
    </row>
    <row r="286" spans="1:16" ht="11.25" customHeight="1">
      <c r="A286" s="207"/>
      <c r="B286" s="208"/>
      <c r="C286" s="173"/>
      <c r="D286" s="173"/>
      <c r="E286" s="173"/>
      <c r="F286" s="173"/>
      <c r="G286" s="173"/>
      <c r="H286" s="173"/>
      <c r="I286" s="173"/>
      <c r="J286" s="173"/>
      <c r="K286" s="173"/>
      <c r="L286" s="173"/>
      <c r="M286" s="173"/>
      <c r="N286" s="173"/>
      <c r="O286" s="173"/>
      <c r="P286" s="173"/>
    </row>
    <row r="287" spans="1:16" ht="11.25" customHeight="1">
      <c r="A287" s="207"/>
      <c r="B287" s="208"/>
      <c r="C287" s="173"/>
      <c r="D287" s="173"/>
      <c r="E287" s="173"/>
      <c r="F287" s="173"/>
      <c r="G287" s="173"/>
      <c r="H287" s="173"/>
      <c r="I287" s="173"/>
      <c r="J287" s="173"/>
      <c r="K287" s="173"/>
      <c r="L287" s="173"/>
      <c r="M287" s="173"/>
      <c r="N287" s="173"/>
      <c r="O287" s="173"/>
      <c r="P287" s="173"/>
    </row>
    <row r="288" spans="1:16" ht="11.25" customHeight="1">
      <c r="A288" s="207"/>
      <c r="B288" s="208"/>
      <c r="C288" s="173"/>
      <c r="D288" s="173"/>
      <c r="E288" s="173"/>
      <c r="F288" s="173"/>
      <c r="G288" s="173"/>
      <c r="H288" s="173"/>
      <c r="I288" s="173"/>
      <c r="J288" s="173"/>
      <c r="K288" s="173"/>
      <c r="L288" s="173"/>
      <c r="M288" s="173"/>
      <c r="N288" s="173"/>
      <c r="O288" s="173"/>
      <c r="P288" s="173"/>
    </row>
    <row r="289" spans="1:16" ht="11.25" customHeight="1">
      <c r="A289" s="207"/>
      <c r="B289" s="208"/>
      <c r="C289" s="173"/>
      <c r="D289" s="173"/>
      <c r="E289" s="173"/>
      <c r="F289" s="173"/>
      <c r="G289" s="173"/>
      <c r="H289" s="173"/>
      <c r="I289" s="173"/>
      <c r="J289" s="173"/>
      <c r="K289" s="173"/>
      <c r="L289" s="173"/>
      <c r="M289" s="173"/>
      <c r="N289" s="173"/>
      <c r="O289" s="173"/>
      <c r="P289" s="173"/>
    </row>
    <row r="290" spans="1:16" ht="11.25" customHeight="1">
      <c r="A290" s="207"/>
      <c r="B290" s="208"/>
      <c r="C290" s="173"/>
      <c r="D290" s="173"/>
      <c r="E290" s="173"/>
      <c r="F290" s="173"/>
      <c r="G290" s="173"/>
      <c r="H290" s="173"/>
      <c r="I290" s="173"/>
      <c r="J290" s="173"/>
      <c r="K290" s="173"/>
      <c r="L290" s="173"/>
      <c r="M290" s="173"/>
      <c r="N290" s="173"/>
      <c r="O290" s="173"/>
      <c r="P290" s="173"/>
    </row>
    <row r="291" spans="1:16" ht="11.25" customHeight="1">
      <c r="A291" s="207"/>
      <c r="B291" s="208"/>
      <c r="C291" s="173"/>
      <c r="D291" s="173"/>
      <c r="E291" s="173"/>
      <c r="F291" s="173"/>
      <c r="G291" s="173"/>
      <c r="H291" s="173"/>
      <c r="I291" s="173"/>
      <c r="J291" s="173"/>
      <c r="K291" s="173"/>
      <c r="L291" s="173"/>
      <c r="M291" s="173"/>
      <c r="N291" s="173"/>
      <c r="O291" s="173"/>
      <c r="P291" s="173"/>
    </row>
    <row r="292" spans="1:16" ht="11.25" customHeight="1">
      <c r="A292" s="207"/>
      <c r="B292" s="208"/>
      <c r="C292" s="173"/>
      <c r="D292" s="173"/>
      <c r="E292" s="173"/>
      <c r="F292" s="173"/>
      <c r="G292" s="173"/>
      <c r="H292" s="173"/>
      <c r="I292" s="173"/>
      <c r="J292" s="173"/>
      <c r="K292" s="173"/>
      <c r="L292" s="173"/>
      <c r="M292" s="173"/>
      <c r="N292" s="173"/>
      <c r="O292" s="173"/>
      <c r="P292" s="173"/>
    </row>
    <row r="293" spans="1:16" ht="11.25" customHeight="1">
      <c r="A293" s="207"/>
      <c r="B293" s="208"/>
      <c r="C293" s="173"/>
      <c r="D293" s="173"/>
      <c r="E293" s="173"/>
      <c r="F293" s="173"/>
      <c r="G293" s="173"/>
      <c r="H293" s="173"/>
      <c r="I293" s="173"/>
      <c r="J293" s="173"/>
      <c r="K293" s="173"/>
      <c r="L293" s="173"/>
      <c r="M293" s="173"/>
      <c r="N293" s="173"/>
      <c r="O293" s="173"/>
      <c r="P293" s="173"/>
    </row>
    <row r="294" spans="1:16" ht="11.25" customHeight="1">
      <c r="A294" s="207"/>
      <c r="B294" s="208"/>
      <c r="C294" s="173"/>
      <c r="D294" s="173"/>
      <c r="E294" s="173"/>
      <c r="F294" s="173"/>
      <c r="G294" s="173"/>
      <c r="H294" s="173"/>
      <c r="I294" s="173"/>
      <c r="J294" s="173"/>
      <c r="K294" s="173"/>
      <c r="L294" s="173"/>
      <c r="M294" s="173"/>
      <c r="N294" s="173"/>
      <c r="O294" s="173"/>
      <c r="P294" s="173"/>
    </row>
    <row r="295" spans="1:16" ht="11.25" customHeight="1">
      <c r="A295" s="207"/>
      <c r="B295" s="208"/>
      <c r="C295" s="173"/>
      <c r="D295" s="173"/>
      <c r="E295" s="173"/>
      <c r="F295" s="173"/>
      <c r="G295" s="173"/>
      <c r="H295" s="173"/>
      <c r="I295" s="173"/>
      <c r="J295" s="173"/>
      <c r="K295" s="173"/>
      <c r="L295" s="173"/>
      <c r="M295" s="173"/>
      <c r="N295" s="173"/>
      <c r="O295" s="173"/>
      <c r="P295" s="173"/>
    </row>
    <row r="296" spans="1:16" ht="11.25" customHeight="1">
      <c r="A296" s="207"/>
      <c r="B296" s="208"/>
      <c r="C296" s="173"/>
      <c r="D296" s="173"/>
      <c r="E296" s="173"/>
      <c r="F296" s="173"/>
      <c r="G296" s="173"/>
      <c r="H296" s="173"/>
      <c r="I296" s="173"/>
      <c r="J296" s="173"/>
      <c r="K296" s="173"/>
      <c r="L296" s="173"/>
      <c r="M296" s="173"/>
      <c r="N296" s="173"/>
      <c r="O296" s="173"/>
      <c r="P296" s="173"/>
    </row>
    <row r="297" spans="1:16" ht="11.25" customHeight="1">
      <c r="A297" s="207"/>
      <c r="B297" s="208"/>
      <c r="C297" s="173"/>
      <c r="D297" s="173"/>
      <c r="E297" s="173"/>
      <c r="F297" s="173"/>
      <c r="G297" s="173"/>
      <c r="H297" s="173"/>
      <c r="I297" s="173"/>
      <c r="J297" s="173"/>
      <c r="K297" s="173"/>
      <c r="L297" s="173"/>
      <c r="M297" s="173"/>
      <c r="N297" s="173"/>
      <c r="O297" s="173"/>
      <c r="P297" s="173"/>
    </row>
    <row r="298" spans="1:16" ht="11.25" customHeight="1">
      <c r="A298" s="207"/>
      <c r="B298" s="208"/>
      <c r="C298" s="173"/>
      <c r="D298" s="173"/>
      <c r="E298" s="173"/>
      <c r="F298" s="173"/>
      <c r="G298" s="173"/>
      <c r="H298" s="173"/>
      <c r="I298" s="173"/>
      <c r="J298" s="173"/>
      <c r="K298" s="173"/>
      <c r="L298" s="173"/>
      <c r="M298" s="173"/>
      <c r="N298" s="173"/>
      <c r="O298" s="173"/>
      <c r="P298" s="173"/>
    </row>
    <row r="299" spans="1:16" ht="11.25" customHeight="1">
      <c r="A299" s="207"/>
      <c r="B299" s="208"/>
      <c r="C299" s="173"/>
      <c r="D299" s="173"/>
      <c r="E299" s="173"/>
      <c r="F299" s="173"/>
      <c r="G299" s="173"/>
      <c r="H299" s="173"/>
      <c r="I299" s="173"/>
      <c r="J299" s="173"/>
      <c r="K299" s="173"/>
      <c r="L299" s="173"/>
      <c r="M299" s="173"/>
      <c r="N299" s="173"/>
      <c r="O299" s="173"/>
      <c r="P299" s="173"/>
    </row>
    <row r="300" spans="1:16" ht="11.25" customHeight="1">
      <c r="A300" s="207"/>
      <c r="B300" s="208"/>
      <c r="C300" s="173"/>
      <c r="D300" s="173"/>
      <c r="E300" s="173"/>
      <c r="F300" s="173"/>
      <c r="G300" s="173"/>
      <c r="H300" s="173"/>
      <c r="I300" s="173"/>
      <c r="J300" s="173"/>
      <c r="K300" s="173"/>
      <c r="L300" s="173"/>
      <c r="M300" s="173"/>
      <c r="N300" s="173"/>
      <c r="O300" s="173"/>
      <c r="P300" s="173"/>
    </row>
    <row r="301" spans="1:16" ht="11.25" customHeight="1">
      <c r="A301" s="207"/>
      <c r="B301" s="208"/>
      <c r="C301" s="173"/>
      <c r="D301" s="173"/>
      <c r="E301" s="173"/>
      <c r="F301" s="173"/>
      <c r="G301" s="173"/>
      <c r="H301" s="173"/>
      <c r="I301" s="173"/>
      <c r="J301" s="173"/>
      <c r="K301" s="173"/>
      <c r="L301" s="173"/>
      <c r="M301" s="173"/>
      <c r="N301" s="173"/>
      <c r="O301" s="173"/>
      <c r="P301" s="173"/>
    </row>
    <row r="302" spans="1:16" ht="11.25" customHeight="1">
      <c r="A302" s="207"/>
      <c r="B302" s="208"/>
      <c r="C302" s="173"/>
      <c r="D302" s="173"/>
      <c r="E302" s="173"/>
      <c r="F302" s="173"/>
      <c r="G302" s="173"/>
      <c r="H302" s="173"/>
      <c r="I302" s="173"/>
      <c r="J302" s="173"/>
      <c r="K302" s="173"/>
      <c r="L302" s="173"/>
      <c r="M302" s="173"/>
      <c r="N302" s="173"/>
      <c r="O302" s="173"/>
      <c r="P302" s="173"/>
    </row>
    <row r="303" spans="1:16" ht="11.25" customHeight="1">
      <c r="A303" s="207"/>
      <c r="B303" s="208"/>
      <c r="C303" s="173"/>
      <c r="D303" s="173"/>
      <c r="E303" s="173"/>
      <c r="F303" s="173"/>
      <c r="G303" s="173"/>
      <c r="H303" s="173"/>
      <c r="I303" s="173"/>
      <c r="J303" s="173"/>
      <c r="K303" s="173"/>
      <c r="L303" s="173"/>
      <c r="M303" s="173"/>
      <c r="N303" s="173"/>
      <c r="O303" s="173"/>
      <c r="P303" s="173"/>
    </row>
    <row r="304" spans="1:16" ht="11.25" customHeight="1">
      <c r="A304" s="207"/>
      <c r="B304" s="208"/>
      <c r="C304" s="173"/>
      <c r="D304" s="173"/>
      <c r="E304" s="173"/>
      <c r="F304" s="173"/>
      <c r="G304" s="173"/>
      <c r="H304" s="173"/>
      <c r="I304" s="173"/>
      <c r="J304" s="173"/>
      <c r="K304" s="173"/>
      <c r="L304" s="173"/>
      <c r="M304" s="173"/>
      <c r="N304" s="173"/>
      <c r="O304" s="173"/>
      <c r="P304" s="173"/>
    </row>
    <row r="305" spans="1:16" ht="11.25" customHeight="1">
      <c r="A305" s="207"/>
      <c r="B305" s="208"/>
      <c r="C305" s="173"/>
      <c r="D305" s="173"/>
      <c r="E305" s="173"/>
      <c r="F305" s="173"/>
      <c r="G305" s="173"/>
      <c r="H305" s="173"/>
      <c r="I305" s="173"/>
      <c r="J305" s="173"/>
      <c r="K305" s="173"/>
      <c r="L305" s="173"/>
      <c r="M305" s="173"/>
      <c r="N305" s="173"/>
      <c r="O305" s="173"/>
      <c r="P305" s="173"/>
    </row>
    <row r="306" spans="1:16" ht="11.25" customHeight="1">
      <c r="A306" s="207"/>
      <c r="B306" s="208"/>
      <c r="C306" s="173"/>
      <c r="D306" s="173"/>
      <c r="E306" s="173"/>
      <c r="F306" s="173"/>
      <c r="G306" s="173"/>
      <c r="H306" s="173"/>
      <c r="I306" s="173"/>
      <c r="J306" s="173"/>
      <c r="K306" s="173"/>
      <c r="L306" s="173"/>
      <c r="M306" s="173"/>
      <c r="N306" s="173"/>
      <c r="O306" s="173"/>
      <c r="P306" s="173"/>
    </row>
    <row r="307" spans="1:16" ht="11.25" customHeight="1">
      <c r="A307" s="207"/>
      <c r="B307" s="208"/>
      <c r="C307" s="173"/>
      <c r="D307" s="173"/>
      <c r="E307" s="173"/>
      <c r="F307" s="173"/>
      <c r="G307" s="173"/>
      <c r="H307" s="173"/>
      <c r="I307" s="173"/>
      <c r="J307" s="173"/>
      <c r="K307" s="173"/>
      <c r="L307" s="173"/>
      <c r="M307" s="173"/>
      <c r="N307" s="173"/>
      <c r="O307" s="173"/>
      <c r="P307" s="173"/>
    </row>
    <row r="308" spans="1:16" ht="11.25" customHeight="1">
      <c r="A308" s="207"/>
      <c r="B308" s="208"/>
      <c r="C308" s="173"/>
      <c r="D308" s="173"/>
      <c r="E308" s="173"/>
      <c r="F308" s="173"/>
      <c r="G308" s="173"/>
      <c r="H308" s="173"/>
      <c r="I308" s="173"/>
      <c r="J308" s="173"/>
      <c r="K308" s="173"/>
      <c r="L308" s="173"/>
      <c r="M308" s="173"/>
      <c r="N308" s="173"/>
      <c r="O308" s="173"/>
      <c r="P308" s="173"/>
    </row>
    <row r="309" spans="1:16" ht="11.25" customHeight="1">
      <c r="A309" s="207"/>
      <c r="B309" s="208"/>
      <c r="C309" s="173"/>
      <c r="D309" s="173"/>
      <c r="E309" s="173"/>
      <c r="F309" s="173"/>
      <c r="G309" s="173"/>
      <c r="H309" s="173"/>
      <c r="I309" s="173"/>
      <c r="J309" s="173"/>
      <c r="K309" s="173"/>
      <c r="L309" s="173"/>
      <c r="M309" s="173"/>
      <c r="N309" s="173"/>
      <c r="O309" s="173"/>
      <c r="P309" s="173"/>
    </row>
    <row r="310" spans="1:16" ht="11.25" customHeight="1">
      <c r="A310" s="207"/>
      <c r="B310" s="208"/>
      <c r="C310" s="173"/>
      <c r="D310" s="173"/>
      <c r="E310" s="173"/>
      <c r="F310" s="173"/>
      <c r="G310" s="173"/>
      <c r="H310" s="173"/>
      <c r="I310" s="173"/>
      <c r="J310" s="173"/>
      <c r="K310" s="173"/>
      <c r="L310" s="173"/>
      <c r="M310" s="173"/>
      <c r="N310" s="173"/>
      <c r="O310" s="173"/>
      <c r="P310" s="173"/>
    </row>
    <row r="311" spans="1:16" ht="11.25" customHeight="1">
      <c r="A311" s="207"/>
      <c r="B311" s="208"/>
      <c r="C311" s="173"/>
      <c r="D311" s="173"/>
      <c r="E311" s="173"/>
      <c r="F311" s="173"/>
      <c r="G311" s="173"/>
      <c r="H311" s="173"/>
      <c r="I311" s="173"/>
      <c r="J311" s="173"/>
      <c r="K311" s="173"/>
      <c r="L311" s="173"/>
      <c r="M311" s="173"/>
      <c r="N311" s="173"/>
      <c r="O311" s="173"/>
      <c r="P311" s="173"/>
    </row>
    <row r="312" spans="1:16" ht="11.25" customHeight="1">
      <c r="A312" s="207"/>
      <c r="B312" s="208"/>
      <c r="C312" s="173"/>
      <c r="D312" s="173"/>
      <c r="E312" s="173"/>
      <c r="F312" s="173"/>
      <c r="G312" s="173"/>
      <c r="H312" s="173"/>
      <c r="I312" s="173"/>
      <c r="J312" s="173"/>
      <c r="K312" s="173"/>
      <c r="L312" s="173"/>
      <c r="M312" s="173"/>
      <c r="N312" s="173"/>
      <c r="O312" s="173"/>
      <c r="P312" s="173"/>
    </row>
    <row r="313" spans="1:16" ht="11.25" customHeight="1">
      <c r="A313" s="207"/>
      <c r="B313" s="208"/>
      <c r="C313" s="173"/>
      <c r="D313" s="173"/>
      <c r="E313" s="173"/>
      <c r="F313" s="173"/>
      <c r="G313" s="173"/>
      <c r="H313" s="173"/>
      <c r="I313" s="173"/>
      <c r="J313" s="173"/>
      <c r="K313" s="173"/>
      <c r="L313" s="173"/>
      <c r="M313" s="173"/>
      <c r="N313" s="173"/>
      <c r="O313" s="173"/>
      <c r="P313" s="173"/>
    </row>
    <row r="314" spans="1:16" ht="11.25" customHeight="1">
      <c r="A314" s="207"/>
      <c r="B314" s="208"/>
      <c r="C314" s="173"/>
      <c r="D314" s="173"/>
      <c r="E314" s="173"/>
      <c r="F314" s="173"/>
      <c r="G314" s="173"/>
      <c r="H314" s="173"/>
      <c r="I314" s="173"/>
      <c r="J314" s="173"/>
      <c r="K314" s="173"/>
      <c r="L314" s="173"/>
      <c r="M314" s="173"/>
      <c r="N314" s="173"/>
      <c r="O314" s="173"/>
      <c r="P314" s="173"/>
    </row>
    <row r="315" spans="1:16" ht="11.25" customHeight="1">
      <c r="A315" s="207"/>
      <c r="B315" s="208"/>
      <c r="C315" s="173"/>
      <c r="D315" s="173"/>
      <c r="E315" s="173"/>
      <c r="F315" s="173"/>
      <c r="G315" s="173"/>
      <c r="H315" s="173"/>
      <c r="I315" s="173"/>
      <c r="J315" s="173"/>
      <c r="K315" s="173"/>
      <c r="L315" s="173"/>
      <c r="M315" s="173"/>
      <c r="N315" s="173"/>
      <c r="O315" s="173"/>
      <c r="P315" s="173"/>
    </row>
    <row r="316" spans="1:16" ht="11.25" customHeight="1">
      <c r="A316" s="207"/>
      <c r="B316" s="208"/>
      <c r="C316" s="173"/>
      <c r="D316" s="173"/>
      <c r="E316" s="173"/>
      <c r="F316" s="173"/>
      <c r="G316" s="173"/>
      <c r="H316" s="173"/>
      <c r="I316" s="173"/>
      <c r="J316" s="173"/>
      <c r="K316" s="173"/>
      <c r="L316" s="173"/>
      <c r="M316" s="173"/>
      <c r="N316" s="173"/>
      <c r="O316" s="173"/>
      <c r="P316" s="173"/>
    </row>
    <row r="317" spans="1:16" ht="11.25" customHeight="1">
      <c r="A317" s="207"/>
      <c r="B317" s="208"/>
      <c r="C317" s="173"/>
      <c r="D317" s="173"/>
      <c r="E317" s="173"/>
      <c r="F317" s="173"/>
      <c r="G317" s="173"/>
      <c r="H317" s="173"/>
      <c r="I317" s="173"/>
      <c r="J317" s="173"/>
      <c r="K317" s="173"/>
      <c r="L317" s="173"/>
      <c r="M317" s="173"/>
      <c r="N317" s="173"/>
      <c r="O317" s="173"/>
      <c r="P317" s="173"/>
    </row>
    <row r="318" spans="1:16" ht="11.25" customHeight="1">
      <c r="A318" s="207"/>
      <c r="B318" s="208"/>
      <c r="C318" s="173"/>
      <c r="D318" s="173"/>
      <c r="E318" s="173"/>
      <c r="F318" s="173"/>
      <c r="G318" s="173"/>
      <c r="H318" s="173"/>
      <c r="I318" s="173"/>
      <c r="J318" s="173"/>
      <c r="K318" s="173"/>
      <c r="L318" s="173"/>
      <c r="M318" s="173"/>
      <c r="N318" s="173"/>
      <c r="O318" s="173"/>
      <c r="P318" s="173"/>
    </row>
    <row r="319" spans="1:16" ht="11.25" customHeight="1">
      <c r="A319" s="207"/>
      <c r="B319" s="208"/>
      <c r="C319" s="173"/>
      <c r="D319" s="173"/>
      <c r="E319" s="173"/>
      <c r="F319" s="173"/>
      <c r="G319" s="173"/>
      <c r="H319" s="173"/>
      <c r="I319" s="173"/>
      <c r="J319" s="173"/>
      <c r="K319" s="173"/>
      <c r="L319" s="173"/>
      <c r="M319" s="173"/>
      <c r="N319" s="173"/>
      <c r="O319" s="173"/>
      <c r="P319" s="173"/>
    </row>
    <row r="320" spans="1:16" ht="11.25" customHeight="1">
      <c r="A320" s="207"/>
      <c r="B320" s="208"/>
      <c r="C320" s="173"/>
      <c r="D320" s="173"/>
      <c r="E320" s="173"/>
      <c r="F320" s="173"/>
      <c r="G320" s="173"/>
      <c r="H320" s="173"/>
      <c r="I320" s="173"/>
      <c r="J320" s="173"/>
      <c r="K320" s="173"/>
      <c r="L320" s="173"/>
      <c r="M320" s="173"/>
      <c r="N320" s="173"/>
      <c r="O320" s="173"/>
      <c r="P320" s="173"/>
    </row>
    <row r="321" spans="1:16" ht="11.25" customHeight="1">
      <c r="A321" s="207"/>
      <c r="B321" s="208"/>
      <c r="C321" s="173"/>
      <c r="D321" s="173"/>
      <c r="E321" s="173"/>
      <c r="F321" s="173"/>
      <c r="G321" s="173"/>
      <c r="H321" s="173"/>
      <c r="I321" s="173"/>
      <c r="J321" s="173"/>
      <c r="K321" s="173"/>
      <c r="L321" s="173"/>
      <c r="M321" s="173"/>
      <c r="N321" s="173"/>
      <c r="O321" s="173"/>
      <c r="P321" s="173"/>
    </row>
    <row r="322" spans="1:16" ht="11.25" customHeight="1">
      <c r="A322" s="207"/>
      <c r="B322" s="208"/>
      <c r="C322" s="173"/>
      <c r="D322" s="173"/>
      <c r="E322" s="173"/>
      <c r="F322" s="173"/>
      <c r="G322" s="173"/>
      <c r="H322" s="173"/>
      <c r="I322" s="173"/>
      <c r="J322" s="173"/>
      <c r="K322" s="173"/>
      <c r="L322" s="173"/>
      <c r="M322" s="173"/>
      <c r="N322" s="173"/>
      <c r="O322" s="173"/>
      <c r="P322" s="173"/>
    </row>
    <row r="323" spans="1:16" ht="11.25" customHeight="1">
      <c r="A323" s="207"/>
      <c r="B323" s="208"/>
      <c r="C323" s="173"/>
      <c r="D323" s="173"/>
      <c r="E323" s="173"/>
      <c r="F323" s="173"/>
      <c r="G323" s="173"/>
      <c r="H323" s="173"/>
      <c r="I323" s="173"/>
      <c r="J323" s="173"/>
      <c r="K323" s="173"/>
      <c r="L323" s="173"/>
      <c r="M323" s="173"/>
      <c r="N323" s="173"/>
      <c r="O323" s="173"/>
      <c r="P323" s="173"/>
    </row>
    <row r="324" spans="1:16" ht="11.25" customHeight="1">
      <c r="A324" s="207"/>
      <c r="B324" s="208"/>
      <c r="C324" s="173"/>
      <c r="D324" s="173"/>
      <c r="E324" s="173"/>
      <c r="F324" s="173"/>
      <c r="G324" s="173"/>
      <c r="H324" s="173"/>
      <c r="I324" s="173"/>
      <c r="J324" s="173"/>
      <c r="K324" s="173"/>
      <c r="L324" s="173"/>
      <c r="M324" s="173"/>
      <c r="N324" s="173"/>
      <c r="O324" s="173"/>
      <c r="P324" s="173"/>
    </row>
    <row r="325" spans="1:16" ht="11.25" customHeight="1">
      <c r="A325" s="207"/>
      <c r="B325" s="208"/>
      <c r="C325" s="173"/>
      <c r="D325" s="173"/>
      <c r="E325" s="173"/>
      <c r="F325" s="173"/>
      <c r="G325" s="173"/>
      <c r="H325" s="173"/>
      <c r="I325" s="173"/>
      <c r="J325" s="173"/>
      <c r="K325" s="173"/>
      <c r="L325" s="173"/>
      <c r="M325" s="173"/>
      <c r="N325" s="173"/>
      <c r="O325" s="173"/>
      <c r="P325" s="173"/>
    </row>
    <row r="326" spans="1:16" ht="11.25" customHeight="1">
      <c r="A326" s="207"/>
      <c r="B326" s="208"/>
      <c r="C326" s="173"/>
      <c r="D326" s="173"/>
      <c r="E326" s="173"/>
      <c r="F326" s="173"/>
      <c r="G326" s="173"/>
      <c r="H326" s="173"/>
      <c r="I326" s="173"/>
      <c r="J326" s="173"/>
      <c r="K326" s="173"/>
      <c r="L326" s="173"/>
      <c r="M326" s="173"/>
      <c r="N326" s="173"/>
      <c r="O326" s="173"/>
      <c r="P326" s="173"/>
    </row>
    <row r="327" spans="1:16" ht="11.25" customHeight="1">
      <c r="A327" s="207"/>
      <c r="B327" s="208"/>
      <c r="C327" s="173"/>
      <c r="D327" s="173"/>
      <c r="E327" s="173"/>
      <c r="F327" s="173"/>
      <c r="G327" s="173"/>
      <c r="H327" s="173"/>
      <c r="I327" s="173"/>
      <c r="J327" s="173"/>
      <c r="K327" s="173"/>
      <c r="L327" s="173"/>
      <c r="M327" s="173"/>
      <c r="N327" s="173"/>
      <c r="O327" s="173"/>
      <c r="P327" s="173"/>
    </row>
    <row r="328" spans="1:16" ht="11.25" customHeight="1">
      <c r="A328" s="207"/>
      <c r="B328" s="208"/>
      <c r="C328" s="173"/>
      <c r="D328" s="173"/>
      <c r="E328" s="173"/>
      <c r="F328" s="173"/>
      <c r="G328" s="173"/>
      <c r="H328" s="173"/>
      <c r="I328" s="173"/>
      <c r="J328" s="173"/>
      <c r="K328" s="173"/>
      <c r="L328" s="173"/>
      <c r="M328" s="173"/>
      <c r="N328" s="173"/>
      <c r="O328" s="173"/>
      <c r="P328" s="173"/>
    </row>
    <row r="329" spans="1:16" ht="11.25" customHeight="1">
      <c r="A329" s="207"/>
      <c r="B329" s="208"/>
      <c r="C329" s="173"/>
      <c r="D329" s="173"/>
      <c r="E329" s="173"/>
      <c r="F329" s="173"/>
      <c r="G329" s="173"/>
      <c r="H329" s="173"/>
      <c r="I329" s="173"/>
      <c r="J329" s="173"/>
      <c r="K329" s="173"/>
      <c r="L329" s="173"/>
      <c r="M329" s="173"/>
      <c r="N329" s="173"/>
      <c r="O329" s="173"/>
      <c r="P329" s="173"/>
    </row>
    <row r="330" spans="1:16" ht="11.25" customHeight="1">
      <c r="A330" s="207"/>
      <c r="B330" s="208"/>
      <c r="C330" s="173"/>
      <c r="D330" s="173"/>
      <c r="E330" s="173"/>
      <c r="F330" s="173"/>
      <c r="G330" s="173"/>
      <c r="H330" s="173"/>
      <c r="I330" s="173"/>
      <c r="J330" s="173"/>
      <c r="K330" s="173"/>
      <c r="L330" s="173"/>
      <c r="M330" s="173"/>
      <c r="N330" s="173"/>
      <c r="O330" s="173"/>
      <c r="P330" s="173"/>
    </row>
    <row r="331" spans="1:16" ht="11.25" customHeight="1">
      <c r="A331" s="207"/>
      <c r="B331" s="208"/>
      <c r="C331" s="173"/>
      <c r="D331" s="173"/>
      <c r="E331" s="173"/>
      <c r="F331" s="173"/>
      <c r="G331" s="173"/>
      <c r="H331" s="173"/>
      <c r="I331" s="173"/>
      <c r="J331" s="173"/>
      <c r="K331" s="173"/>
      <c r="L331" s="173"/>
      <c r="M331" s="173"/>
      <c r="N331" s="173"/>
      <c r="O331" s="173"/>
      <c r="P331" s="173"/>
    </row>
    <row r="332" spans="1:16" ht="11.25" customHeight="1">
      <c r="A332" s="207"/>
      <c r="B332" s="208"/>
      <c r="C332" s="173"/>
      <c r="D332" s="173"/>
      <c r="E332" s="173"/>
      <c r="F332" s="173"/>
      <c r="G332" s="173"/>
      <c r="H332" s="173"/>
      <c r="I332" s="173"/>
      <c r="J332" s="173"/>
      <c r="K332" s="173"/>
      <c r="L332" s="173"/>
      <c r="M332" s="173"/>
      <c r="N332" s="173"/>
      <c r="O332" s="173"/>
      <c r="P332" s="173"/>
    </row>
    <row r="333" spans="1:16" ht="11.25" customHeight="1">
      <c r="A333" s="207"/>
      <c r="B333" s="208"/>
      <c r="C333" s="173"/>
      <c r="D333" s="173"/>
      <c r="E333" s="173"/>
      <c r="F333" s="173"/>
      <c r="G333" s="173"/>
      <c r="H333" s="173"/>
      <c r="I333" s="173"/>
      <c r="J333" s="173"/>
      <c r="K333" s="173"/>
      <c r="L333" s="173"/>
      <c r="M333" s="173"/>
      <c r="N333" s="173"/>
      <c r="O333" s="173"/>
      <c r="P333" s="173"/>
    </row>
    <row r="334" spans="1:16" ht="11.25" customHeight="1">
      <c r="A334" s="207"/>
      <c r="B334" s="208"/>
      <c r="C334" s="173"/>
      <c r="D334" s="173"/>
      <c r="E334" s="173"/>
      <c r="F334" s="173"/>
      <c r="G334" s="173"/>
      <c r="H334" s="173"/>
      <c r="I334" s="173"/>
      <c r="J334" s="173"/>
      <c r="K334" s="173"/>
      <c r="L334" s="173"/>
      <c r="M334" s="173"/>
      <c r="N334" s="173"/>
      <c r="O334" s="173"/>
      <c r="P334" s="173"/>
    </row>
    <row r="335" spans="1:16" ht="11.25" customHeight="1">
      <c r="A335" s="207"/>
      <c r="B335" s="208"/>
      <c r="C335" s="173"/>
      <c r="D335" s="173"/>
      <c r="E335" s="173"/>
      <c r="F335" s="173"/>
      <c r="G335" s="173"/>
      <c r="H335" s="173"/>
      <c r="I335" s="173"/>
      <c r="J335" s="173"/>
      <c r="K335" s="173"/>
      <c r="L335" s="173"/>
      <c r="M335" s="173"/>
      <c r="N335" s="173"/>
      <c r="O335" s="173"/>
      <c r="P335" s="173"/>
    </row>
    <row r="336" spans="1:16" ht="11.25" customHeight="1">
      <c r="A336" s="207"/>
      <c r="B336" s="208"/>
      <c r="C336" s="173"/>
      <c r="D336" s="173"/>
      <c r="E336" s="173"/>
      <c r="F336" s="173"/>
      <c r="G336" s="173"/>
      <c r="H336" s="173"/>
      <c r="I336" s="173"/>
      <c r="J336" s="173"/>
      <c r="K336" s="173"/>
      <c r="L336" s="173"/>
      <c r="M336" s="173"/>
      <c r="N336" s="173"/>
      <c r="O336" s="173"/>
      <c r="P336" s="173"/>
    </row>
    <row r="337" spans="1:16" ht="11.25" customHeight="1">
      <c r="A337" s="207"/>
      <c r="B337" s="208"/>
      <c r="C337" s="173"/>
      <c r="D337" s="173"/>
      <c r="E337" s="173"/>
      <c r="F337" s="173"/>
      <c r="G337" s="173"/>
      <c r="H337" s="173"/>
      <c r="I337" s="173"/>
      <c r="J337" s="173"/>
      <c r="K337" s="173"/>
      <c r="L337" s="173"/>
      <c r="M337" s="173"/>
      <c r="N337" s="173"/>
      <c r="O337" s="173"/>
      <c r="P337" s="173"/>
    </row>
    <row r="338" spans="1:16" ht="11.25" customHeight="1">
      <c r="A338" s="207"/>
      <c r="B338" s="208"/>
      <c r="C338" s="173"/>
      <c r="D338" s="173"/>
      <c r="E338" s="173"/>
      <c r="F338" s="173"/>
      <c r="G338" s="173"/>
      <c r="H338" s="173"/>
      <c r="I338" s="173"/>
      <c r="J338" s="173"/>
      <c r="K338" s="173"/>
      <c r="L338" s="173"/>
      <c r="M338" s="173"/>
      <c r="N338" s="173"/>
      <c r="O338" s="173"/>
      <c r="P338" s="173"/>
    </row>
    <row r="339" spans="1:16" ht="11.25" customHeight="1">
      <c r="A339" s="207"/>
      <c r="B339" s="208"/>
      <c r="C339" s="173"/>
      <c r="D339" s="173"/>
      <c r="E339" s="173"/>
      <c r="F339" s="173"/>
      <c r="G339" s="173"/>
      <c r="H339" s="173"/>
      <c r="I339" s="173"/>
      <c r="J339" s="173"/>
      <c r="K339" s="173"/>
      <c r="L339" s="173"/>
      <c r="M339" s="173"/>
      <c r="N339" s="173"/>
      <c r="O339" s="173"/>
      <c r="P339" s="173"/>
    </row>
    <row r="340" spans="1:16" ht="11.25" customHeight="1">
      <c r="A340" s="207"/>
      <c r="B340" s="208"/>
      <c r="C340" s="173"/>
      <c r="D340" s="173"/>
      <c r="E340" s="173"/>
      <c r="F340" s="173"/>
      <c r="G340" s="173"/>
      <c r="H340" s="173"/>
      <c r="I340" s="173"/>
      <c r="J340" s="173"/>
      <c r="K340" s="173"/>
      <c r="L340" s="173"/>
      <c r="M340" s="173"/>
      <c r="N340" s="173"/>
      <c r="O340" s="173"/>
      <c r="P340" s="173"/>
    </row>
    <row r="341" spans="1:16" ht="11.25" customHeight="1">
      <c r="A341" s="207"/>
      <c r="B341" s="208"/>
      <c r="C341" s="173"/>
      <c r="D341" s="173"/>
      <c r="E341" s="173"/>
      <c r="F341" s="173"/>
      <c r="G341" s="173"/>
      <c r="H341" s="173"/>
      <c r="I341" s="173"/>
      <c r="J341" s="173"/>
      <c r="K341" s="173"/>
      <c r="L341" s="173"/>
      <c r="M341" s="173"/>
      <c r="N341" s="173"/>
      <c r="O341" s="173"/>
      <c r="P341" s="173"/>
    </row>
    <row r="342" spans="1:16" ht="11.25" customHeight="1">
      <c r="A342" s="207"/>
      <c r="B342" s="208"/>
      <c r="C342" s="173"/>
      <c r="D342" s="173"/>
      <c r="E342" s="173"/>
      <c r="F342" s="173"/>
      <c r="G342" s="173"/>
      <c r="H342" s="173"/>
      <c r="I342" s="173"/>
      <c r="J342" s="173"/>
      <c r="K342" s="173"/>
      <c r="L342" s="173"/>
      <c r="M342" s="173"/>
      <c r="N342" s="173"/>
      <c r="O342" s="173"/>
      <c r="P342" s="173"/>
    </row>
    <row r="343" spans="1:16" ht="11.25" customHeight="1">
      <c r="A343" s="207"/>
      <c r="B343" s="208"/>
      <c r="C343" s="173"/>
      <c r="D343" s="173"/>
      <c r="E343" s="173"/>
      <c r="F343" s="173"/>
      <c r="G343" s="173"/>
      <c r="H343" s="173"/>
      <c r="I343" s="173"/>
      <c r="J343" s="173"/>
      <c r="K343" s="173"/>
      <c r="L343" s="173"/>
      <c r="M343" s="173"/>
      <c r="N343" s="173"/>
      <c r="O343" s="173"/>
      <c r="P343" s="173"/>
    </row>
    <row r="344" spans="1:16" ht="11.25" customHeight="1">
      <c r="A344" s="207"/>
      <c r="B344" s="208"/>
      <c r="C344" s="173"/>
      <c r="D344" s="173"/>
      <c r="E344" s="173"/>
      <c r="F344" s="173"/>
      <c r="G344" s="173"/>
      <c r="H344" s="173"/>
      <c r="I344" s="173"/>
      <c r="J344" s="173"/>
      <c r="K344" s="173"/>
      <c r="L344" s="173"/>
      <c r="M344" s="173"/>
      <c r="N344" s="173"/>
      <c r="O344" s="173"/>
      <c r="P344" s="173"/>
    </row>
    <row r="345" spans="1:16" ht="11.25" customHeight="1">
      <c r="A345" s="207"/>
      <c r="B345" s="208"/>
      <c r="C345" s="173"/>
      <c r="D345" s="173"/>
      <c r="E345" s="173"/>
      <c r="F345" s="173"/>
      <c r="G345" s="173"/>
      <c r="H345" s="173"/>
      <c r="I345" s="173"/>
      <c r="J345" s="173"/>
      <c r="K345" s="173"/>
      <c r="L345" s="173"/>
      <c r="M345" s="173"/>
      <c r="N345" s="173"/>
      <c r="O345" s="173"/>
      <c r="P345" s="173"/>
    </row>
    <row r="346" spans="1:16" ht="11.25" customHeight="1">
      <c r="A346" s="207"/>
      <c r="B346" s="208"/>
      <c r="C346" s="173"/>
      <c r="D346" s="173"/>
      <c r="E346" s="173"/>
      <c r="F346" s="173"/>
      <c r="G346" s="173"/>
      <c r="H346" s="173"/>
      <c r="I346" s="173"/>
      <c r="J346" s="173"/>
      <c r="K346" s="173"/>
      <c r="L346" s="173"/>
      <c r="M346" s="173"/>
      <c r="N346" s="173"/>
      <c r="O346" s="173"/>
      <c r="P346" s="173"/>
    </row>
    <row r="347" spans="1:16" ht="11.25" customHeight="1">
      <c r="A347" s="207"/>
      <c r="B347" s="208"/>
      <c r="C347" s="173"/>
      <c r="D347" s="173"/>
      <c r="E347" s="173"/>
      <c r="F347" s="173"/>
      <c r="G347" s="173"/>
      <c r="H347" s="173"/>
      <c r="I347" s="173"/>
      <c r="J347" s="173"/>
      <c r="K347" s="173"/>
      <c r="L347" s="173"/>
      <c r="M347" s="173"/>
      <c r="N347" s="173"/>
      <c r="O347" s="173"/>
      <c r="P347" s="173"/>
    </row>
    <row r="348" spans="1:16" ht="11.25" customHeight="1">
      <c r="A348" s="207"/>
      <c r="B348" s="208"/>
      <c r="C348" s="173"/>
      <c r="D348" s="173"/>
      <c r="E348" s="173"/>
      <c r="F348" s="173"/>
      <c r="G348" s="173"/>
      <c r="H348" s="173"/>
      <c r="I348" s="173"/>
      <c r="J348" s="173"/>
      <c r="K348" s="173"/>
      <c r="L348" s="173"/>
      <c r="M348" s="173"/>
      <c r="N348" s="173"/>
      <c r="O348" s="173"/>
      <c r="P348" s="173"/>
    </row>
    <row r="349" spans="1:16" ht="11.25" customHeight="1">
      <c r="A349" s="207"/>
      <c r="B349" s="208"/>
      <c r="C349" s="173"/>
      <c r="D349" s="173"/>
      <c r="E349" s="173"/>
      <c r="F349" s="173"/>
      <c r="G349" s="173"/>
      <c r="H349" s="173"/>
      <c r="I349" s="173"/>
      <c r="J349" s="173"/>
      <c r="K349" s="173"/>
      <c r="L349" s="173"/>
      <c r="M349" s="173"/>
      <c r="N349" s="173"/>
      <c r="O349" s="173"/>
      <c r="P349" s="173"/>
    </row>
    <row r="350" spans="1:16" ht="11.25" customHeight="1">
      <c r="A350" s="207"/>
      <c r="B350" s="208"/>
      <c r="C350" s="173"/>
      <c r="D350" s="173"/>
      <c r="E350" s="173"/>
      <c r="F350" s="173"/>
      <c r="G350" s="173"/>
      <c r="H350" s="173"/>
      <c r="I350" s="173"/>
      <c r="J350" s="173"/>
      <c r="K350" s="173"/>
      <c r="L350" s="173"/>
      <c r="M350" s="173"/>
      <c r="N350" s="173"/>
      <c r="O350" s="173"/>
      <c r="P350" s="173"/>
    </row>
    <row r="351" spans="1:16" ht="11.25" customHeight="1">
      <c r="A351" s="207"/>
      <c r="B351" s="208"/>
      <c r="C351" s="173"/>
      <c r="D351" s="173"/>
      <c r="E351" s="173"/>
      <c r="F351" s="173"/>
      <c r="G351" s="173"/>
      <c r="H351" s="173"/>
      <c r="I351" s="173"/>
      <c r="J351" s="173"/>
      <c r="K351" s="173"/>
      <c r="L351" s="173"/>
      <c r="M351" s="173"/>
      <c r="N351" s="173"/>
      <c r="O351" s="173"/>
      <c r="P351" s="173"/>
    </row>
    <row r="352" spans="1:16" ht="11.25" customHeight="1">
      <c r="A352" s="207"/>
      <c r="B352" s="208"/>
      <c r="C352" s="173"/>
      <c r="D352" s="173"/>
      <c r="E352" s="173"/>
      <c r="F352" s="173"/>
      <c r="G352" s="173"/>
      <c r="H352" s="173"/>
      <c r="I352" s="173"/>
      <c r="J352" s="173"/>
      <c r="K352" s="173"/>
      <c r="L352" s="173"/>
      <c r="M352" s="173"/>
      <c r="N352" s="173"/>
      <c r="O352" s="173"/>
      <c r="P352" s="173"/>
    </row>
    <row r="353" spans="1:16" ht="11.25" customHeight="1">
      <c r="A353" s="207"/>
      <c r="B353" s="208"/>
      <c r="C353" s="173"/>
      <c r="D353" s="173"/>
      <c r="E353" s="173"/>
      <c r="F353" s="173"/>
      <c r="G353" s="173"/>
      <c r="H353" s="173"/>
      <c r="I353" s="173"/>
      <c r="J353" s="173"/>
      <c r="K353" s="173"/>
      <c r="L353" s="173"/>
      <c r="M353" s="173"/>
      <c r="N353" s="173"/>
      <c r="O353" s="173"/>
      <c r="P353" s="173"/>
    </row>
    <row r="354" spans="1:16" ht="11.25" customHeight="1">
      <c r="A354" s="207"/>
      <c r="B354" s="208"/>
      <c r="C354" s="173"/>
      <c r="D354" s="173"/>
      <c r="E354" s="173"/>
      <c r="F354" s="173"/>
      <c r="G354" s="173"/>
      <c r="H354" s="173"/>
      <c r="I354" s="173"/>
      <c r="J354" s="173"/>
      <c r="K354" s="173"/>
      <c r="L354" s="173"/>
      <c r="M354" s="173"/>
      <c r="N354" s="173"/>
      <c r="O354" s="173"/>
      <c r="P354" s="173"/>
    </row>
    <row r="355" spans="1:16" ht="11.25" customHeight="1">
      <c r="A355" s="207"/>
      <c r="B355" s="208"/>
      <c r="C355" s="173"/>
      <c r="D355" s="173"/>
      <c r="E355" s="173"/>
      <c r="F355" s="173"/>
      <c r="G355" s="173"/>
      <c r="H355" s="173"/>
      <c r="I355" s="173"/>
      <c r="J355" s="173"/>
      <c r="K355" s="173"/>
      <c r="L355" s="173"/>
      <c r="M355" s="173"/>
      <c r="N355" s="173"/>
      <c r="O355" s="173"/>
      <c r="P355" s="173"/>
    </row>
    <row r="356" spans="1:16" ht="11.25" customHeight="1">
      <c r="A356" s="207"/>
      <c r="B356" s="208"/>
      <c r="C356" s="173"/>
      <c r="D356" s="173"/>
      <c r="E356" s="173"/>
      <c r="F356" s="173"/>
      <c r="G356" s="173"/>
      <c r="H356" s="173"/>
      <c r="I356" s="173"/>
      <c r="J356" s="173"/>
      <c r="K356" s="173"/>
      <c r="L356" s="173"/>
      <c r="M356" s="173"/>
      <c r="N356" s="173"/>
      <c r="O356" s="173"/>
      <c r="P356" s="173"/>
    </row>
    <row r="357" spans="1:16" ht="11.25" customHeight="1">
      <c r="A357" s="207"/>
      <c r="B357" s="208"/>
      <c r="C357" s="173"/>
      <c r="D357" s="173"/>
      <c r="E357" s="173"/>
      <c r="F357" s="173"/>
      <c r="G357" s="173"/>
      <c r="H357" s="173"/>
      <c r="I357" s="173"/>
      <c r="J357" s="173"/>
      <c r="K357" s="173"/>
      <c r="L357" s="173"/>
      <c r="M357" s="173"/>
      <c r="N357" s="173"/>
      <c r="O357" s="173"/>
      <c r="P357" s="173"/>
    </row>
    <row r="358" spans="1:16" ht="11.25" customHeight="1">
      <c r="A358" s="207"/>
      <c r="B358" s="208"/>
      <c r="C358" s="173"/>
      <c r="D358" s="173"/>
      <c r="E358" s="173"/>
      <c r="F358" s="173"/>
      <c r="G358" s="173"/>
      <c r="H358" s="173"/>
      <c r="I358" s="173"/>
      <c r="J358" s="173"/>
      <c r="K358" s="173"/>
      <c r="L358" s="173"/>
      <c r="M358" s="173"/>
      <c r="N358" s="173"/>
      <c r="O358" s="173"/>
      <c r="P358" s="173"/>
    </row>
    <row r="359" spans="1:16" ht="11.25" customHeight="1">
      <c r="A359" s="207"/>
      <c r="B359" s="208"/>
      <c r="C359" s="173"/>
      <c r="D359" s="173"/>
      <c r="E359" s="173"/>
      <c r="F359" s="173"/>
      <c r="G359" s="173"/>
      <c r="H359" s="173"/>
      <c r="I359" s="173"/>
      <c r="J359" s="173"/>
      <c r="K359" s="173"/>
      <c r="L359" s="173"/>
      <c r="M359" s="173"/>
      <c r="N359" s="173"/>
      <c r="O359" s="173"/>
      <c r="P359" s="173"/>
    </row>
    <row r="360" spans="1:16" ht="11.25" customHeight="1">
      <c r="A360" s="207"/>
      <c r="B360" s="208"/>
      <c r="C360" s="173"/>
      <c r="D360" s="173"/>
      <c r="E360" s="173"/>
      <c r="F360" s="173"/>
      <c r="G360" s="173"/>
      <c r="H360" s="173"/>
      <c r="I360" s="173"/>
      <c r="J360" s="173"/>
      <c r="K360" s="173"/>
      <c r="L360" s="173"/>
      <c r="M360" s="173"/>
      <c r="N360" s="173"/>
      <c r="O360" s="173"/>
      <c r="P360" s="173"/>
    </row>
    <row r="361" spans="1:16" ht="11.25" customHeight="1">
      <c r="A361" s="207"/>
      <c r="B361" s="208"/>
      <c r="C361" s="173"/>
      <c r="D361" s="173"/>
      <c r="E361" s="173"/>
      <c r="F361" s="173"/>
      <c r="G361" s="173"/>
      <c r="H361" s="173"/>
      <c r="I361" s="173"/>
      <c r="J361" s="173"/>
      <c r="K361" s="173"/>
      <c r="L361" s="173"/>
      <c r="M361" s="173"/>
      <c r="N361" s="173"/>
      <c r="O361" s="173"/>
      <c r="P361" s="173"/>
    </row>
    <row r="362" spans="1:16" ht="11.25" customHeight="1">
      <c r="A362" s="207"/>
      <c r="B362" s="208"/>
      <c r="C362" s="173"/>
      <c r="D362" s="173"/>
      <c r="E362" s="173"/>
      <c r="F362" s="173"/>
      <c r="G362" s="173"/>
      <c r="H362" s="173"/>
      <c r="I362" s="173"/>
      <c r="J362" s="173"/>
      <c r="K362" s="173"/>
      <c r="L362" s="173"/>
      <c r="M362" s="173"/>
      <c r="N362" s="173"/>
      <c r="O362" s="173"/>
      <c r="P362" s="173"/>
    </row>
    <row r="363" spans="1:16" ht="11.25" customHeight="1">
      <c r="A363" s="207"/>
      <c r="B363" s="208"/>
      <c r="C363" s="173"/>
      <c r="D363" s="173"/>
      <c r="E363" s="173"/>
      <c r="F363" s="173"/>
      <c r="G363" s="173"/>
      <c r="H363" s="173"/>
      <c r="I363" s="173"/>
      <c r="J363" s="173"/>
      <c r="K363" s="173"/>
      <c r="L363" s="173"/>
      <c r="M363" s="173"/>
      <c r="N363" s="173"/>
      <c r="O363" s="173"/>
      <c r="P363" s="173"/>
    </row>
    <row r="364" spans="1:16" ht="11.25" customHeight="1">
      <c r="A364" s="207"/>
      <c r="B364" s="208"/>
      <c r="C364" s="173"/>
      <c r="D364" s="173"/>
      <c r="E364" s="173"/>
      <c r="F364" s="173"/>
      <c r="G364" s="173"/>
      <c r="H364" s="173"/>
      <c r="I364" s="173"/>
      <c r="J364" s="173"/>
      <c r="K364" s="173"/>
      <c r="L364" s="173"/>
      <c r="M364" s="173"/>
      <c r="N364" s="173"/>
      <c r="O364" s="173"/>
      <c r="P364" s="173"/>
    </row>
    <row r="365" spans="1:16" ht="11.25" customHeight="1">
      <c r="A365" s="207"/>
      <c r="B365" s="208"/>
      <c r="C365" s="173"/>
      <c r="D365" s="173"/>
      <c r="E365" s="173"/>
      <c r="F365" s="173"/>
      <c r="G365" s="173"/>
      <c r="H365" s="173"/>
      <c r="I365" s="173"/>
      <c r="J365" s="173"/>
      <c r="K365" s="173"/>
      <c r="L365" s="173"/>
      <c r="M365" s="173"/>
      <c r="N365" s="173"/>
      <c r="O365" s="173"/>
      <c r="P365" s="173"/>
    </row>
    <row r="366" spans="1:16" ht="11.25" customHeight="1">
      <c r="A366" s="207"/>
      <c r="B366" s="208"/>
      <c r="C366" s="173"/>
      <c r="D366" s="173"/>
      <c r="E366" s="173"/>
      <c r="F366" s="173"/>
      <c r="G366" s="173"/>
      <c r="H366" s="173"/>
      <c r="I366" s="173"/>
      <c r="J366" s="173"/>
      <c r="K366" s="173"/>
      <c r="L366" s="173"/>
      <c r="M366" s="173"/>
      <c r="N366" s="173"/>
      <c r="O366" s="173"/>
      <c r="P366" s="173"/>
    </row>
    <row r="367" spans="1:16" ht="11.25" customHeight="1">
      <c r="A367" s="207"/>
      <c r="B367" s="208"/>
      <c r="C367" s="173"/>
      <c r="D367" s="173"/>
      <c r="E367" s="173"/>
      <c r="F367" s="173"/>
      <c r="G367" s="173"/>
      <c r="H367" s="173"/>
      <c r="I367" s="173"/>
      <c r="J367" s="173"/>
      <c r="K367" s="173"/>
      <c r="L367" s="173"/>
      <c r="M367" s="173"/>
      <c r="N367" s="173"/>
      <c r="O367" s="173"/>
      <c r="P367" s="173"/>
    </row>
    <row r="368" spans="1:16" ht="11.25" customHeight="1">
      <c r="A368" s="207"/>
      <c r="B368" s="208"/>
      <c r="C368" s="173"/>
      <c r="D368" s="173"/>
      <c r="E368" s="173"/>
      <c r="F368" s="173"/>
      <c r="G368" s="173"/>
      <c r="H368" s="173"/>
      <c r="I368" s="173"/>
      <c r="J368" s="173"/>
      <c r="K368" s="173"/>
      <c r="L368" s="173"/>
      <c r="M368" s="173"/>
      <c r="N368" s="173"/>
      <c r="O368" s="173"/>
      <c r="P368" s="173"/>
    </row>
    <row r="369" spans="1:16" ht="11.25" customHeight="1">
      <c r="A369" s="207"/>
      <c r="B369" s="208"/>
      <c r="C369" s="173"/>
      <c r="D369" s="173"/>
      <c r="E369" s="173"/>
      <c r="F369" s="173"/>
      <c r="G369" s="173"/>
      <c r="H369" s="173"/>
      <c r="I369" s="173"/>
      <c r="J369" s="173"/>
      <c r="K369" s="173"/>
      <c r="L369" s="173"/>
      <c r="M369" s="173"/>
      <c r="N369" s="173"/>
      <c r="O369" s="173"/>
      <c r="P369" s="173"/>
    </row>
    <row r="370" spans="1:16" ht="11.25" customHeight="1">
      <c r="A370" s="207"/>
      <c r="B370" s="208"/>
      <c r="C370" s="173"/>
      <c r="D370" s="173"/>
      <c r="E370" s="173"/>
      <c r="F370" s="173"/>
      <c r="G370" s="173"/>
      <c r="H370" s="173"/>
      <c r="I370" s="173"/>
      <c r="J370" s="173"/>
      <c r="K370" s="173"/>
      <c r="L370" s="173"/>
      <c r="M370" s="173"/>
      <c r="N370" s="173"/>
      <c r="O370" s="173"/>
      <c r="P370" s="173"/>
    </row>
    <row r="371" spans="1:16" ht="11.25" customHeight="1">
      <c r="A371" s="207"/>
      <c r="B371" s="208"/>
      <c r="C371" s="173"/>
      <c r="D371" s="173"/>
      <c r="E371" s="173"/>
      <c r="F371" s="173"/>
      <c r="G371" s="173"/>
      <c r="H371" s="173"/>
      <c r="I371" s="173"/>
      <c r="J371" s="173"/>
      <c r="K371" s="173"/>
      <c r="L371" s="173"/>
      <c r="M371" s="173"/>
      <c r="N371" s="173"/>
      <c r="O371" s="173"/>
      <c r="P371" s="173"/>
    </row>
    <row r="372" spans="1:16" ht="11.25" customHeight="1">
      <c r="A372" s="207"/>
      <c r="B372" s="208"/>
      <c r="C372" s="173"/>
      <c r="D372" s="173"/>
      <c r="E372" s="173"/>
      <c r="F372" s="173"/>
      <c r="G372" s="173"/>
      <c r="H372" s="173"/>
      <c r="I372" s="173"/>
      <c r="J372" s="173"/>
      <c r="K372" s="173"/>
      <c r="L372" s="173"/>
      <c r="M372" s="173"/>
      <c r="N372" s="173"/>
      <c r="O372" s="173"/>
      <c r="P372" s="173"/>
    </row>
    <row r="373" spans="1:16" ht="11.25" customHeight="1">
      <c r="A373" s="207"/>
      <c r="B373" s="208"/>
      <c r="C373" s="173"/>
      <c r="D373" s="173"/>
      <c r="E373" s="173"/>
      <c r="F373" s="173"/>
      <c r="G373" s="173"/>
      <c r="H373" s="173"/>
      <c r="I373" s="173"/>
      <c r="J373" s="173"/>
      <c r="K373" s="173"/>
      <c r="L373" s="173"/>
      <c r="M373" s="173"/>
      <c r="N373" s="173"/>
      <c r="O373" s="173"/>
      <c r="P373" s="173"/>
    </row>
    <row r="374" spans="1:16" ht="11.25" customHeight="1">
      <c r="A374" s="207"/>
      <c r="B374" s="208"/>
      <c r="C374" s="173"/>
      <c r="D374" s="173"/>
      <c r="E374" s="173"/>
      <c r="F374" s="173"/>
      <c r="G374" s="173"/>
      <c r="H374" s="173"/>
      <c r="I374" s="173"/>
      <c r="J374" s="173"/>
      <c r="K374" s="173"/>
      <c r="L374" s="173"/>
      <c r="M374" s="173"/>
      <c r="N374" s="173"/>
      <c r="O374" s="173"/>
      <c r="P374" s="173"/>
    </row>
    <row r="375" spans="1:16" ht="11.25" customHeight="1">
      <c r="A375" s="207"/>
      <c r="B375" s="208"/>
      <c r="C375" s="173"/>
      <c r="D375" s="173"/>
      <c r="E375" s="173"/>
      <c r="F375" s="173"/>
      <c r="G375" s="173"/>
      <c r="H375" s="173"/>
      <c r="I375" s="173"/>
      <c r="J375" s="173"/>
      <c r="K375" s="173"/>
      <c r="L375" s="173"/>
      <c r="M375" s="173"/>
      <c r="N375" s="173"/>
      <c r="O375" s="173"/>
      <c r="P375" s="173"/>
    </row>
    <row r="376" spans="1:16" ht="11.25" customHeight="1">
      <c r="A376" s="207"/>
      <c r="B376" s="208"/>
      <c r="C376" s="173"/>
      <c r="D376" s="173"/>
      <c r="E376" s="173"/>
      <c r="F376" s="173"/>
      <c r="G376" s="173"/>
      <c r="H376" s="173"/>
      <c r="I376" s="173"/>
      <c r="J376" s="173"/>
      <c r="K376" s="173"/>
      <c r="L376" s="173"/>
      <c r="M376" s="173"/>
      <c r="N376" s="173"/>
      <c r="O376" s="173"/>
      <c r="P376" s="173"/>
    </row>
    <row r="377" spans="1:16" ht="11.25" customHeight="1">
      <c r="A377" s="207"/>
      <c r="B377" s="208"/>
      <c r="C377" s="173"/>
      <c r="D377" s="173"/>
      <c r="E377" s="173"/>
      <c r="F377" s="173"/>
      <c r="G377" s="173"/>
      <c r="H377" s="173"/>
      <c r="I377" s="173"/>
      <c r="J377" s="173"/>
      <c r="K377" s="173"/>
      <c r="L377" s="173"/>
      <c r="M377" s="173"/>
      <c r="N377" s="173"/>
      <c r="O377" s="173"/>
      <c r="P377" s="173"/>
    </row>
    <row r="378" spans="1:16" ht="11.25" customHeight="1">
      <c r="A378" s="207"/>
      <c r="B378" s="208"/>
      <c r="C378" s="173"/>
      <c r="D378" s="173"/>
      <c r="E378" s="173"/>
      <c r="F378" s="173"/>
      <c r="G378" s="173"/>
      <c r="H378" s="173"/>
      <c r="I378" s="173"/>
      <c r="J378" s="173"/>
      <c r="K378" s="173"/>
      <c r="L378" s="173"/>
      <c r="M378" s="173"/>
      <c r="N378" s="173"/>
      <c r="O378" s="173"/>
      <c r="P378" s="173"/>
    </row>
    <row r="379" spans="1:16" ht="11.25" customHeight="1">
      <c r="A379" s="207"/>
      <c r="B379" s="208"/>
      <c r="C379" s="173"/>
      <c r="D379" s="173"/>
      <c r="E379" s="173"/>
      <c r="F379" s="173"/>
      <c r="G379" s="173"/>
      <c r="H379" s="173"/>
      <c r="I379" s="173"/>
      <c r="J379" s="173"/>
      <c r="K379" s="173"/>
      <c r="L379" s="173"/>
      <c r="M379" s="173"/>
      <c r="N379" s="173"/>
      <c r="O379" s="173"/>
      <c r="P379" s="173"/>
    </row>
    <row r="380" spans="1:16" ht="11.25" customHeight="1">
      <c r="A380" s="207"/>
      <c r="B380" s="208"/>
      <c r="C380" s="173"/>
      <c r="D380" s="173"/>
      <c r="E380" s="173"/>
      <c r="F380" s="173"/>
      <c r="G380" s="173"/>
      <c r="H380" s="173"/>
      <c r="I380" s="173"/>
      <c r="J380" s="173"/>
      <c r="K380" s="173"/>
      <c r="L380" s="173"/>
      <c r="M380" s="173"/>
      <c r="N380" s="173"/>
      <c r="O380" s="173"/>
      <c r="P380" s="173"/>
    </row>
    <row r="381" spans="1:16" ht="11.25" customHeight="1">
      <c r="A381" s="207"/>
      <c r="B381" s="208"/>
      <c r="C381" s="173"/>
      <c r="D381" s="173"/>
      <c r="E381" s="173"/>
      <c r="F381" s="173"/>
      <c r="G381" s="173"/>
      <c r="H381" s="173"/>
      <c r="I381" s="173"/>
      <c r="J381" s="173"/>
      <c r="K381" s="173"/>
      <c r="L381" s="173"/>
      <c r="M381" s="173"/>
      <c r="N381" s="173"/>
      <c r="O381" s="173"/>
      <c r="P381" s="173"/>
    </row>
    <row r="382" spans="1:16" ht="11.25" customHeight="1">
      <c r="A382" s="207"/>
      <c r="B382" s="208"/>
      <c r="C382" s="173"/>
      <c r="D382" s="173"/>
      <c r="E382" s="173"/>
      <c r="F382" s="173"/>
      <c r="G382" s="173"/>
      <c r="H382" s="173"/>
      <c r="I382" s="173"/>
      <c r="J382" s="173"/>
      <c r="K382" s="173"/>
      <c r="L382" s="173"/>
      <c r="M382" s="173"/>
      <c r="N382" s="173"/>
      <c r="O382" s="173"/>
      <c r="P382" s="173"/>
    </row>
    <row r="383" spans="1:16" ht="11.25" customHeight="1">
      <c r="A383" s="207"/>
      <c r="B383" s="208"/>
      <c r="C383" s="173"/>
      <c r="D383" s="173"/>
      <c r="E383" s="173"/>
      <c r="F383" s="173"/>
      <c r="G383" s="173"/>
      <c r="H383" s="173"/>
      <c r="I383" s="173"/>
      <c r="J383" s="173"/>
      <c r="K383" s="173"/>
      <c r="L383" s="173"/>
      <c r="M383" s="173"/>
      <c r="N383" s="173"/>
      <c r="O383" s="173"/>
      <c r="P383" s="173"/>
    </row>
    <row r="384" spans="1:16" ht="11.25" customHeight="1">
      <c r="A384" s="207"/>
      <c r="B384" s="208"/>
      <c r="C384" s="173"/>
      <c r="D384" s="173"/>
      <c r="E384" s="173"/>
      <c r="F384" s="173"/>
      <c r="G384" s="173"/>
      <c r="H384" s="173"/>
      <c r="I384" s="173"/>
      <c r="J384" s="173"/>
      <c r="K384" s="173"/>
      <c r="L384" s="173"/>
      <c r="M384" s="173"/>
      <c r="N384" s="173"/>
      <c r="O384" s="173"/>
      <c r="P384" s="173"/>
    </row>
    <row r="385" spans="1:16" ht="11.25" customHeight="1">
      <c r="A385" s="207"/>
      <c r="B385" s="208"/>
      <c r="C385" s="173"/>
      <c r="D385" s="173"/>
      <c r="E385" s="173"/>
      <c r="F385" s="173"/>
      <c r="G385" s="173"/>
      <c r="H385" s="173"/>
      <c r="I385" s="173"/>
      <c r="J385" s="173"/>
      <c r="K385" s="173"/>
      <c r="L385" s="173"/>
      <c r="M385" s="173"/>
      <c r="N385" s="173"/>
      <c r="O385" s="173"/>
      <c r="P385" s="173"/>
    </row>
    <row r="386" spans="1:16" ht="11.25" customHeight="1">
      <c r="A386" s="207"/>
      <c r="B386" s="208"/>
      <c r="C386" s="173"/>
      <c r="D386" s="173"/>
      <c r="E386" s="173"/>
      <c r="F386" s="173"/>
      <c r="G386" s="173"/>
      <c r="H386" s="173"/>
      <c r="I386" s="173"/>
      <c r="J386" s="173"/>
      <c r="K386" s="173"/>
      <c r="L386" s="173"/>
      <c r="M386" s="173"/>
      <c r="N386" s="173"/>
      <c r="O386" s="173"/>
      <c r="P386" s="173"/>
    </row>
    <row r="387" spans="1:16" ht="11.25" customHeight="1">
      <c r="A387" s="207"/>
      <c r="B387" s="208"/>
      <c r="C387" s="173"/>
      <c r="D387" s="173"/>
      <c r="E387" s="173"/>
      <c r="F387" s="173"/>
      <c r="G387" s="173"/>
      <c r="H387" s="173"/>
      <c r="I387" s="173"/>
      <c r="J387" s="173"/>
      <c r="K387" s="173"/>
      <c r="L387" s="173"/>
      <c r="M387" s="173"/>
      <c r="N387" s="173"/>
      <c r="O387" s="173"/>
      <c r="P387" s="173"/>
    </row>
    <row r="388" spans="1:16" ht="11.25" customHeight="1">
      <c r="A388" s="207"/>
      <c r="B388" s="208"/>
      <c r="C388" s="173"/>
      <c r="D388" s="173"/>
      <c r="E388" s="173"/>
      <c r="F388" s="173"/>
      <c r="G388" s="173"/>
      <c r="H388" s="173"/>
      <c r="I388" s="173"/>
      <c r="J388" s="173"/>
      <c r="K388" s="173"/>
      <c r="L388" s="173"/>
      <c r="M388" s="173"/>
      <c r="N388" s="173"/>
      <c r="O388" s="173"/>
      <c r="P388" s="173"/>
    </row>
    <row r="389" spans="1:16" ht="11.25" customHeight="1">
      <c r="A389" s="207"/>
      <c r="B389" s="208"/>
      <c r="C389" s="173"/>
      <c r="D389" s="173"/>
      <c r="E389" s="173"/>
      <c r="F389" s="173"/>
      <c r="G389" s="173"/>
      <c r="H389" s="173"/>
      <c r="I389" s="173"/>
      <c r="J389" s="173"/>
      <c r="K389" s="173"/>
      <c r="L389" s="173"/>
      <c r="M389" s="173"/>
      <c r="N389" s="173"/>
      <c r="O389" s="173"/>
      <c r="P389" s="173"/>
    </row>
    <row r="390" spans="1:16" ht="11.25" customHeight="1">
      <c r="A390" s="207"/>
      <c r="B390" s="208"/>
      <c r="C390" s="173"/>
      <c r="D390" s="173"/>
      <c r="E390" s="173"/>
      <c r="F390" s="173"/>
      <c r="G390" s="173"/>
      <c r="H390" s="173"/>
      <c r="I390" s="173"/>
      <c r="J390" s="173"/>
      <c r="K390" s="173"/>
      <c r="L390" s="173"/>
      <c r="M390" s="173"/>
      <c r="N390" s="173"/>
      <c r="O390" s="173"/>
      <c r="P390" s="173"/>
    </row>
    <row r="391" spans="1:16" ht="11.25" customHeight="1">
      <c r="A391" s="207"/>
      <c r="B391" s="208"/>
      <c r="C391" s="173"/>
      <c r="D391" s="173"/>
      <c r="E391" s="173"/>
      <c r="F391" s="173"/>
      <c r="G391" s="173"/>
      <c r="H391" s="173"/>
      <c r="I391" s="173"/>
      <c r="J391" s="173"/>
      <c r="K391" s="173"/>
      <c r="L391" s="173"/>
      <c r="M391" s="173"/>
      <c r="N391" s="173"/>
      <c r="O391" s="173"/>
      <c r="P391" s="173"/>
    </row>
    <row r="392" spans="1:16" ht="11.25" customHeight="1">
      <c r="A392" s="207"/>
      <c r="B392" s="208"/>
      <c r="C392" s="173"/>
      <c r="D392" s="173"/>
      <c r="E392" s="173"/>
      <c r="F392" s="173"/>
      <c r="G392" s="173"/>
      <c r="H392" s="173"/>
      <c r="I392" s="173"/>
      <c r="J392" s="173"/>
      <c r="K392" s="173"/>
      <c r="L392" s="173"/>
      <c r="M392" s="173"/>
      <c r="N392" s="173"/>
      <c r="O392" s="173"/>
      <c r="P392" s="173"/>
    </row>
    <row r="393" spans="1:16" ht="11.25" customHeight="1">
      <c r="A393" s="207"/>
      <c r="B393" s="208"/>
      <c r="C393" s="173"/>
      <c r="D393" s="173"/>
      <c r="E393" s="173"/>
      <c r="F393" s="173"/>
      <c r="G393" s="173"/>
      <c r="H393" s="173"/>
      <c r="I393" s="173"/>
      <c r="J393" s="173"/>
      <c r="K393" s="173"/>
      <c r="L393" s="173"/>
      <c r="M393" s="173"/>
      <c r="N393" s="173"/>
      <c r="O393" s="173"/>
      <c r="P393" s="173"/>
    </row>
    <row r="394" spans="1:16" ht="11.25" customHeight="1">
      <c r="A394" s="207"/>
      <c r="B394" s="208"/>
      <c r="C394" s="173"/>
      <c r="D394" s="173"/>
      <c r="E394" s="173"/>
      <c r="F394" s="173"/>
      <c r="G394" s="173"/>
      <c r="H394" s="173"/>
      <c r="I394" s="173"/>
      <c r="J394" s="173"/>
      <c r="K394" s="173"/>
      <c r="L394" s="173"/>
      <c r="M394" s="173"/>
      <c r="N394" s="173"/>
      <c r="O394" s="173"/>
      <c r="P394" s="173"/>
    </row>
    <row r="395" spans="1:16" ht="11.25" customHeight="1">
      <c r="A395" s="207"/>
      <c r="B395" s="208"/>
      <c r="C395" s="173"/>
      <c r="D395" s="173"/>
      <c r="E395" s="173"/>
      <c r="F395" s="173"/>
      <c r="G395" s="173"/>
      <c r="H395" s="173"/>
      <c r="I395" s="173"/>
      <c r="J395" s="173"/>
      <c r="K395" s="173"/>
      <c r="L395" s="173"/>
      <c r="M395" s="173"/>
      <c r="N395" s="173"/>
      <c r="O395" s="173"/>
      <c r="P395" s="173"/>
    </row>
    <row r="396" spans="1:16" ht="11.25" customHeight="1">
      <c r="A396" s="207"/>
      <c r="B396" s="208"/>
      <c r="C396" s="173"/>
      <c r="D396" s="173"/>
      <c r="E396" s="173"/>
      <c r="F396" s="173"/>
      <c r="G396" s="173"/>
      <c r="H396" s="173"/>
      <c r="I396" s="173"/>
      <c r="J396" s="173"/>
      <c r="K396" s="173"/>
      <c r="L396" s="173"/>
      <c r="M396" s="173"/>
      <c r="N396" s="173"/>
      <c r="O396" s="173"/>
      <c r="P396" s="173"/>
    </row>
    <row r="397" spans="1:16" ht="11.25" customHeight="1">
      <c r="A397" s="207"/>
      <c r="B397" s="208"/>
      <c r="C397" s="173"/>
      <c r="D397" s="173"/>
      <c r="E397" s="173"/>
      <c r="F397" s="173"/>
      <c r="G397" s="173"/>
      <c r="H397" s="173"/>
      <c r="I397" s="173"/>
      <c r="J397" s="173"/>
      <c r="K397" s="173"/>
      <c r="L397" s="173"/>
      <c r="M397" s="173"/>
      <c r="N397" s="173"/>
      <c r="O397" s="173"/>
      <c r="P397" s="173"/>
    </row>
    <row r="398" spans="1:16" ht="11.25" customHeight="1">
      <c r="A398" s="207"/>
      <c r="B398" s="208"/>
      <c r="C398" s="173"/>
      <c r="D398" s="173"/>
      <c r="E398" s="173"/>
      <c r="F398" s="173"/>
      <c r="G398" s="173"/>
      <c r="H398" s="173"/>
      <c r="I398" s="173"/>
      <c r="J398" s="173"/>
      <c r="K398" s="173"/>
      <c r="L398" s="173"/>
      <c r="M398" s="173"/>
      <c r="N398" s="173"/>
      <c r="O398" s="173"/>
      <c r="P398" s="173"/>
    </row>
    <row r="399" spans="1:16" ht="11.25" customHeight="1">
      <c r="A399" s="207"/>
      <c r="B399" s="208"/>
      <c r="C399" s="173"/>
      <c r="D399" s="173"/>
      <c r="E399" s="173"/>
      <c r="F399" s="173"/>
      <c r="G399" s="173"/>
      <c r="H399" s="173"/>
      <c r="I399" s="173"/>
      <c r="J399" s="173"/>
      <c r="K399" s="173"/>
      <c r="L399" s="173"/>
      <c r="M399" s="173"/>
      <c r="N399" s="173"/>
      <c r="O399" s="173"/>
      <c r="P399" s="173"/>
    </row>
    <row r="400" spans="1:16" ht="11.25" customHeight="1">
      <c r="A400" s="207"/>
      <c r="B400" s="208"/>
      <c r="C400" s="173"/>
      <c r="D400" s="173"/>
      <c r="E400" s="173"/>
      <c r="F400" s="173"/>
      <c r="G400" s="173"/>
      <c r="H400" s="173"/>
      <c r="I400" s="173"/>
      <c r="J400" s="173"/>
      <c r="K400" s="173"/>
      <c r="L400" s="173"/>
      <c r="M400" s="173"/>
      <c r="N400" s="173"/>
      <c r="O400" s="173"/>
      <c r="P400" s="173"/>
    </row>
    <row r="401" spans="1:16" ht="11.25" customHeight="1">
      <c r="A401" s="207"/>
      <c r="B401" s="208"/>
      <c r="C401" s="173"/>
      <c r="D401" s="173"/>
      <c r="E401" s="173"/>
      <c r="F401" s="173"/>
      <c r="G401" s="173"/>
      <c r="H401" s="173"/>
      <c r="I401" s="173"/>
      <c r="J401" s="173"/>
      <c r="K401" s="173"/>
      <c r="L401" s="173"/>
      <c r="M401" s="173"/>
      <c r="N401" s="173"/>
      <c r="O401" s="173"/>
      <c r="P401" s="173"/>
    </row>
    <row r="402" spans="1:16" ht="11.25" customHeight="1">
      <c r="A402" s="207"/>
      <c r="B402" s="208"/>
      <c r="C402" s="173"/>
      <c r="D402" s="173"/>
      <c r="E402" s="173"/>
      <c r="F402" s="173"/>
      <c r="G402" s="173"/>
      <c r="H402" s="173"/>
      <c r="I402" s="173"/>
      <c r="J402" s="173"/>
      <c r="K402" s="173"/>
      <c r="L402" s="173"/>
      <c r="M402" s="173"/>
      <c r="N402" s="173"/>
      <c r="O402" s="173"/>
      <c r="P402" s="173"/>
    </row>
    <row r="403" spans="1:16" ht="11.25" customHeight="1">
      <c r="A403" s="207"/>
      <c r="B403" s="208"/>
      <c r="C403" s="173"/>
      <c r="D403" s="173"/>
      <c r="E403" s="173"/>
      <c r="F403" s="173"/>
      <c r="G403" s="173"/>
      <c r="H403" s="173"/>
      <c r="I403" s="173"/>
      <c r="J403" s="173"/>
      <c r="K403" s="173"/>
      <c r="L403" s="173"/>
      <c r="M403" s="173"/>
      <c r="N403" s="173"/>
      <c r="O403" s="173"/>
      <c r="P403" s="173"/>
    </row>
    <row r="404" spans="1:16" ht="11.25" customHeight="1">
      <c r="A404" s="207"/>
      <c r="B404" s="208"/>
      <c r="C404" s="173"/>
      <c r="D404" s="173"/>
      <c r="E404" s="173"/>
      <c r="F404" s="173"/>
      <c r="G404" s="173"/>
      <c r="H404" s="173"/>
      <c r="I404" s="173"/>
      <c r="J404" s="173"/>
      <c r="K404" s="173"/>
      <c r="L404" s="173"/>
      <c r="M404" s="173"/>
      <c r="N404" s="173"/>
      <c r="O404" s="173"/>
      <c r="P404" s="173"/>
    </row>
    <row r="405" spans="1:16" ht="11.25" customHeight="1">
      <c r="A405" s="207"/>
      <c r="B405" s="208"/>
      <c r="C405" s="173"/>
      <c r="D405" s="173"/>
      <c r="E405" s="173"/>
      <c r="F405" s="173"/>
      <c r="G405" s="173"/>
      <c r="H405" s="173"/>
      <c r="I405" s="173"/>
      <c r="J405" s="173"/>
      <c r="K405" s="173"/>
      <c r="L405" s="173"/>
      <c r="M405" s="173"/>
      <c r="N405" s="173"/>
      <c r="O405" s="173"/>
      <c r="P405" s="173"/>
    </row>
    <row r="406" spans="1:16" ht="11.25" customHeight="1">
      <c r="A406" s="207"/>
      <c r="B406" s="208"/>
      <c r="C406" s="173"/>
      <c r="D406" s="173"/>
      <c r="E406" s="173"/>
      <c r="F406" s="173"/>
      <c r="G406" s="173"/>
      <c r="H406" s="173"/>
      <c r="I406" s="173"/>
      <c r="J406" s="173"/>
      <c r="K406" s="173"/>
      <c r="L406" s="173"/>
      <c r="M406" s="173"/>
      <c r="N406" s="173"/>
      <c r="O406" s="173"/>
      <c r="P406" s="173"/>
    </row>
    <row r="407" spans="1:16" ht="11.25" customHeight="1">
      <c r="A407" s="207"/>
      <c r="B407" s="208"/>
      <c r="C407" s="173"/>
      <c r="D407" s="173"/>
      <c r="E407" s="173"/>
      <c r="F407" s="173"/>
      <c r="G407" s="173"/>
      <c r="H407" s="173"/>
      <c r="I407" s="173"/>
      <c r="J407" s="173"/>
      <c r="K407" s="173"/>
      <c r="L407" s="173"/>
      <c r="M407" s="173"/>
      <c r="N407" s="173"/>
      <c r="O407" s="173"/>
      <c r="P407" s="173"/>
    </row>
    <row r="408" spans="1:16" ht="11.25" customHeight="1">
      <c r="A408" s="207"/>
      <c r="B408" s="208"/>
      <c r="C408" s="173"/>
      <c r="D408" s="173"/>
      <c r="E408" s="173"/>
      <c r="F408" s="173"/>
      <c r="G408" s="173"/>
      <c r="H408" s="173"/>
      <c r="I408" s="173"/>
      <c r="J408" s="173"/>
      <c r="K408" s="173"/>
      <c r="L408" s="173"/>
      <c r="M408" s="173"/>
      <c r="N408" s="173"/>
      <c r="O408" s="173"/>
      <c r="P408" s="173"/>
    </row>
    <row r="409" spans="1:16" ht="11.25" customHeight="1">
      <c r="A409" s="207"/>
      <c r="B409" s="208"/>
      <c r="C409" s="173"/>
      <c r="D409" s="173"/>
      <c r="E409" s="173"/>
      <c r="F409" s="173"/>
      <c r="G409" s="173"/>
      <c r="H409" s="173"/>
      <c r="I409" s="173"/>
      <c r="J409" s="173"/>
      <c r="K409" s="173"/>
      <c r="L409" s="173"/>
      <c r="M409" s="173"/>
      <c r="N409" s="173"/>
      <c r="O409" s="173"/>
      <c r="P409" s="173"/>
    </row>
    <row r="410" spans="1:16" ht="11.25" customHeight="1">
      <c r="A410" s="207"/>
      <c r="B410" s="208"/>
      <c r="C410" s="173"/>
      <c r="D410" s="173"/>
      <c r="E410" s="173"/>
      <c r="F410" s="173"/>
      <c r="G410" s="173"/>
      <c r="H410" s="173"/>
      <c r="I410" s="173"/>
      <c r="J410" s="173"/>
      <c r="K410" s="173"/>
      <c r="L410" s="173"/>
      <c r="M410" s="173"/>
      <c r="N410" s="173"/>
      <c r="O410" s="173"/>
      <c r="P410" s="173"/>
    </row>
    <row r="411" spans="1:16" ht="11.25" customHeight="1">
      <c r="A411" s="207"/>
      <c r="B411" s="208"/>
      <c r="C411" s="173"/>
      <c r="D411" s="173"/>
      <c r="E411" s="173"/>
      <c r="F411" s="173"/>
      <c r="G411" s="173"/>
      <c r="H411" s="173"/>
      <c r="I411" s="173"/>
      <c r="J411" s="173"/>
      <c r="K411" s="173"/>
      <c r="L411" s="173"/>
      <c r="M411" s="173"/>
      <c r="N411" s="173"/>
      <c r="O411" s="173"/>
      <c r="P411" s="173"/>
    </row>
    <row r="412" spans="1:16" ht="11.25" customHeight="1">
      <c r="A412" s="207"/>
      <c r="B412" s="208"/>
      <c r="C412" s="173"/>
      <c r="D412" s="173"/>
      <c r="E412" s="173"/>
      <c r="F412" s="173"/>
      <c r="G412" s="173"/>
      <c r="H412" s="173"/>
      <c r="I412" s="173"/>
      <c r="J412" s="173"/>
      <c r="K412" s="173"/>
      <c r="L412" s="173"/>
      <c r="M412" s="173"/>
      <c r="N412" s="173"/>
      <c r="O412" s="173"/>
      <c r="P412" s="173"/>
    </row>
    <row r="413" spans="1:16" ht="11.25" customHeight="1">
      <c r="A413" s="207"/>
      <c r="B413" s="208"/>
      <c r="C413" s="173"/>
      <c r="D413" s="173"/>
      <c r="E413" s="173"/>
      <c r="F413" s="173"/>
      <c r="G413" s="173"/>
      <c r="H413" s="173"/>
      <c r="I413" s="173"/>
      <c r="J413" s="173"/>
      <c r="K413" s="173"/>
      <c r="L413" s="173"/>
      <c r="M413" s="173"/>
      <c r="N413" s="173"/>
      <c r="O413" s="173"/>
      <c r="P413" s="173"/>
    </row>
    <row r="414" spans="1:16" ht="11.25" customHeight="1">
      <c r="A414" s="207"/>
      <c r="B414" s="208"/>
      <c r="C414" s="173"/>
      <c r="D414" s="173"/>
      <c r="E414" s="173"/>
      <c r="F414" s="173"/>
      <c r="G414" s="173"/>
      <c r="H414" s="173"/>
      <c r="I414" s="173"/>
      <c r="J414" s="173"/>
      <c r="K414" s="173"/>
      <c r="L414" s="173"/>
      <c r="M414" s="173"/>
      <c r="N414" s="173"/>
      <c r="O414" s="173"/>
      <c r="P414" s="173"/>
    </row>
    <row r="415" spans="1:16" ht="11.25" customHeight="1">
      <c r="A415" s="207"/>
      <c r="B415" s="208"/>
      <c r="C415" s="173"/>
      <c r="D415" s="173"/>
      <c r="E415" s="173"/>
      <c r="F415" s="173"/>
      <c r="G415" s="173"/>
      <c r="H415" s="173"/>
      <c r="I415" s="173"/>
      <c r="J415" s="173"/>
      <c r="K415" s="173"/>
      <c r="L415" s="173"/>
      <c r="M415" s="173"/>
      <c r="N415" s="173"/>
      <c r="O415" s="173"/>
      <c r="P415" s="173"/>
    </row>
    <row r="416" spans="1:16" ht="11.25" customHeight="1">
      <c r="A416" s="207"/>
      <c r="B416" s="208"/>
      <c r="C416" s="173"/>
      <c r="D416" s="173"/>
      <c r="E416" s="173"/>
      <c r="F416" s="173"/>
      <c r="G416" s="173"/>
      <c r="H416" s="173"/>
      <c r="I416" s="173"/>
      <c r="J416" s="173"/>
      <c r="K416" s="173"/>
      <c r="L416" s="173"/>
      <c r="M416" s="173"/>
      <c r="N416" s="173"/>
      <c r="O416" s="173"/>
      <c r="P416" s="173"/>
    </row>
    <row r="417" spans="1:16" ht="11.25" customHeight="1">
      <c r="A417" s="207"/>
      <c r="B417" s="208"/>
      <c r="C417" s="173"/>
      <c r="D417" s="173"/>
      <c r="E417" s="173"/>
      <c r="F417" s="173"/>
      <c r="G417" s="173"/>
      <c r="H417" s="173"/>
      <c r="I417" s="173"/>
      <c r="J417" s="173"/>
      <c r="K417" s="173"/>
      <c r="L417" s="173"/>
      <c r="M417" s="173"/>
      <c r="N417" s="173"/>
      <c r="O417" s="173"/>
      <c r="P417" s="173"/>
    </row>
    <row r="418" spans="1:16" ht="11.25" customHeight="1">
      <c r="A418" s="207"/>
      <c r="B418" s="208"/>
      <c r="C418" s="173"/>
      <c r="D418" s="173"/>
      <c r="E418" s="173"/>
      <c r="F418" s="173"/>
      <c r="G418" s="173"/>
      <c r="H418" s="173"/>
      <c r="I418" s="173"/>
      <c r="J418" s="173"/>
      <c r="K418" s="173"/>
      <c r="L418" s="173"/>
      <c r="M418" s="173"/>
      <c r="N418" s="173"/>
      <c r="O418" s="173"/>
      <c r="P418" s="173"/>
    </row>
    <row r="419" spans="1:16" ht="11.25" customHeight="1">
      <c r="A419" s="207"/>
      <c r="B419" s="208"/>
      <c r="C419" s="173"/>
      <c r="D419" s="173"/>
      <c r="E419" s="173"/>
      <c r="F419" s="173"/>
      <c r="G419" s="173"/>
      <c r="H419" s="173"/>
      <c r="I419" s="173"/>
      <c r="J419" s="173"/>
      <c r="K419" s="173"/>
      <c r="L419" s="173"/>
      <c r="M419" s="173"/>
      <c r="N419" s="173"/>
      <c r="O419" s="173"/>
      <c r="P419" s="173"/>
    </row>
    <row r="420" spans="1:16" ht="11.25" customHeight="1">
      <c r="A420" s="207"/>
      <c r="B420" s="208"/>
      <c r="C420" s="173"/>
      <c r="D420" s="173"/>
      <c r="E420" s="173"/>
      <c r="F420" s="173"/>
      <c r="G420" s="173"/>
      <c r="H420" s="173"/>
      <c r="I420" s="173"/>
      <c r="J420" s="173"/>
      <c r="K420" s="173"/>
      <c r="L420" s="173"/>
      <c r="M420" s="173"/>
      <c r="N420" s="173"/>
      <c r="O420" s="173"/>
      <c r="P420" s="173"/>
    </row>
    <row r="421" spans="1:16" ht="11.25" customHeight="1">
      <c r="A421" s="207"/>
      <c r="B421" s="208"/>
      <c r="C421" s="173"/>
      <c r="D421" s="173"/>
      <c r="E421" s="173"/>
      <c r="F421" s="173"/>
      <c r="G421" s="173"/>
      <c r="H421" s="173"/>
      <c r="I421" s="173"/>
      <c r="J421" s="173"/>
      <c r="K421" s="173"/>
      <c r="L421" s="173"/>
      <c r="M421" s="173"/>
      <c r="N421" s="173"/>
      <c r="O421" s="173"/>
      <c r="P421" s="173"/>
    </row>
    <row r="422" spans="1:16" ht="11.25" customHeight="1">
      <c r="A422" s="207"/>
      <c r="B422" s="208"/>
      <c r="C422" s="173"/>
      <c r="D422" s="173"/>
      <c r="E422" s="173"/>
      <c r="F422" s="173"/>
      <c r="G422" s="173"/>
      <c r="H422" s="173"/>
      <c r="I422" s="173"/>
      <c r="J422" s="173"/>
      <c r="K422" s="173"/>
      <c r="L422" s="173"/>
      <c r="M422" s="173"/>
      <c r="N422" s="173"/>
      <c r="O422" s="173"/>
      <c r="P422" s="173"/>
    </row>
    <row r="423" spans="1:16" ht="11.25" customHeight="1">
      <c r="A423" s="207"/>
      <c r="B423" s="208"/>
      <c r="C423" s="173"/>
      <c r="D423" s="173"/>
      <c r="E423" s="173"/>
      <c r="F423" s="173"/>
      <c r="G423" s="173"/>
      <c r="H423" s="173"/>
      <c r="I423" s="173"/>
      <c r="J423" s="173"/>
      <c r="K423" s="173"/>
      <c r="L423" s="173"/>
      <c r="M423" s="173"/>
      <c r="N423" s="173"/>
      <c r="O423" s="173"/>
      <c r="P423" s="173"/>
    </row>
    <row r="424" spans="1:16" ht="11.25" customHeight="1">
      <c r="A424" s="207"/>
      <c r="B424" s="208"/>
      <c r="C424" s="173"/>
      <c r="D424" s="173"/>
      <c r="E424" s="173"/>
      <c r="F424" s="173"/>
      <c r="G424" s="173"/>
      <c r="H424" s="173"/>
      <c r="I424" s="173"/>
      <c r="J424" s="173"/>
      <c r="K424" s="173"/>
      <c r="L424" s="173"/>
      <c r="M424" s="173"/>
      <c r="N424" s="173"/>
      <c r="O424" s="173"/>
      <c r="P424" s="173"/>
    </row>
    <row r="425" spans="1:16" ht="11.25" customHeight="1">
      <c r="A425" s="207"/>
      <c r="B425" s="208"/>
      <c r="C425" s="173"/>
      <c r="D425" s="173"/>
      <c r="E425" s="173"/>
      <c r="F425" s="173"/>
      <c r="G425" s="173"/>
      <c r="H425" s="173"/>
      <c r="I425" s="173"/>
      <c r="J425" s="173"/>
      <c r="K425" s="173"/>
      <c r="L425" s="173"/>
      <c r="M425" s="173"/>
      <c r="N425" s="173"/>
      <c r="O425" s="173"/>
      <c r="P425" s="173"/>
    </row>
    <row r="426" spans="1:16" ht="11.25" customHeight="1">
      <c r="A426" s="207"/>
      <c r="B426" s="208"/>
      <c r="C426" s="173"/>
      <c r="D426" s="173"/>
      <c r="E426" s="173"/>
      <c r="F426" s="173"/>
      <c r="G426" s="173"/>
      <c r="H426" s="173"/>
      <c r="I426" s="173"/>
      <c r="J426" s="173"/>
      <c r="K426" s="173"/>
      <c r="L426" s="173"/>
      <c r="M426" s="173"/>
      <c r="N426" s="173"/>
      <c r="O426" s="173"/>
      <c r="P426" s="173"/>
    </row>
    <row r="427" spans="1:16" ht="11.25" customHeight="1">
      <c r="A427" s="207"/>
      <c r="B427" s="208"/>
      <c r="C427" s="173"/>
      <c r="D427" s="173"/>
      <c r="E427" s="173"/>
      <c r="F427" s="173"/>
      <c r="G427" s="173"/>
      <c r="H427" s="173"/>
      <c r="I427" s="173"/>
      <c r="J427" s="173"/>
      <c r="K427" s="173"/>
      <c r="L427" s="173"/>
      <c r="M427" s="173"/>
      <c r="N427" s="173"/>
      <c r="O427" s="173"/>
      <c r="P427" s="173"/>
    </row>
    <row r="428" spans="1:16" ht="11.25" customHeight="1">
      <c r="A428" s="207"/>
      <c r="B428" s="208"/>
      <c r="C428" s="173"/>
      <c r="D428" s="173"/>
      <c r="E428" s="173"/>
      <c r="F428" s="173"/>
      <c r="G428" s="173"/>
      <c r="H428" s="173"/>
      <c r="I428" s="173"/>
      <c r="J428" s="173"/>
      <c r="K428" s="173"/>
      <c r="L428" s="173"/>
      <c r="M428" s="173"/>
      <c r="N428" s="173"/>
      <c r="O428" s="173"/>
      <c r="P428" s="173"/>
    </row>
    <row r="429" spans="1:16" ht="11.25" customHeight="1">
      <c r="A429" s="207"/>
      <c r="B429" s="208"/>
      <c r="C429" s="173"/>
      <c r="D429" s="173"/>
      <c r="E429" s="173"/>
      <c r="F429" s="173"/>
      <c r="G429" s="173"/>
      <c r="H429" s="173"/>
      <c r="I429" s="173"/>
      <c r="J429" s="173"/>
      <c r="K429" s="173"/>
      <c r="L429" s="173"/>
      <c r="M429" s="173"/>
      <c r="N429" s="173"/>
      <c r="O429" s="173"/>
      <c r="P429" s="173"/>
    </row>
    <row r="430" spans="1:16" ht="11.25" customHeight="1">
      <c r="A430" s="207"/>
      <c r="B430" s="208"/>
      <c r="C430" s="173"/>
      <c r="D430" s="173"/>
      <c r="E430" s="173"/>
      <c r="F430" s="173"/>
      <c r="G430" s="173"/>
      <c r="H430" s="173"/>
      <c r="I430" s="173"/>
      <c r="J430" s="173"/>
      <c r="K430" s="173"/>
      <c r="L430" s="173"/>
      <c r="M430" s="173"/>
      <c r="N430" s="173"/>
      <c r="O430" s="173"/>
      <c r="P430" s="173"/>
    </row>
    <row r="431" spans="1:16" ht="11.25" customHeight="1">
      <c r="A431" s="207"/>
      <c r="B431" s="208"/>
      <c r="C431" s="173"/>
      <c r="D431" s="173"/>
      <c r="E431" s="173"/>
      <c r="F431" s="173"/>
      <c r="G431" s="173"/>
      <c r="H431" s="173"/>
      <c r="I431" s="173"/>
      <c r="J431" s="173"/>
      <c r="K431" s="173"/>
      <c r="L431" s="173"/>
      <c r="M431" s="173"/>
      <c r="N431" s="173"/>
      <c r="O431" s="173"/>
      <c r="P431" s="173"/>
    </row>
    <row r="432" spans="1:16" ht="11.25" customHeight="1">
      <c r="A432" s="207"/>
      <c r="B432" s="208"/>
      <c r="C432" s="173"/>
      <c r="D432" s="173"/>
      <c r="E432" s="173"/>
      <c r="F432" s="173"/>
      <c r="G432" s="173"/>
      <c r="H432" s="173"/>
      <c r="I432" s="173"/>
      <c r="J432" s="173"/>
      <c r="K432" s="173"/>
      <c r="L432" s="173"/>
      <c r="M432" s="173"/>
      <c r="N432" s="173"/>
      <c r="O432" s="173"/>
      <c r="P432" s="173"/>
    </row>
    <row r="433" spans="1:16" ht="11.25" customHeight="1">
      <c r="A433" s="207"/>
      <c r="B433" s="208"/>
      <c r="C433" s="173"/>
      <c r="D433" s="173"/>
      <c r="E433" s="173"/>
      <c r="F433" s="173"/>
      <c r="G433" s="173"/>
      <c r="H433" s="173"/>
      <c r="I433" s="173"/>
      <c r="J433" s="173"/>
      <c r="K433" s="173"/>
      <c r="L433" s="173"/>
      <c r="M433" s="173"/>
      <c r="N433" s="173"/>
      <c r="O433" s="173"/>
      <c r="P433" s="173"/>
    </row>
    <row r="434" spans="1:16" ht="11.25" customHeight="1">
      <c r="A434" s="207"/>
      <c r="B434" s="208"/>
      <c r="C434" s="173"/>
      <c r="D434" s="173"/>
      <c r="E434" s="173"/>
      <c r="F434" s="173"/>
      <c r="G434" s="173"/>
      <c r="H434" s="173"/>
      <c r="I434" s="173"/>
      <c r="J434" s="173"/>
      <c r="K434" s="173"/>
      <c r="L434" s="173"/>
      <c r="M434" s="173"/>
      <c r="N434" s="173"/>
      <c r="O434" s="173"/>
      <c r="P434" s="173"/>
    </row>
    <row r="435" spans="1:16" ht="11.25" customHeight="1">
      <c r="A435" s="207"/>
      <c r="B435" s="208"/>
      <c r="C435" s="173"/>
      <c r="D435" s="173"/>
      <c r="E435" s="173"/>
      <c r="F435" s="173"/>
      <c r="G435" s="173"/>
      <c r="H435" s="173"/>
      <c r="I435" s="173"/>
      <c r="J435" s="173"/>
      <c r="K435" s="173"/>
      <c r="L435" s="173"/>
      <c r="M435" s="173"/>
      <c r="N435" s="173"/>
      <c r="O435" s="173"/>
      <c r="P435" s="173"/>
    </row>
    <row r="436" spans="1:16" ht="11.25" customHeight="1">
      <c r="A436" s="207"/>
      <c r="B436" s="208"/>
      <c r="C436" s="173"/>
      <c r="D436" s="173"/>
      <c r="E436" s="173"/>
      <c r="F436" s="173"/>
      <c r="G436" s="173"/>
      <c r="H436" s="173"/>
      <c r="I436" s="173"/>
      <c r="J436" s="173"/>
      <c r="K436" s="173"/>
      <c r="L436" s="173"/>
      <c r="M436" s="173"/>
      <c r="N436" s="173"/>
      <c r="O436" s="173"/>
      <c r="P436" s="173"/>
    </row>
    <row r="437" spans="1:16" ht="11.25" customHeight="1">
      <c r="A437" s="207"/>
      <c r="B437" s="208"/>
      <c r="C437" s="173"/>
      <c r="D437" s="173"/>
      <c r="E437" s="173"/>
      <c r="F437" s="173"/>
      <c r="G437" s="173"/>
      <c r="H437" s="173"/>
      <c r="I437" s="173"/>
      <c r="J437" s="173"/>
      <c r="K437" s="173"/>
      <c r="L437" s="173"/>
      <c r="M437" s="173"/>
      <c r="N437" s="173"/>
      <c r="O437" s="173"/>
      <c r="P437" s="173"/>
    </row>
    <row r="438" spans="1:16" ht="11.25" customHeight="1">
      <c r="A438" s="207"/>
      <c r="B438" s="208"/>
      <c r="C438" s="173"/>
      <c r="D438" s="173"/>
      <c r="E438" s="173"/>
      <c r="F438" s="173"/>
      <c r="G438" s="173"/>
      <c r="H438" s="173"/>
      <c r="I438" s="173"/>
      <c r="J438" s="173"/>
      <c r="K438" s="173"/>
      <c r="L438" s="173"/>
      <c r="M438" s="173"/>
      <c r="N438" s="173"/>
      <c r="O438" s="173"/>
      <c r="P438" s="173"/>
    </row>
    <row r="439" spans="1:16" ht="11.25" customHeight="1">
      <c r="A439" s="207"/>
      <c r="B439" s="208"/>
      <c r="C439" s="173"/>
      <c r="D439" s="173"/>
      <c r="E439" s="173"/>
      <c r="F439" s="173"/>
      <c r="G439" s="173"/>
      <c r="H439" s="173"/>
      <c r="I439" s="173"/>
      <c r="J439" s="173"/>
      <c r="K439" s="173"/>
      <c r="L439" s="173"/>
      <c r="M439" s="173"/>
      <c r="N439" s="173"/>
      <c r="O439" s="173"/>
      <c r="P439" s="173"/>
    </row>
    <row r="440" spans="1:16" ht="11.25" customHeight="1">
      <c r="A440" s="207"/>
      <c r="B440" s="208"/>
      <c r="C440" s="173"/>
      <c r="D440" s="173"/>
      <c r="E440" s="173"/>
      <c r="F440" s="173"/>
      <c r="G440" s="173"/>
      <c r="H440" s="173"/>
      <c r="I440" s="173"/>
      <c r="J440" s="173"/>
      <c r="K440" s="173"/>
      <c r="L440" s="173"/>
      <c r="M440" s="173"/>
      <c r="N440" s="173"/>
      <c r="O440" s="173"/>
      <c r="P440" s="173"/>
    </row>
    <row r="441" spans="1:16" ht="11.25" customHeight="1">
      <c r="A441" s="207"/>
      <c r="B441" s="208"/>
      <c r="C441" s="173"/>
      <c r="D441" s="173"/>
      <c r="E441" s="173"/>
      <c r="F441" s="173"/>
      <c r="G441" s="173"/>
      <c r="H441" s="173"/>
      <c r="I441" s="173"/>
      <c r="J441" s="173"/>
      <c r="K441" s="173"/>
      <c r="L441" s="173"/>
      <c r="M441" s="173"/>
      <c r="N441" s="173"/>
      <c r="O441" s="173"/>
      <c r="P441" s="173"/>
    </row>
    <row r="442" spans="1:16" ht="11.25" customHeight="1">
      <c r="A442" s="207"/>
      <c r="B442" s="208"/>
      <c r="C442" s="173"/>
      <c r="D442" s="173"/>
      <c r="E442" s="173"/>
      <c r="F442" s="173"/>
      <c r="G442" s="173"/>
      <c r="H442" s="173"/>
      <c r="I442" s="173"/>
      <c r="J442" s="173"/>
      <c r="K442" s="173"/>
      <c r="L442" s="173"/>
      <c r="M442" s="173"/>
      <c r="N442" s="173"/>
      <c r="O442" s="173"/>
      <c r="P442" s="173"/>
    </row>
    <row r="443" spans="1:16" ht="11.25" customHeight="1">
      <c r="A443" s="207"/>
      <c r="B443" s="208"/>
      <c r="C443" s="173"/>
      <c r="D443" s="173"/>
      <c r="E443" s="173"/>
      <c r="F443" s="173"/>
      <c r="G443" s="173"/>
      <c r="H443" s="173"/>
      <c r="I443" s="173"/>
      <c r="J443" s="173"/>
      <c r="K443" s="173"/>
      <c r="L443" s="173"/>
      <c r="M443" s="173"/>
      <c r="N443" s="173"/>
      <c r="O443" s="173"/>
      <c r="P443" s="173"/>
    </row>
    <row r="444" spans="1:16" ht="11.25" customHeight="1">
      <c r="A444" s="207"/>
      <c r="B444" s="208"/>
      <c r="C444" s="173"/>
      <c r="D444" s="173"/>
      <c r="E444" s="173"/>
      <c r="F444" s="173"/>
      <c r="G444" s="173"/>
      <c r="H444" s="173"/>
      <c r="I444" s="173"/>
      <c r="J444" s="173"/>
      <c r="K444" s="173"/>
      <c r="L444" s="173"/>
      <c r="M444" s="173"/>
      <c r="N444" s="173"/>
      <c r="O444" s="173"/>
      <c r="P444" s="173"/>
    </row>
    <row r="445" spans="1:16" ht="11.25" customHeight="1">
      <c r="A445" s="207"/>
      <c r="B445" s="208"/>
      <c r="C445" s="173"/>
      <c r="D445" s="173"/>
      <c r="E445" s="173"/>
      <c r="F445" s="173"/>
      <c r="G445" s="173"/>
      <c r="H445" s="173"/>
      <c r="I445" s="173"/>
      <c r="J445" s="173"/>
      <c r="K445" s="173"/>
      <c r="L445" s="173"/>
      <c r="M445" s="173"/>
      <c r="N445" s="173"/>
      <c r="O445" s="173"/>
      <c r="P445" s="173"/>
    </row>
    <row r="446" spans="1:16" ht="11.25" customHeight="1">
      <c r="A446" s="207"/>
      <c r="B446" s="208"/>
      <c r="C446" s="173"/>
      <c r="D446" s="173"/>
      <c r="E446" s="173"/>
      <c r="F446" s="173"/>
      <c r="G446" s="173"/>
      <c r="H446" s="173"/>
      <c r="I446" s="173"/>
      <c r="J446" s="173"/>
      <c r="K446" s="173"/>
      <c r="L446" s="173"/>
      <c r="M446" s="173"/>
      <c r="N446" s="173"/>
      <c r="O446" s="173"/>
      <c r="P446" s="173"/>
    </row>
    <row r="447" spans="1:16" ht="11.25" customHeight="1">
      <c r="A447" s="207"/>
      <c r="B447" s="208"/>
      <c r="C447" s="173"/>
      <c r="D447" s="173"/>
      <c r="E447" s="173"/>
      <c r="F447" s="173"/>
      <c r="G447" s="173"/>
      <c r="H447" s="173"/>
      <c r="I447" s="173"/>
      <c r="J447" s="173"/>
      <c r="K447" s="173"/>
      <c r="L447" s="173"/>
      <c r="M447" s="173"/>
      <c r="N447" s="173"/>
      <c r="O447" s="173"/>
      <c r="P447" s="173"/>
    </row>
    <row r="448" spans="1:16" ht="11.25" customHeight="1">
      <c r="A448" s="207"/>
      <c r="B448" s="208"/>
      <c r="C448" s="173"/>
      <c r="D448" s="173"/>
      <c r="E448" s="173"/>
      <c r="F448" s="173"/>
      <c r="G448" s="173"/>
      <c r="H448" s="173"/>
      <c r="I448" s="173"/>
      <c r="J448" s="173"/>
      <c r="K448" s="173"/>
      <c r="L448" s="173"/>
      <c r="M448" s="173"/>
      <c r="N448" s="173"/>
      <c r="O448" s="173"/>
      <c r="P448" s="173"/>
    </row>
    <row r="449" spans="1:16" ht="11.25" customHeight="1">
      <c r="A449" s="207"/>
      <c r="B449" s="208"/>
      <c r="C449" s="173"/>
      <c r="D449" s="173"/>
      <c r="E449" s="173"/>
      <c r="F449" s="173"/>
      <c r="G449" s="173"/>
      <c r="H449" s="173"/>
      <c r="I449" s="173"/>
      <c r="J449" s="173"/>
      <c r="K449" s="173"/>
      <c r="L449" s="173"/>
      <c r="M449" s="173"/>
      <c r="N449" s="173"/>
      <c r="O449" s="173"/>
      <c r="P449" s="173"/>
    </row>
    <row r="450" spans="1:16" ht="11.25" customHeight="1">
      <c r="A450" s="207"/>
      <c r="B450" s="208"/>
      <c r="C450" s="173"/>
      <c r="D450" s="173"/>
      <c r="E450" s="173"/>
      <c r="F450" s="173"/>
      <c r="G450" s="173"/>
      <c r="H450" s="173"/>
      <c r="I450" s="173"/>
      <c r="J450" s="173"/>
      <c r="K450" s="173"/>
      <c r="L450" s="173"/>
      <c r="M450" s="173"/>
      <c r="N450" s="173"/>
      <c r="O450" s="173"/>
      <c r="P450" s="173"/>
    </row>
    <row r="451" spans="1:16" ht="11.25" customHeight="1">
      <c r="A451" s="207"/>
      <c r="B451" s="208"/>
      <c r="C451" s="173"/>
      <c r="D451" s="173"/>
      <c r="E451" s="173"/>
      <c r="F451" s="173"/>
      <c r="G451" s="173"/>
      <c r="H451" s="173"/>
      <c r="I451" s="173"/>
      <c r="J451" s="173"/>
      <c r="K451" s="173"/>
      <c r="L451" s="173"/>
      <c r="M451" s="173"/>
      <c r="N451" s="173"/>
      <c r="O451" s="173"/>
      <c r="P451" s="173"/>
    </row>
    <row r="452" spans="1:16" ht="11.25" customHeight="1">
      <c r="A452" s="207"/>
      <c r="B452" s="208"/>
      <c r="C452" s="173"/>
      <c r="D452" s="173"/>
      <c r="E452" s="173"/>
      <c r="F452" s="173"/>
      <c r="G452" s="173"/>
      <c r="H452" s="173"/>
      <c r="I452" s="173"/>
      <c r="J452" s="173"/>
      <c r="K452" s="173"/>
      <c r="L452" s="173"/>
      <c r="M452" s="173"/>
      <c r="N452" s="173"/>
      <c r="O452" s="173"/>
      <c r="P452" s="173"/>
    </row>
    <row r="453" spans="1:16" ht="11.25" customHeight="1">
      <c r="A453" s="207"/>
      <c r="B453" s="208"/>
      <c r="C453" s="173"/>
      <c r="D453" s="173"/>
      <c r="E453" s="173"/>
      <c r="F453" s="173"/>
      <c r="G453" s="173"/>
      <c r="H453" s="173"/>
      <c r="I453" s="173"/>
      <c r="J453" s="173"/>
      <c r="K453" s="173"/>
      <c r="L453" s="173"/>
      <c r="M453" s="173"/>
      <c r="N453" s="173"/>
      <c r="O453" s="173"/>
      <c r="P453" s="173"/>
    </row>
    <row r="454" spans="1:16" ht="11.25" customHeight="1">
      <c r="A454" s="207"/>
      <c r="B454" s="208"/>
      <c r="C454" s="173"/>
      <c r="D454" s="173"/>
      <c r="E454" s="173"/>
      <c r="F454" s="173"/>
      <c r="G454" s="173"/>
      <c r="H454" s="173"/>
      <c r="I454" s="173"/>
      <c r="J454" s="173"/>
      <c r="K454" s="173"/>
      <c r="L454" s="173"/>
      <c r="M454" s="173"/>
      <c r="N454" s="173"/>
      <c r="O454" s="173"/>
      <c r="P454" s="173"/>
    </row>
    <row r="455" spans="1:16" ht="11.25" customHeight="1">
      <c r="A455" s="207"/>
      <c r="B455" s="208"/>
      <c r="C455" s="173"/>
      <c r="D455" s="173"/>
      <c r="E455" s="173"/>
      <c r="F455" s="173"/>
      <c r="G455" s="173"/>
      <c r="H455" s="173"/>
      <c r="I455" s="173"/>
      <c r="J455" s="173"/>
      <c r="K455" s="173"/>
      <c r="L455" s="173"/>
      <c r="M455" s="173"/>
      <c r="N455" s="173"/>
      <c r="O455" s="173"/>
      <c r="P455" s="173"/>
    </row>
    <row r="456" spans="1:16" ht="11.25" customHeight="1">
      <c r="A456" s="207"/>
      <c r="B456" s="208"/>
      <c r="C456" s="173"/>
      <c r="D456" s="173"/>
      <c r="E456" s="173"/>
      <c r="F456" s="173"/>
      <c r="G456" s="173"/>
      <c r="H456" s="173"/>
      <c r="I456" s="173"/>
      <c r="J456" s="173"/>
      <c r="K456" s="173"/>
      <c r="L456" s="173"/>
      <c r="M456" s="173"/>
      <c r="N456" s="173"/>
      <c r="O456" s="173"/>
      <c r="P456" s="173"/>
    </row>
    <row r="457" spans="1:16" ht="11.25" customHeight="1">
      <c r="A457" s="207"/>
      <c r="B457" s="208"/>
      <c r="C457" s="173"/>
      <c r="D457" s="173"/>
      <c r="E457" s="173"/>
      <c r="F457" s="173"/>
      <c r="G457" s="173"/>
      <c r="H457" s="173"/>
      <c r="I457" s="173"/>
      <c r="J457" s="173"/>
      <c r="K457" s="173"/>
      <c r="L457" s="173"/>
      <c r="M457" s="173"/>
      <c r="N457" s="173"/>
      <c r="O457" s="173"/>
      <c r="P457" s="173"/>
    </row>
    <row r="458" spans="1:16" ht="11.25" customHeight="1">
      <c r="A458" s="207"/>
      <c r="B458" s="208"/>
      <c r="C458" s="173"/>
      <c r="D458" s="173"/>
      <c r="E458" s="173"/>
      <c r="F458" s="173"/>
      <c r="G458" s="173"/>
      <c r="H458" s="173"/>
      <c r="I458" s="173"/>
      <c r="J458" s="173"/>
      <c r="K458" s="173"/>
      <c r="L458" s="173"/>
      <c r="M458" s="173"/>
      <c r="N458" s="173"/>
      <c r="O458" s="173"/>
      <c r="P458" s="173"/>
    </row>
    <row r="459" spans="1:16" ht="11.25" customHeight="1">
      <c r="A459" s="207"/>
      <c r="B459" s="208"/>
      <c r="C459" s="173"/>
      <c r="D459" s="173"/>
      <c r="E459" s="173"/>
      <c r="F459" s="173"/>
      <c r="G459" s="173"/>
      <c r="H459" s="173"/>
      <c r="I459" s="173"/>
      <c r="J459" s="173"/>
      <c r="K459" s="173"/>
      <c r="L459" s="173"/>
      <c r="M459" s="173"/>
      <c r="N459" s="173"/>
      <c r="O459" s="173"/>
      <c r="P459" s="173"/>
    </row>
    <row r="460" spans="1:16" ht="11.25" customHeight="1">
      <c r="A460" s="207"/>
      <c r="B460" s="208"/>
      <c r="C460" s="173"/>
      <c r="D460" s="173"/>
      <c r="E460" s="173"/>
      <c r="F460" s="173"/>
      <c r="G460" s="173"/>
      <c r="H460" s="173"/>
      <c r="I460" s="173"/>
      <c r="J460" s="173"/>
      <c r="K460" s="173"/>
      <c r="L460" s="173"/>
      <c r="M460" s="173"/>
      <c r="N460" s="173"/>
      <c r="O460" s="173"/>
      <c r="P460" s="173"/>
    </row>
    <row r="461" spans="1:16" ht="11.25" customHeight="1">
      <c r="A461" s="207"/>
      <c r="B461" s="208"/>
      <c r="C461" s="173"/>
      <c r="D461" s="173"/>
      <c r="E461" s="173"/>
      <c r="F461" s="173"/>
      <c r="G461" s="173"/>
      <c r="H461" s="173"/>
      <c r="I461" s="173"/>
      <c r="J461" s="173"/>
      <c r="K461" s="173"/>
      <c r="L461" s="173"/>
      <c r="M461" s="173"/>
      <c r="N461" s="173"/>
      <c r="O461" s="173"/>
      <c r="P461" s="173"/>
    </row>
    <row r="462" spans="1:16" ht="11.25" customHeight="1">
      <c r="A462" s="207"/>
      <c r="B462" s="208"/>
      <c r="C462" s="173"/>
      <c r="D462" s="173"/>
      <c r="E462" s="173"/>
      <c r="F462" s="173"/>
      <c r="G462" s="173"/>
      <c r="H462" s="173"/>
      <c r="I462" s="173"/>
      <c r="J462" s="173"/>
      <c r="K462" s="173"/>
      <c r="L462" s="173"/>
      <c r="M462" s="173"/>
      <c r="N462" s="173"/>
      <c r="O462" s="173"/>
      <c r="P462" s="173"/>
    </row>
    <row r="463" spans="1:16" ht="11.25" customHeight="1">
      <c r="A463" s="207"/>
      <c r="B463" s="208"/>
      <c r="C463" s="173"/>
      <c r="D463" s="173"/>
      <c r="E463" s="173"/>
      <c r="F463" s="173"/>
      <c r="G463" s="173"/>
      <c r="H463" s="173"/>
      <c r="I463" s="173"/>
      <c r="J463" s="173"/>
      <c r="K463" s="173"/>
      <c r="L463" s="173"/>
      <c r="M463" s="173"/>
      <c r="N463" s="173"/>
      <c r="O463" s="173"/>
      <c r="P463" s="173"/>
    </row>
    <row r="464" spans="1:16" ht="11.25" customHeight="1">
      <c r="A464" s="207"/>
      <c r="B464" s="208"/>
      <c r="C464" s="173"/>
      <c r="D464" s="173"/>
      <c r="E464" s="173"/>
      <c r="F464" s="173"/>
      <c r="G464" s="173"/>
      <c r="H464" s="173"/>
      <c r="I464" s="173"/>
      <c r="J464" s="173"/>
      <c r="K464" s="173"/>
      <c r="L464" s="173"/>
      <c r="M464" s="173"/>
      <c r="N464" s="173"/>
      <c r="O464" s="173"/>
      <c r="P464" s="173"/>
    </row>
    <row r="465" spans="1:16" ht="11.25" customHeight="1">
      <c r="A465" s="207"/>
      <c r="B465" s="208"/>
      <c r="C465" s="173"/>
      <c r="D465" s="173"/>
      <c r="E465" s="173"/>
      <c r="F465" s="173"/>
      <c r="G465" s="173"/>
      <c r="H465" s="173"/>
      <c r="I465" s="173"/>
      <c r="J465" s="173"/>
      <c r="K465" s="173"/>
      <c r="L465" s="173"/>
      <c r="M465" s="173"/>
      <c r="N465" s="173"/>
      <c r="O465" s="173"/>
      <c r="P465" s="173"/>
    </row>
    <row r="466" spans="1:16" ht="11.25" customHeight="1">
      <c r="A466" s="207"/>
      <c r="B466" s="208"/>
      <c r="C466" s="173"/>
      <c r="D466" s="173"/>
      <c r="E466" s="173"/>
      <c r="F466" s="173"/>
      <c r="G466" s="173"/>
      <c r="H466" s="173"/>
      <c r="I466" s="173"/>
      <c r="J466" s="173"/>
      <c r="K466" s="173"/>
      <c r="L466" s="173"/>
      <c r="M466" s="173"/>
      <c r="N466" s="173"/>
      <c r="O466" s="173"/>
      <c r="P466" s="173"/>
    </row>
    <row r="467" spans="1:16" ht="11.25" customHeight="1">
      <c r="A467" s="207"/>
      <c r="B467" s="208"/>
      <c r="C467" s="173"/>
      <c r="D467" s="173"/>
      <c r="E467" s="173"/>
      <c r="F467" s="173"/>
      <c r="G467" s="173"/>
      <c r="H467" s="173"/>
      <c r="I467" s="173"/>
      <c r="J467" s="173"/>
      <c r="K467" s="173"/>
      <c r="L467" s="173"/>
      <c r="M467" s="173"/>
      <c r="N467" s="173"/>
      <c r="O467" s="173"/>
      <c r="P467" s="173"/>
    </row>
    <row r="468" spans="1:16" ht="11.25" customHeight="1">
      <c r="A468" s="207"/>
      <c r="B468" s="208"/>
      <c r="C468" s="173"/>
      <c r="D468" s="173"/>
      <c r="E468" s="173"/>
      <c r="F468" s="173"/>
      <c r="G468" s="173"/>
      <c r="H468" s="173"/>
      <c r="I468" s="173"/>
      <c r="J468" s="173"/>
      <c r="K468" s="173"/>
      <c r="L468" s="173"/>
      <c r="M468" s="173"/>
      <c r="N468" s="173"/>
      <c r="O468" s="173"/>
      <c r="P468" s="173"/>
    </row>
    <row r="469" spans="1:16" ht="11.25" customHeight="1">
      <c r="A469" s="207"/>
      <c r="B469" s="208"/>
      <c r="C469" s="173"/>
      <c r="D469" s="173"/>
      <c r="E469" s="173"/>
      <c r="F469" s="173"/>
      <c r="G469" s="173"/>
      <c r="H469" s="173"/>
      <c r="I469" s="173"/>
      <c r="J469" s="173"/>
      <c r="K469" s="173"/>
      <c r="L469" s="173"/>
      <c r="M469" s="173"/>
      <c r="N469" s="173"/>
      <c r="O469" s="173"/>
      <c r="P469" s="173"/>
    </row>
    <row r="470" spans="1:16" ht="11.25" customHeight="1">
      <c r="A470" s="207"/>
      <c r="B470" s="208"/>
      <c r="C470" s="173"/>
      <c r="D470" s="173"/>
      <c r="E470" s="173"/>
      <c r="F470" s="173"/>
      <c r="G470" s="173"/>
      <c r="H470" s="173"/>
      <c r="I470" s="173"/>
      <c r="J470" s="173"/>
      <c r="K470" s="173"/>
      <c r="L470" s="173"/>
      <c r="M470" s="173"/>
      <c r="N470" s="173"/>
      <c r="O470" s="173"/>
      <c r="P470" s="173"/>
    </row>
    <row r="471" spans="1:16" ht="11.25" customHeight="1">
      <c r="A471" s="207"/>
      <c r="B471" s="208"/>
      <c r="C471" s="173"/>
      <c r="D471" s="173"/>
      <c r="E471" s="173"/>
      <c r="F471" s="173"/>
      <c r="G471" s="173"/>
      <c r="H471" s="173"/>
      <c r="I471" s="173"/>
      <c r="J471" s="173"/>
      <c r="K471" s="173"/>
      <c r="L471" s="173"/>
      <c r="M471" s="173"/>
      <c r="N471" s="173"/>
      <c r="O471" s="173"/>
      <c r="P471" s="173"/>
    </row>
    <row r="472" spans="1:16" ht="11.25" customHeight="1">
      <c r="A472" s="207"/>
      <c r="B472" s="208"/>
      <c r="C472" s="173"/>
      <c r="D472" s="173"/>
      <c r="E472" s="173"/>
      <c r="F472" s="173"/>
      <c r="G472" s="173"/>
      <c r="H472" s="173"/>
      <c r="I472" s="173"/>
      <c r="J472" s="173"/>
      <c r="K472" s="173"/>
      <c r="L472" s="173"/>
      <c r="M472" s="173"/>
      <c r="N472" s="173"/>
      <c r="O472" s="173"/>
      <c r="P472" s="173"/>
    </row>
    <row r="473" spans="1:16" ht="11.25" customHeight="1">
      <c r="A473" s="207"/>
      <c r="B473" s="208"/>
      <c r="C473" s="173"/>
      <c r="D473" s="173"/>
      <c r="E473" s="173"/>
      <c r="F473" s="173"/>
      <c r="G473" s="173"/>
      <c r="H473" s="173"/>
      <c r="I473" s="173"/>
      <c r="J473" s="173"/>
      <c r="K473" s="173"/>
      <c r="L473" s="173"/>
      <c r="M473" s="173"/>
      <c r="N473" s="173"/>
      <c r="O473" s="173"/>
      <c r="P473" s="173"/>
    </row>
    <row r="474" spans="1:16" ht="11.25" customHeight="1">
      <c r="A474" s="207"/>
      <c r="B474" s="208"/>
      <c r="C474" s="173"/>
      <c r="D474" s="173"/>
      <c r="E474" s="173"/>
      <c r="F474" s="173"/>
      <c r="G474" s="173"/>
      <c r="H474" s="173"/>
      <c r="I474" s="173"/>
      <c r="J474" s="173"/>
      <c r="K474" s="173"/>
      <c r="L474" s="173"/>
      <c r="M474" s="173"/>
      <c r="N474" s="173"/>
      <c r="O474" s="173"/>
      <c r="P474" s="173"/>
    </row>
    <row r="475" spans="1:16" ht="11.25" customHeight="1">
      <c r="A475" s="207"/>
      <c r="B475" s="208"/>
      <c r="C475" s="173"/>
      <c r="D475" s="173"/>
      <c r="E475" s="173"/>
      <c r="F475" s="173"/>
      <c r="G475" s="173"/>
      <c r="H475" s="173"/>
      <c r="I475" s="173"/>
      <c r="J475" s="173"/>
      <c r="K475" s="173"/>
      <c r="L475" s="173"/>
      <c r="M475" s="173"/>
      <c r="N475" s="173"/>
      <c r="O475" s="173"/>
      <c r="P475" s="173"/>
    </row>
    <row r="476" spans="1:16" ht="11.25" customHeight="1">
      <c r="A476" s="207"/>
      <c r="B476" s="208"/>
      <c r="C476" s="173"/>
      <c r="D476" s="173"/>
      <c r="E476" s="173"/>
      <c r="F476" s="173"/>
      <c r="G476" s="173"/>
      <c r="H476" s="173"/>
      <c r="I476" s="173"/>
      <c r="J476" s="173"/>
      <c r="K476" s="173"/>
      <c r="L476" s="173"/>
      <c r="M476" s="173"/>
      <c r="N476" s="173"/>
      <c r="O476" s="173"/>
      <c r="P476" s="173"/>
    </row>
    <row r="477" spans="1:16" ht="11.25" customHeight="1">
      <c r="A477" s="207"/>
      <c r="B477" s="208"/>
      <c r="C477" s="173"/>
      <c r="D477" s="173"/>
      <c r="E477" s="173"/>
      <c r="F477" s="173"/>
      <c r="G477" s="173"/>
      <c r="H477" s="173"/>
      <c r="I477" s="173"/>
      <c r="J477" s="173"/>
      <c r="K477" s="173"/>
      <c r="L477" s="173"/>
      <c r="M477" s="173"/>
      <c r="N477" s="173"/>
      <c r="O477" s="173"/>
      <c r="P477" s="173"/>
    </row>
    <row r="478" spans="1:16" ht="11.25" customHeight="1">
      <c r="A478" s="207"/>
      <c r="B478" s="208"/>
      <c r="C478" s="173"/>
      <c r="D478" s="173"/>
      <c r="E478" s="173"/>
      <c r="F478" s="173"/>
      <c r="G478" s="173"/>
      <c r="H478" s="173"/>
      <c r="I478" s="173"/>
      <c r="J478" s="173"/>
      <c r="K478" s="173"/>
      <c r="L478" s="173"/>
      <c r="M478" s="173"/>
      <c r="N478" s="173"/>
      <c r="O478" s="173"/>
      <c r="P478" s="173"/>
    </row>
    <row r="479" spans="1:16" ht="11.25" customHeight="1">
      <c r="A479" s="207"/>
      <c r="B479" s="208"/>
      <c r="C479" s="173"/>
      <c r="D479" s="173"/>
      <c r="E479" s="173"/>
      <c r="F479" s="173"/>
      <c r="G479" s="173"/>
      <c r="H479" s="173"/>
      <c r="I479" s="173"/>
      <c r="J479" s="173"/>
      <c r="K479" s="173"/>
      <c r="L479" s="173"/>
      <c r="M479" s="173"/>
      <c r="N479" s="173"/>
      <c r="O479" s="173"/>
      <c r="P479" s="173"/>
    </row>
    <row r="480" spans="1:16" ht="11.25" customHeight="1">
      <c r="A480" s="207"/>
      <c r="B480" s="208"/>
      <c r="C480" s="173"/>
      <c r="D480" s="173"/>
      <c r="E480" s="173"/>
      <c r="F480" s="173"/>
      <c r="G480" s="173"/>
      <c r="H480" s="173"/>
      <c r="I480" s="173"/>
      <c r="J480" s="173"/>
      <c r="K480" s="173"/>
      <c r="L480" s="173"/>
      <c r="M480" s="173"/>
      <c r="N480" s="173"/>
      <c r="O480" s="173"/>
      <c r="P480" s="173"/>
    </row>
    <row r="481" spans="1:16" ht="11.25" customHeight="1">
      <c r="A481" s="207"/>
      <c r="B481" s="208"/>
      <c r="C481" s="173"/>
      <c r="D481" s="173"/>
      <c r="E481" s="173"/>
      <c r="F481" s="173"/>
      <c r="G481" s="173"/>
      <c r="H481" s="173"/>
      <c r="I481" s="173"/>
      <c r="J481" s="173"/>
      <c r="K481" s="173"/>
      <c r="L481" s="173"/>
      <c r="M481" s="173"/>
      <c r="N481" s="173"/>
      <c r="O481" s="173"/>
      <c r="P481" s="173"/>
    </row>
    <row r="482" spans="1:16" ht="11.25" customHeight="1">
      <c r="A482" s="207"/>
      <c r="B482" s="208"/>
      <c r="C482" s="173"/>
      <c r="D482" s="173"/>
      <c r="E482" s="173"/>
      <c r="F482" s="173"/>
      <c r="G482" s="173"/>
      <c r="H482" s="173"/>
      <c r="I482" s="173"/>
      <c r="J482" s="173"/>
      <c r="K482" s="173"/>
      <c r="L482" s="173"/>
      <c r="M482" s="173"/>
      <c r="N482" s="173"/>
      <c r="O482" s="173"/>
      <c r="P482" s="173"/>
    </row>
    <row r="483" spans="1:16" ht="11.25" customHeight="1">
      <c r="A483" s="207"/>
      <c r="B483" s="208"/>
      <c r="C483" s="173"/>
      <c r="D483" s="173"/>
      <c r="E483" s="173"/>
      <c r="F483" s="173"/>
      <c r="G483" s="173"/>
      <c r="H483" s="173"/>
      <c r="I483" s="173"/>
      <c r="J483" s="173"/>
      <c r="K483" s="173"/>
      <c r="L483" s="173"/>
      <c r="M483" s="173"/>
      <c r="N483" s="173"/>
      <c r="O483" s="173"/>
      <c r="P483" s="173"/>
    </row>
    <row r="484" spans="1:16" ht="11.25" customHeight="1">
      <c r="A484" s="207"/>
      <c r="B484" s="208"/>
      <c r="C484" s="173"/>
      <c r="D484" s="173"/>
      <c r="E484" s="173"/>
      <c r="F484" s="173"/>
      <c r="G484" s="173"/>
      <c r="H484" s="173"/>
      <c r="I484" s="173"/>
      <c r="J484" s="173"/>
      <c r="K484" s="173"/>
      <c r="L484" s="173"/>
      <c r="M484" s="173"/>
      <c r="N484" s="173"/>
      <c r="O484" s="173"/>
      <c r="P484" s="173"/>
    </row>
    <row r="485" spans="1:16" ht="11.25" customHeight="1">
      <c r="A485" s="207"/>
      <c r="B485" s="208"/>
      <c r="C485" s="173"/>
      <c r="D485" s="173"/>
      <c r="E485" s="173"/>
      <c r="F485" s="173"/>
      <c r="G485" s="173"/>
      <c r="H485" s="173"/>
      <c r="I485" s="173"/>
      <c r="J485" s="173"/>
      <c r="K485" s="173"/>
      <c r="L485" s="173"/>
      <c r="M485" s="173"/>
      <c r="N485" s="173"/>
      <c r="O485" s="173"/>
      <c r="P485" s="173"/>
    </row>
    <row r="486" spans="1:16" ht="11.25" customHeight="1">
      <c r="A486" s="207"/>
      <c r="B486" s="208"/>
      <c r="C486" s="173"/>
      <c r="D486" s="173"/>
      <c r="E486" s="173"/>
      <c r="F486" s="173"/>
      <c r="G486" s="173"/>
      <c r="H486" s="173"/>
      <c r="I486" s="173"/>
      <c r="J486" s="173"/>
      <c r="K486" s="173"/>
      <c r="L486" s="173"/>
      <c r="M486" s="173"/>
      <c r="N486" s="173"/>
      <c r="O486" s="173"/>
      <c r="P486" s="173"/>
    </row>
    <row r="487" spans="1:16" ht="11.25" customHeight="1">
      <c r="A487" s="207"/>
      <c r="B487" s="208"/>
      <c r="C487" s="173"/>
      <c r="D487" s="173"/>
      <c r="E487" s="173"/>
      <c r="F487" s="173"/>
      <c r="G487" s="173"/>
      <c r="H487" s="173"/>
      <c r="I487" s="173"/>
      <c r="J487" s="173"/>
      <c r="K487" s="173"/>
      <c r="L487" s="173"/>
      <c r="M487" s="173"/>
      <c r="N487" s="173"/>
      <c r="O487" s="173"/>
      <c r="P487" s="173"/>
    </row>
    <row r="488" spans="1:16" ht="11.25" customHeight="1">
      <c r="A488" s="207"/>
      <c r="B488" s="208"/>
      <c r="C488" s="173"/>
      <c r="D488" s="173"/>
      <c r="E488" s="173"/>
      <c r="F488" s="173"/>
      <c r="G488" s="173"/>
      <c r="H488" s="173"/>
      <c r="I488" s="173"/>
      <c r="J488" s="173"/>
      <c r="K488" s="173"/>
      <c r="L488" s="173"/>
      <c r="M488" s="173"/>
      <c r="N488" s="173"/>
      <c r="O488" s="173"/>
      <c r="P488" s="173"/>
    </row>
    <row r="489" spans="1:16" ht="11.25" customHeight="1">
      <c r="A489" s="207"/>
      <c r="B489" s="208"/>
      <c r="C489" s="173"/>
      <c r="D489" s="173"/>
      <c r="E489" s="173"/>
      <c r="F489" s="173"/>
      <c r="G489" s="173"/>
      <c r="H489" s="173"/>
      <c r="I489" s="173"/>
      <c r="J489" s="173"/>
      <c r="K489" s="173"/>
      <c r="L489" s="173"/>
      <c r="M489" s="173"/>
      <c r="N489" s="173"/>
      <c r="O489" s="173"/>
      <c r="P489" s="173"/>
    </row>
    <row r="490" spans="1:16" ht="11.25" customHeight="1">
      <c r="A490" s="207"/>
      <c r="B490" s="208"/>
      <c r="C490" s="173"/>
      <c r="D490" s="173"/>
      <c r="E490" s="173"/>
      <c r="F490" s="173"/>
      <c r="G490" s="173"/>
      <c r="H490" s="173"/>
      <c r="I490" s="173"/>
      <c r="J490" s="173"/>
      <c r="K490" s="173"/>
      <c r="L490" s="173"/>
      <c r="M490" s="173"/>
      <c r="N490" s="173"/>
      <c r="O490" s="173"/>
      <c r="P490" s="173"/>
    </row>
    <row r="491" spans="1:16" ht="11.25" customHeight="1">
      <c r="A491" s="207"/>
      <c r="B491" s="208"/>
      <c r="C491" s="173"/>
      <c r="D491" s="173"/>
      <c r="E491" s="173"/>
      <c r="F491" s="173"/>
      <c r="G491" s="173"/>
      <c r="H491" s="173"/>
      <c r="I491" s="173"/>
      <c r="J491" s="173"/>
      <c r="K491" s="173"/>
      <c r="L491" s="173"/>
      <c r="M491" s="173"/>
      <c r="N491" s="173"/>
      <c r="O491" s="173"/>
      <c r="P491" s="173"/>
    </row>
    <row r="492" spans="1:16" ht="11.25" customHeight="1">
      <c r="A492" s="207"/>
      <c r="B492" s="208"/>
      <c r="C492" s="173"/>
      <c r="D492" s="173"/>
      <c r="E492" s="173"/>
      <c r="F492" s="173"/>
      <c r="G492" s="173"/>
      <c r="H492" s="173"/>
      <c r="I492" s="173"/>
      <c r="J492" s="173"/>
      <c r="K492" s="173"/>
      <c r="L492" s="173"/>
      <c r="M492" s="173"/>
      <c r="N492" s="173"/>
      <c r="O492" s="173"/>
      <c r="P492" s="173"/>
    </row>
    <row r="493" spans="1:16" ht="11.25" customHeight="1">
      <c r="A493" s="207"/>
      <c r="B493" s="208"/>
      <c r="C493" s="173"/>
      <c r="D493" s="173"/>
      <c r="E493" s="173"/>
      <c r="F493" s="173"/>
      <c r="G493" s="173"/>
      <c r="H493" s="173"/>
      <c r="I493" s="173"/>
      <c r="J493" s="173"/>
      <c r="K493" s="173"/>
      <c r="L493" s="173"/>
      <c r="M493" s="173"/>
      <c r="N493" s="173"/>
      <c r="O493" s="173"/>
      <c r="P493" s="173"/>
    </row>
    <row r="494" spans="1:16" ht="11.25" customHeight="1">
      <c r="A494" s="207"/>
      <c r="B494" s="208"/>
      <c r="C494" s="173"/>
      <c r="D494" s="173"/>
      <c r="E494" s="173"/>
      <c r="F494" s="173"/>
      <c r="G494" s="173"/>
      <c r="H494" s="173"/>
      <c r="I494" s="173"/>
      <c r="J494" s="173"/>
      <c r="K494" s="173"/>
      <c r="L494" s="173"/>
      <c r="M494" s="173"/>
      <c r="N494" s="173"/>
      <c r="O494" s="173"/>
      <c r="P494" s="173"/>
    </row>
    <row r="495" spans="1:16" ht="11.25" customHeight="1">
      <c r="A495" s="207"/>
      <c r="B495" s="208"/>
      <c r="C495" s="173"/>
      <c r="D495" s="173"/>
      <c r="E495" s="173"/>
      <c r="F495" s="173"/>
      <c r="G495" s="173"/>
      <c r="H495" s="173"/>
      <c r="I495" s="173"/>
      <c r="J495" s="173"/>
      <c r="K495" s="173"/>
      <c r="L495" s="173"/>
      <c r="M495" s="173"/>
      <c r="N495" s="173"/>
      <c r="O495" s="173"/>
      <c r="P495" s="173"/>
    </row>
    <row r="496" spans="1:16" ht="11.25" customHeight="1">
      <c r="A496" s="207"/>
      <c r="B496" s="208"/>
      <c r="C496" s="173"/>
      <c r="D496" s="173"/>
      <c r="E496" s="173"/>
      <c r="F496" s="173"/>
      <c r="G496" s="173"/>
      <c r="H496" s="173"/>
      <c r="I496" s="173"/>
      <c r="J496" s="173"/>
      <c r="K496" s="173"/>
      <c r="L496" s="173"/>
      <c r="M496" s="173"/>
      <c r="N496" s="173"/>
      <c r="O496" s="173"/>
      <c r="P496" s="173"/>
    </row>
    <row r="497" spans="1:16" ht="11.25" customHeight="1">
      <c r="A497" s="207"/>
      <c r="B497" s="208"/>
      <c r="C497" s="173"/>
      <c r="D497" s="173"/>
      <c r="E497" s="173"/>
      <c r="F497" s="173"/>
      <c r="G497" s="173"/>
      <c r="H497" s="173"/>
      <c r="I497" s="173"/>
      <c r="J497" s="173"/>
      <c r="K497" s="173"/>
      <c r="L497" s="173"/>
      <c r="M497" s="173"/>
      <c r="N497" s="173"/>
      <c r="O497" s="173"/>
      <c r="P497" s="173"/>
    </row>
    <row r="498" spans="1:16" ht="11.25" customHeight="1">
      <c r="A498" s="207"/>
      <c r="B498" s="208"/>
      <c r="C498" s="173"/>
      <c r="D498" s="173"/>
      <c r="E498" s="173"/>
      <c r="F498" s="173"/>
      <c r="G498" s="173"/>
      <c r="H498" s="173"/>
      <c r="I498" s="173"/>
      <c r="J498" s="173"/>
      <c r="K498" s="173"/>
      <c r="L498" s="173"/>
      <c r="M498" s="173"/>
      <c r="N498" s="173"/>
      <c r="O498" s="173"/>
      <c r="P498" s="173"/>
    </row>
    <row r="499" spans="1:16" ht="11.25" customHeight="1">
      <c r="A499" s="207"/>
      <c r="B499" s="208"/>
      <c r="C499" s="173"/>
      <c r="D499" s="173"/>
      <c r="E499" s="173"/>
      <c r="F499" s="173"/>
      <c r="G499" s="173"/>
      <c r="H499" s="173"/>
      <c r="I499" s="173"/>
      <c r="J499" s="173"/>
      <c r="K499" s="173"/>
      <c r="L499" s="173"/>
      <c r="M499" s="173"/>
      <c r="N499" s="173"/>
      <c r="O499" s="173"/>
      <c r="P499" s="173"/>
    </row>
    <row r="500" spans="1:16" ht="11.25" customHeight="1">
      <c r="A500" s="207"/>
      <c r="B500" s="208"/>
      <c r="C500" s="173"/>
      <c r="D500" s="173"/>
      <c r="E500" s="173"/>
      <c r="F500" s="173"/>
      <c r="G500" s="173"/>
      <c r="H500" s="173"/>
      <c r="I500" s="173"/>
      <c r="J500" s="173"/>
      <c r="K500" s="173"/>
      <c r="L500" s="173"/>
      <c r="M500" s="173"/>
      <c r="N500" s="173"/>
      <c r="O500" s="173"/>
      <c r="P500" s="173"/>
    </row>
    <row r="501" spans="1:16" ht="11.25" customHeight="1">
      <c r="A501" s="207"/>
      <c r="B501" s="208"/>
      <c r="C501" s="173"/>
      <c r="D501" s="173"/>
      <c r="E501" s="173"/>
      <c r="F501" s="173"/>
      <c r="G501" s="173"/>
      <c r="H501" s="173"/>
      <c r="I501" s="173"/>
      <c r="J501" s="173"/>
      <c r="K501" s="173"/>
      <c r="L501" s="173"/>
      <c r="M501" s="173"/>
      <c r="N501" s="173"/>
      <c r="O501" s="173"/>
      <c r="P501" s="173"/>
    </row>
    <row r="502" spans="1:16" ht="11.25" customHeight="1">
      <c r="A502" s="207"/>
      <c r="B502" s="208"/>
      <c r="C502" s="173"/>
      <c r="D502" s="173"/>
      <c r="E502" s="173"/>
      <c r="F502" s="173"/>
      <c r="G502" s="173"/>
      <c r="H502" s="173"/>
      <c r="I502" s="173"/>
      <c r="J502" s="173"/>
      <c r="K502" s="173"/>
      <c r="L502" s="173"/>
      <c r="M502" s="173"/>
      <c r="N502" s="173"/>
      <c r="O502" s="173"/>
      <c r="P502" s="173"/>
    </row>
    <row r="503" spans="1:16" ht="11.25" customHeight="1">
      <c r="A503" s="207"/>
      <c r="B503" s="208"/>
      <c r="C503" s="173"/>
      <c r="D503" s="173"/>
      <c r="E503" s="173"/>
      <c r="F503" s="173"/>
      <c r="G503" s="173"/>
      <c r="H503" s="173"/>
      <c r="I503" s="173"/>
      <c r="J503" s="173"/>
      <c r="K503" s="173"/>
      <c r="L503" s="173"/>
      <c r="M503" s="173"/>
      <c r="N503" s="173"/>
      <c r="O503" s="173"/>
      <c r="P503" s="173"/>
    </row>
    <row r="504" spans="1:16" ht="11.25" customHeight="1">
      <c r="A504" s="207"/>
      <c r="B504" s="208"/>
      <c r="C504" s="173"/>
      <c r="D504" s="173"/>
      <c r="E504" s="173"/>
      <c r="F504" s="173"/>
      <c r="G504" s="173"/>
      <c r="H504" s="173"/>
      <c r="I504" s="173"/>
      <c r="J504" s="173"/>
      <c r="K504" s="173"/>
      <c r="L504" s="173"/>
      <c r="M504" s="173"/>
      <c r="N504" s="173"/>
      <c r="O504" s="173"/>
      <c r="P504" s="173"/>
    </row>
    <row r="505" spans="1:16" ht="11.25" customHeight="1">
      <c r="A505" s="207"/>
      <c r="B505" s="208"/>
      <c r="C505" s="173"/>
      <c r="D505" s="173"/>
      <c r="E505" s="173"/>
      <c r="F505" s="173"/>
      <c r="G505" s="173"/>
      <c r="H505" s="173"/>
      <c r="I505" s="173"/>
      <c r="J505" s="173"/>
      <c r="K505" s="173"/>
      <c r="L505" s="173"/>
      <c r="M505" s="173"/>
      <c r="N505" s="173"/>
      <c r="O505" s="173"/>
      <c r="P505" s="173"/>
    </row>
    <row r="506" spans="1:16" ht="11.25" customHeight="1">
      <c r="A506" s="207"/>
      <c r="B506" s="208"/>
      <c r="C506" s="173"/>
      <c r="D506" s="173"/>
      <c r="E506" s="173"/>
      <c r="F506" s="173"/>
      <c r="G506" s="173"/>
      <c r="H506" s="173"/>
      <c r="I506" s="173"/>
      <c r="J506" s="173"/>
      <c r="K506" s="173"/>
      <c r="L506" s="173"/>
      <c r="M506" s="173"/>
      <c r="N506" s="173"/>
      <c r="O506" s="173"/>
      <c r="P506" s="173"/>
    </row>
    <row r="507" spans="1:16" ht="11.25" customHeight="1">
      <c r="A507" s="207"/>
      <c r="B507" s="208"/>
      <c r="C507" s="173"/>
      <c r="D507" s="173"/>
      <c r="E507" s="173"/>
      <c r="F507" s="173"/>
      <c r="G507" s="173"/>
      <c r="H507" s="173"/>
      <c r="I507" s="173"/>
      <c r="J507" s="173"/>
      <c r="K507" s="173"/>
      <c r="L507" s="173"/>
      <c r="M507" s="173"/>
      <c r="N507" s="173"/>
      <c r="O507" s="173"/>
      <c r="P507" s="173"/>
    </row>
    <row r="508" spans="1:16" ht="11.25" customHeight="1">
      <c r="A508" s="207"/>
      <c r="B508" s="208"/>
      <c r="C508" s="173"/>
      <c r="D508" s="173"/>
      <c r="E508" s="173"/>
      <c r="F508" s="173"/>
      <c r="G508" s="173"/>
      <c r="H508" s="173"/>
      <c r="I508" s="173"/>
      <c r="J508" s="173"/>
      <c r="K508" s="173"/>
      <c r="L508" s="173"/>
      <c r="M508" s="173"/>
      <c r="N508" s="173"/>
      <c r="O508" s="173"/>
      <c r="P508" s="173"/>
    </row>
    <row r="509" spans="1:16" ht="11.25" customHeight="1">
      <c r="A509" s="207"/>
      <c r="B509" s="208"/>
      <c r="C509" s="173"/>
      <c r="D509" s="173"/>
      <c r="E509" s="173"/>
      <c r="F509" s="173"/>
      <c r="G509" s="173"/>
      <c r="H509" s="173"/>
      <c r="I509" s="173"/>
      <c r="J509" s="173"/>
      <c r="K509" s="173"/>
      <c r="L509" s="173"/>
      <c r="M509" s="173"/>
      <c r="N509" s="173"/>
      <c r="O509" s="173"/>
      <c r="P509" s="173"/>
    </row>
    <row r="510" spans="1:16" ht="11.25" customHeight="1">
      <c r="A510" s="207"/>
      <c r="B510" s="208"/>
      <c r="C510" s="173"/>
      <c r="D510" s="173"/>
      <c r="E510" s="173"/>
      <c r="F510" s="173"/>
      <c r="G510" s="173"/>
      <c r="H510" s="173"/>
      <c r="I510" s="173"/>
      <c r="J510" s="173"/>
      <c r="K510" s="173"/>
      <c r="L510" s="173"/>
      <c r="M510" s="173"/>
      <c r="N510" s="173"/>
      <c r="O510" s="173"/>
      <c r="P510" s="173"/>
    </row>
    <row r="511" spans="1:16" ht="11.25" customHeight="1">
      <c r="A511" s="207"/>
      <c r="B511" s="208"/>
      <c r="C511" s="173"/>
      <c r="D511" s="173"/>
      <c r="E511" s="173"/>
      <c r="F511" s="173"/>
      <c r="G511" s="173"/>
      <c r="H511" s="173"/>
      <c r="I511" s="173"/>
      <c r="J511" s="173"/>
      <c r="K511" s="173"/>
      <c r="L511" s="173"/>
      <c r="M511" s="173"/>
      <c r="N511" s="173"/>
      <c r="O511" s="173"/>
      <c r="P511" s="173"/>
    </row>
    <row r="512" spans="1:16" ht="11.25" customHeight="1">
      <c r="A512" s="207"/>
      <c r="B512" s="208"/>
      <c r="C512" s="173"/>
      <c r="D512" s="173"/>
      <c r="E512" s="173"/>
      <c r="F512" s="173"/>
      <c r="G512" s="173"/>
      <c r="H512" s="173"/>
      <c r="I512" s="173"/>
      <c r="J512" s="173"/>
      <c r="K512" s="173"/>
      <c r="L512" s="173"/>
      <c r="M512" s="173"/>
      <c r="N512" s="173"/>
      <c r="O512" s="173"/>
      <c r="P512" s="173"/>
    </row>
    <row r="513" spans="1:16" ht="11.25" customHeight="1">
      <c r="A513" s="207"/>
      <c r="B513" s="208"/>
      <c r="C513" s="173"/>
      <c r="D513" s="173"/>
      <c r="E513" s="173"/>
      <c r="F513" s="173"/>
      <c r="G513" s="173"/>
      <c r="H513" s="173"/>
      <c r="I513" s="173"/>
      <c r="J513" s="173"/>
      <c r="K513" s="173"/>
      <c r="L513" s="173"/>
      <c r="M513" s="173"/>
      <c r="N513" s="173"/>
      <c r="O513" s="173"/>
      <c r="P513" s="173"/>
    </row>
    <row r="514" spans="1:16" ht="11.25" customHeight="1">
      <c r="A514" s="207"/>
      <c r="B514" s="208"/>
      <c r="C514" s="173"/>
      <c r="D514" s="173"/>
      <c r="E514" s="173"/>
      <c r="F514" s="173"/>
      <c r="G514" s="173"/>
      <c r="H514" s="173"/>
      <c r="I514" s="173"/>
      <c r="J514" s="173"/>
      <c r="K514" s="173"/>
      <c r="L514" s="173"/>
      <c r="M514" s="173"/>
      <c r="N514" s="173"/>
      <c r="O514" s="173"/>
      <c r="P514" s="173"/>
    </row>
    <row r="515" spans="1:16" ht="11.25" customHeight="1">
      <c r="A515" s="207"/>
      <c r="B515" s="208"/>
      <c r="C515" s="173"/>
      <c r="D515" s="173"/>
      <c r="E515" s="173"/>
      <c r="F515" s="173"/>
      <c r="G515" s="173"/>
      <c r="H515" s="173"/>
      <c r="I515" s="173"/>
      <c r="J515" s="173"/>
      <c r="K515" s="173"/>
      <c r="L515" s="173"/>
      <c r="M515" s="173"/>
      <c r="N515" s="173"/>
      <c r="O515" s="173"/>
      <c r="P515" s="173"/>
    </row>
    <row r="516" spans="1:16" ht="11.25" customHeight="1">
      <c r="A516" s="207"/>
      <c r="B516" s="208"/>
      <c r="C516" s="173"/>
      <c r="D516" s="173"/>
      <c r="E516" s="173"/>
      <c r="F516" s="173"/>
      <c r="G516" s="173"/>
      <c r="H516" s="173"/>
      <c r="I516" s="173"/>
      <c r="J516" s="173"/>
      <c r="K516" s="173"/>
      <c r="L516" s="173"/>
      <c r="M516" s="173"/>
      <c r="N516" s="173"/>
      <c r="O516" s="173"/>
      <c r="P516" s="173"/>
    </row>
    <row r="517" spans="1:16" ht="11.25" customHeight="1">
      <c r="A517" s="207"/>
      <c r="B517" s="208"/>
      <c r="C517" s="173"/>
      <c r="D517" s="173"/>
      <c r="E517" s="173"/>
      <c r="F517" s="173"/>
      <c r="G517" s="173"/>
      <c r="H517" s="173"/>
      <c r="I517" s="173"/>
      <c r="J517" s="173"/>
      <c r="K517" s="173"/>
      <c r="L517" s="173"/>
      <c r="M517" s="173"/>
      <c r="N517" s="173"/>
      <c r="O517" s="173"/>
      <c r="P517" s="173"/>
    </row>
    <row r="518" spans="1:16" ht="11.25" customHeight="1">
      <c r="A518" s="207"/>
      <c r="B518" s="208"/>
      <c r="C518" s="173"/>
      <c r="D518" s="173"/>
      <c r="E518" s="173"/>
      <c r="F518" s="173"/>
      <c r="G518" s="173"/>
      <c r="H518" s="173"/>
      <c r="I518" s="173"/>
      <c r="J518" s="173"/>
      <c r="K518" s="173"/>
      <c r="L518" s="173"/>
      <c r="M518" s="173"/>
      <c r="N518" s="173"/>
      <c r="O518" s="173"/>
      <c r="P518" s="173"/>
    </row>
    <row r="519" spans="1:16" ht="11.25" customHeight="1">
      <c r="A519" s="207"/>
      <c r="B519" s="208"/>
      <c r="C519" s="173"/>
      <c r="D519" s="173"/>
      <c r="E519" s="173"/>
      <c r="F519" s="173"/>
      <c r="G519" s="173"/>
      <c r="H519" s="173"/>
      <c r="I519" s="173"/>
      <c r="J519" s="173"/>
      <c r="K519" s="173"/>
      <c r="L519" s="173"/>
      <c r="M519" s="173"/>
      <c r="N519" s="173"/>
      <c r="O519" s="173"/>
      <c r="P519" s="173"/>
    </row>
    <row r="520" spans="1:16" ht="11.25" customHeight="1">
      <c r="A520" s="207"/>
      <c r="B520" s="208"/>
      <c r="C520" s="173"/>
      <c r="D520" s="173"/>
      <c r="E520" s="173"/>
      <c r="F520" s="173"/>
      <c r="G520" s="173"/>
      <c r="H520" s="173"/>
      <c r="I520" s="173"/>
      <c r="J520" s="173"/>
      <c r="K520" s="173"/>
      <c r="L520" s="173"/>
      <c r="M520" s="173"/>
      <c r="N520" s="173"/>
      <c r="O520" s="173"/>
      <c r="P520" s="173"/>
    </row>
    <row r="521" spans="1:16" ht="11.25" customHeight="1">
      <c r="A521" s="207"/>
      <c r="B521" s="208"/>
      <c r="C521" s="173"/>
      <c r="D521" s="173"/>
      <c r="E521" s="173"/>
      <c r="F521" s="173"/>
      <c r="G521" s="173"/>
      <c r="H521" s="173"/>
      <c r="I521" s="173"/>
      <c r="J521" s="173"/>
      <c r="K521" s="173"/>
      <c r="L521" s="173"/>
      <c r="M521" s="173"/>
      <c r="N521" s="173"/>
      <c r="O521" s="173"/>
      <c r="P521" s="173"/>
    </row>
    <row r="522" spans="1:16" ht="11.25" customHeight="1">
      <c r="A522" s="207"/>
      <c r="B522" s="208"/>
      <c r="C522" s="173"/>
      <c r="D522" s="173"/>
      <c r="E522" s="173"/>
      <c r="F522" s="173"/>
      <c r="G522" s="173"/>
      <c r="H522" s="173"/>
      <c r="I522" s="173"/>
      <c r="J522" s="173"/>
      <c r="K522" s="173"/>
      <c r="L522" s="173"/>
      <c r="M522" s="173"/>
      <c r="N522" s="173"/>
      <c r="O522" s="173"/>
      <c r="P522" s="173"/>
    </row>
    <row r="523" spans="1:16" ht="11.25" customHeight="1">
      <c r="A523" s="207"/>
      <c r="B523" s="208"/>
      <c r="C523" s="173"/>
      <c r="D523" s="173"/>
      <c r="E523" s="173"/>
      <c r="F523" s="173"/>
      <c r="G523" s="173"/>
      <c r="H523" s="173"/>
      <c r="I523" s="173"/>
      <c r="J523" s="173"/>
      <c r="K523" s="173"/>
      <c r="L523" s="173"/>
      <c r="M523" s="173"/>
      <c r="N523" s="173"/>
      <c r="O523" s="173"/>
      <c r="P523" s="173"/>
    </row>
    <row r="524" spans="1:16" ht="11.25" customHeight="1">
      <c r="A524" s="207"/>
      <c r="B524" s="208"/>
      <c r="C524" s="173"/>
      <c r="D524" s="173"/>
      <c r="E524" s="173"/>
      <c r="F524" s="173"/>
      <c r="G524" s="173"/>
      <c r="H524" s="173"/>
      <c r="I524" s="173"/>
      <c r="J524" s="173"/>
      <c r="K524" s="173"/>
      <c r="L524" s="173"/>
      <c r="M524" s="173"/>
      <c r="N524" s="173"/>
      <c r="O524" s="173"/>
      <c r="P524" s="173"/>
    </row>
    <row r="525" spans="1:16" ht="11.25" customHeight="1">
      <c r="A525" s="207"/>
      <c r="B525" s="208"/>
      <c r="C525" s="173"/>
      <c r="D525" s="173"/>
      <c r="E525" s="173"/>
      <c r="F525" s="173"/>
      <c r="G525" s="173"/>
      <c r="H525" s="173"/>
      <c r="I525" s="173"/>
      <c r="J525" s="173"/>
      <c r="K525" s="173"/>
      <c r="L525" s="173"/>
      <c r="M525" s="173"/>
      <c r="N525" s="173"/>
      <c r="O525" s="173"/>
      <c r="P525" s="173"/>
    </row>
    <row r="526" spans="1:16" ht="11.25" customHeight="1">
      <c r="A526" s="207"/>
      <c r="B526" s="208"/>
      <c r="C526" s="173"/>
      <c r="D526" s="173"/>
      <c r="E526" s="173"/>
      <c r="F526" s="173"/>
      <c r="G526" s="173"/>
      <c r="H526" s="173"/>
      <c r="I526" s="173"/>
      <c r="J526" s="173"/>
      <c r="K526" s="173"/>
      <c r="L526" s="173"/>
      <c r="M526" s="173"/>
      <c r="N526" s="173"/>
      <c r="O526" s="173"/>
      <c r="P526" s="173"/>
    </row>
    <row r="527" spans="1:16" ht="11.25" customHeight="1">
      <c r="A527" s="207"/>
      <c r="B527" s="208"/>
      <c r="C527" s="173"/>
      <c r="D527" s="173"/>
      <c r="E527" s="173"/>
      <c r="F527" s="173"/>
      <c r="G527" s="173"/>
      <c r="H527" s="173"/>
      <c r="I527" s="173"/>
      <c r="J527" s="173"/>
      <c r="K527" s="173"/>
      <c r="L527" s="173"/>
      <c r="M527" s="173"/>
      <c r="N527" s="173"/>
      <c r="O527" s="173"/>
      <c r="P527" s="173"/>
    </row>
    <row r="528" spans="1:16" ht="11.25" customHeight="1">
      <c r="A528" s="207"/>
      <c r="B528" s="208"/>
      <c r="C528" s="173"/>
      <c r="D528" s="173"/>
      <c r="E528" s="173"/>
      <c r="F528" s="173"/>
      <c r="G528" s="173"/>
      <c r="H528" s="173"/>
      <c r="I528" s="173"/>
      <c r="J528" s="173"/>
      <c r="K528" s="173"/>
      <c r="L528" s="173"/>
      <c r="M528" s="173"/>
      <c r="N528" s="173"/>
      <c r="O528" s="173"/>
      <c r="P528" s="173"/>
    </row>
    <row r="529" spans="1:16" ht="11.25" customHeight="1">
      <c r="A529" s="207"/>
      <c r="B529" s="208"/>
      <c r="C529" s="173"/>
      <c r="D529" s="173"/>
      <c r="E529" s="173"/>
      <c r="F529" s="173"/>
      <c r="G529" s="173"/>
      <c r="H529" s="173"/>
      <c r="I529" s="173"/>
      <c r="J529" s="173"/>
      <c r="K529" s="173"/>
      <c r="L529" s="173"/>
      <c r="M529" s="173"/>
      <c r="N529" s="173"/>
      <c r="O529" s="173"/>
      <c r="P529" s="173"/>
    </row>
    <row r="530" spans="1:16" ht="11.25" customHeight="1">
      <c r="A530" s="207"/>
      <c r="B530" s="208"/>
      <c r="C530" s="173"/>
      <c r="D530" s="173"/>
      <c r="E530" s="173"/>
      <c r="F530" s="173"/>
      <c r="G530" s="173"/>
      <c r="H530" s="173"/>
      <c r="I530" s="173"/>
      <c r="J530" s="173"/>
      <c r="K530" s="173"/>
      <c r="L530" s="173"/>
      <c r="M530" s="173"/>
      <c r="N530" s="173"/>
      <c r="O530" s="173"/>
      <c r="P530" s="173"/>
    </row>
    <row r="531" spans="1:16" ht="11.25" customHeight="1">
      <c r="A531" s="207"/>
      <c r="B531" s="208"/>
      <c r="C531" s="173"/>
      <c r="D531" s="173"/>
      <c r="E531" s="173"/>
      <c r="F531" s="173"/>
      <c r="G531" s="173"/>
      <c r="H531" s="173"/>
      <c r="I531" s="173"/>
      <c r="J531" s="173"/>
      <c r="K531" s="173"/>
      <c r="L531" s="173"/>
      <c r="M531" s="173"/>
      <c r="N531" s="173"/>
      <c r="O531" s="173"/>
      <c r="P531" s="173"/>
    </row>
    <row r="532" spans="1:16" ht="11.25" customHeight="1">
      <c r="A532" s="207"/>
      <c r="B532" s="208"/>
      <c r="C532" s="173"/>
      <c r="D532" s="173"/>
      <c r="E532" s="173"/>
      <c r="F532" s="173"/>
      <c r="G532" s="173"/>
      <c r="H532" s="173"/>
      <c r="I532" s="173"/>
      <c r="J532" s="173"/>
      <c r="K532" s="173"/>
      <c r="L532" s="173"/>
      <c r="M532" s="173"/>
      <c r="N532" s="173"/>
      <c r="O532" s="173"/>
      <c r="P532" s="173"/>
    </row>
    <row r="533" spans="1:16" ht="11.25" customHeight="1">
      <c r="A533" s="207"/>
      <c r="B533" s="208"/>
      <c r="C533" s="173"/>
      <c r="D533" s="173"/>
      <c r="E533" s="173"/>
      <c r="F533" s="173"/>
      <c r="G533" s="173"/>
      <c r="H533" s="173"/>
      <c r="I533" s="173"/>
      <c r="J533" s="173"/>
      <c r="K533" s="173"/>
      <c r="L533" s="173"/>
      <c r="M533" s="173"/>
      <c r="N533" s="173"/>
      <c r="O533" s="173"/>
      <c r="P533" s="173"/>
    </row>
    <row r="534" spans="1:16" ht="11.25" customHeight="1">
      <c r="A534" s="207"/>
      <c r="B534" s="208"/>
      <c r="C534" s="173"/>
      <c r="D534" s="173"/>
      <c r="E534" s="173"/>
      <c r="F534" s="173"/>
      <c r="G534" s="173"/>
      <c r="H534" s="173"/>
      <c r="I534" s="173"/>
      <c r="J534" s="173"/>
      <c r="K534" s="173"/>
      <c r="L534" s="173"/>
      <c r="M534" s="173"/>
      <c r="N534" s="173"/>
      <c r="O534" s="173"/>
      <c r="P534" s="173"/>
    </row>
    <row r="535" spans="1:16" ht="11.25" customHeight="1">
      <c r="A535" s="207"/>
      <c r="B535" s="208"/>
      <c r="C535" s="173"/>
      <c r="D535" s="173"/>
      <c r="E535" s="173"/>
      <c r="F535" s="173"/>
      <c r="G535" s="173"/>
      <c r="H535" s="173"/>
      <c r="I535" s="173"/>
      <c r="J535" s="173"/>
      <c r="K535" s="173"/>
      <c r="L535" s="173"/>
      <c r="M535" s="173"/>
      <c r="N535" s="173"/>
      <c r="O535" s="173"/>
      <c r="P535" s="173"/>
    </row>
    <row r="536" spans="1:16" ht="11.25" customHeight="1">
      <c r="A536" s="207"/>
      <c r="B536" s="208"/>
      <c r="C536" s="173"/>
      <c r="D536" s="173"/>
      <c r="E536" s="173"/>
      <c r="F536" s="173"/>
      <c r="G536" s="173"/>
      <c r="H536" s="173"/>
      <c r="I536" s="173"/>
      <c r="J536" s="173"/>
      <c r="K536" s="173"/>
      <c r="L536" s="173"/>
      <c r="M536" s="173"/>
      <c r="N536" s="173"/>
      <c r="O536" s="173"/>
      <c r="P536" s="173"/>
    </row>
    <row r="537" spans="1:16" ht="11.25" customHeight="1">
      <c r="A537" s="207"/>
      <c r="B537" s="208"/>
      <c r="C537" s="173"/>
      <c r="D537" s="173"/>
      <c r="E537" s="173"/>
      <c r="F537" s="173"/>
      <c r="G537" s="173"/>
      <c r="H537" s="173"/>
      <c r="I537" s="173"/>
      <c r="J537" s="173"/>
      <c r="K537" s="173"/>
      <c r="L537" s="173"/>
      <c r="M537" s="173"/>
      <c r="N537" s="173"/>
      <c r="O537" s="173"/>
      <c r="P537" s="173"/>
    </row>
    <row r="538" spans="1:16" ht="11.25" customHeight="1">
      <c r="A538" s="207"/>
      <c r="B538" s="208"/>
      <c r="C538" s="173"/>
      <c r="D538" s="173"/>
      <c r="E538" s="173"/>
      <c r="F538" s="173"/>
      <c r="G538" s="173"/>
      <c r="H538" s="173"/>
      <c r="I538" s="173"/>
      <c r="J538" s="173"/>
      <c r="K538" s="173"/>
      <c r="L538" s="173"/>
      <c r="M538" s="173"/>
      <c r="N538" s="173"/>
      <c r="O538" s="173"/>
      <c r="P538" s="173"/>
    </row>
    <row r="539" spans="1:16" ht="11.25" customHeight="1">
      <c r="A539" s="207"/>
      <c r="B539" s="208"/>
      <c r="C539" s="173"/>
      <c r="D539" s="173"/>
      <c r="E539" s="173"/>
      <c r="F539" s="173"/>
      <c r="G539" s="173"/>
      <c r="H539" s="173"/>
      <c r="I539" s="173"/>
      <c r="J539" s="173"/>
      <c r="K539" s="173"/>
      <c r="L539" s="173"/>
      <c r="M539" s="173"/>
      <c r="N539" s="173"/>
      <c r="O539" s="173"/>
      <c r="P539" s="173"/>
    </row>
    <row r="540" spans="1:16" ht="11.25" customHeight="1">
      <c r="A540" s="207"/>
      <c r="B540" s="208"/>
      <c r="C540" s="173"/>
      <c r="D540" s="173"/>
      <c r="E540" s="173"/>
      <c r="F540" s="173"/>
      <c r="G540" s="173"/>
      <c r="H540" s="173"/>
      <c r="I540" s="173"/>
      <c r="J540" s="173"/>
      <c r="K540" s="173"/>
      <c r="L540" s="173"/>
      <c r="M540" s="173"/>
      <c r="N540" s="173"/>
      <c r="O540" s="173"/>
      <c r="P540" s="173"/>
    </row>
    <row r="541" spans="1:16" ht="11.25" customHeight="1">
      <c r="A541" s="207"/>
      <c r="B541" s="208"/>
      <c r="C541" s="173"/>
      <c r="D541" s="173"/>
      <c r="E541" s="173"/>
      <c r="F541" s="173"/>
      <c r="G541" s="173"/>
      <c r="H541" s="173"/>
      <c r="I541" s="173"/>
      <c r="J541" s="173"/>
      <c r="K541" s="173"/>
      <c r="L541" s="173"/>
      <c r="M541" s="173"/>
      <c r="N541" s="173"/>
      <c r="O541" s="173"/>
      <c r="P541" s="173"/>
    </row>
    <row r="542" spans="1:16" ht="11.25" customHeight="1">
      <c r="A542" s="207"/>
      <c r="B542" s="208"/>
      <c r="C542" s="173"/>
      <c r="D542" s="173"/>
      <c r="E542" s="173"/>
      <c r="F542" s="173"/>
      <c r="G542" s="173"/>
      <c r="H542" s="173"/>
      <c r="I542" s="173"/>
      <c r="J542" s="173"/>
      <c r="K542" s="173"/>
      <c r="L542" s="173"/>
      <c r="M542" s="173"/>
      <c r="N542" s="173"/>
      <c r="O542" s="173"/>
      <c r="P542" s="173"/>
    </row>
    <row r="543" spans="1:16" ht="11.25" customHeight="1">
      <c r="A543" s="207"/>
      <c r="B543" s="208"/>
      <c r="C543" s="173"/>
      <c r="D543" s="173"/>
      <c r="E543" s="173"/>
      <c r="F543" s="173"/>
      <c r="G543" s="173"/>
      <c r="H543" s="173"/>
      <c r="I543" s="173"/>
      <c r="J543" s="173"/>
      <c r="K543" s="173"/>
      <c r="L543" s="173"/>
      <c r="M543" s="173"/>
      <c r="N543" s="173"/>
      <c r="O543" s="173"/>
      <c r="P543" s="173"/>
    </row>
    <row r="544" spans="1:16" ht="11.25" customHeight="1">
      <c r="A544" s="207"/>
      <c r="B544" s="208"/>
      <c r="C544" s="173"/>
      <c r="D544" s="173"/>
      <c r="E544" s="173"/>
      <c r="F544" s="173"/>
      <c r="G544" s="173"/>
      <c r="H544" s="173"/>
      <c r="I544" s="173"/>
      <c r="J544" s="173"/>
      <c r="K544" s="173"/>
      <c r="L544" s="173"/>
      <c r="M544" s="173"/>
      <c r="N544" s="173"/>
      <c r="O544" s="173"/>
      <c r="P544" s="173"/>
    </row>
    <row r="545" spans="1:16" ht="11.25" customHeight="1">
      <c r="A545" s="207"/>
      <c r="B545" s="208"/>
      <c r="C545" s="173"/>
      <c r="D545" s="173"/>
      <c r="E545" s="173"/>
      <c r="F545" s="173"/>
      <c r="G545" s="173"/>
      <c r="H545" s="173"/>
      <c r="I545" s="173"/>
      <c r="J545" s="173"/>
      <c r="K545" s="173"/>
      <c r="L545" s="173"/>
      <c r="M545" s="173"/>
      <c r="N545" s="173"/>
      <c r="O545" s="173"/>
      <c r="P545" s="173"/>
    </row>
    <row r="546" spans="1:16" ht="11.25" customHeight="1">
      <c r="A546" s="207"/>
      <c r="B546" s="208"/>
      <c r="C546" s="173"/>
      <c r="D546" s="173"/>
      <c r="E546" s="173"/>
      <c r="F546" s="173"/>
      <c r="G546" s="173"/>
      <c r="H546" s="173"/>
      <c r="I546" s="173"/>
      <c r="J546" s="173"/>
      <c r="K546" s="173"/>
      <c r="L546" s="173"/>
      <c r="M546" s="173"/>
      <c r="N546" s="173"/>
      <c r="O546" s="173"/>
      <c r="P546" s="173"/>
    </row>
    <row r="547" spans="1:16" ht="11.25" customHeight="1">
      <c r="A547" s="207"/>
      <c r="B547" s="208"/>
      <c r="C547" s="173"/>
      <c r="D547" s="173"/>
      <c r="E547" s="173"/>
      <c r="F547" s="173"/>
      <c r="G547" s="173"/>
      <c r="H547" s="173"/>
      <c r="I547" s="173"/>
      <c r="J547" s="173"/>
      <c r="K547" s="173"/>
      <c r="L547" s="173"/>
      <c r="M547" s="173"/>
      <c r="N547" s="173"/>
      <c r="O547" s="173"/>
      <c r="P547" s="173"/>
    </row>
    <row r="548" spans="1:16" ht="11.25" customHeight="1">
      <c r="A548" s="207"/>
      <c r="B548" s="208"/>
      <c r="C548" s="173"/>
      <c r="D548" s="173"/>
      <c r="E548" s="173"/>
      <c r="F548" s="173"/>
      <c r="G548" s="173"/>
      <c r="H548" s="173"/>
      <c r="I548" s="173"/>
      <c r="J548" s="173"/>
      <c r="K548" s="173"/>
      <c r="L548" s="173"/>
      <c r="M548" s="173"/>
      <c r="N548" s="173"/>
      <c r="O548" s="173"/>
      <c r="P548" s="173"/>
    </row>
    <row r="549" spans="1:16" ht="11.25" customHeight="1">
      <c r="A549" s="207"/>
      <c r="B549" s="208"/>
      <c r="C549" s="173"/>
      <c r="D549" s="173"/>
      <c r="E549" s="173"/>
      <c r="F549" s="173"/>
      <c r="G549" s="173"/>
      <c r="H549" s="173"/>
      <c r="I549" s="173"/>
      <c r="J549" s="173"/>
      <c r="K549" s="173"/>
      <c r="L549" s="173"/>
      <c r="M549" s="173"/>
      <c r="N549" s="173"/>
      <c r="O549" s="173"/>
      <c r="P549" s="173"/>
    </row>
    <row r="550" spans="1:16" ht="11.25" customHeight="1">
      <c r="A550" s="207"/>
      <c r="B550" s="208"/>
      <c r="C550" s="173"/>
      <c r="D550" s="173"/>
      <c r="E550" s="173"/>
      <c r="F550" s="173"/>
      <c r="G550" s="173"/>
      <c r="H550" s="173"/>
      <c r="I550" s="173"/>
      <c r="J550" s="173"/>
      <c r="K550" s="173"/>
      <c r="L550" s="173"/>
      <c r="M550" s="173"/>
      <c r="N550" s="173"/>
      <c r="O550" s="173"/>
      <c r="P550" s="173"/>
    </row>
    <row r="551" spans="1:16" ht="11.25" customHeight="1">
      <c r="A551" s="207"/>
      <c r="B551" s="208"/>
      <c r="C551" s="173"/>
      <c r="D551" s="173"/>
      <c r="E551" s="173"/>
      <c r="F551" s="173"/>
      <c r="G551" s="173"/>
      <c r="H551" s="173"/>
      <c r="I551" s="173"/>
      <c r="J551" s="173"/>
      <c r="K551" s="173"/>
      <c r="L551" s="173"/>
      <c r="M551" s="173"/>
      <c r="N551" s="173"/>
      <c r="O551" s="173"/>
      <c r="P551" s="173"/>
    </row>
    <row r="552" spans="1:16" ht="11.25" customHeight="1">
      <c r="A552" s="207"/>
      <c r="B552" s="208"/>
      <c r="C552" s="173"/>
      <c r="D552" s="173"/>
      <c r="E552" s="173"/>
      <c r="F552" s="173"/>
      <c r="G552" s="173"/>
      <c r="H552" s="173"/>
      <c r="I552" s="173"/>
      <c r="J552" s="173"/>
      <c r="K552" s="173"/>
      <c r="L552" s="173"/>
      <c r="M552" s="173"/>
      <c r="N552" s="173"/>
      <c r="O552" s="173"/>
      <c r="P552" s="173"/>
    </row>
    <row r="553" spans="1:16" ht="11.25" customHeight="1">
      <c r="A553" s="207"/>
      <c r="B553" s="208"/>
      <c r="C553" s="173"/>
      <c r="D553" s="173"/>
      <c r="E553" s="173"/>
      <c r="F553" s="173"/>
      <c r="G553" s="173"/>
      <c r="H553" s="173"/>
      <c r="I553" s="173"/>
      <c r="J553" s="173"/>
      <c r="K553" s="173"/>
      <c r="L553" s="173"/>
      <c r="M553" s="173"/>
      <c r="N553" s="173"/>
      <c r="O553" s="173"/>
      <c r="P553" s="173"/>
    </row>
    <row r="554" spans="1:16" ht="11.25" customHeight="1">
      <c r="A554" s="207"/>
      <c r="B554" s="208"/>
      <c r="C554" s="173"/>
      <c r="D554" s="173"/>
      <c r="E554" s="173"/>
      <c r="F554" s="173"/>
      <c r="G554" s="173"/>
      <c r="H554" s="173"/>
      <c r="I554" s="173"/>
      <c r="J554" s="173"/>
      <c r="K554" s="173"/>
      <c r="L554" s="173"/>
      <c r="M554" s="173"/>
      <c r="N554" s="173"/>
      <c r="O554" s="173"/>
      <c r="P554" s="173"/>
    </row>
    <row r="555" spans="1:16" ht="11.25" customHeight="1">
      <c r="A555" s="207"/>
      <c r="B555" s="208"/>
      <c r="C555" s="173"/>
      <c r="D555" s="173"/>
      <c r="E555" s="173"/>
      <c r="F555" s="173"/>
      <c r="G555" s="173"/>
      <c r="H555" s="173"/>
      <c r="I555" s="173"/>
      <c r="J555" s="173"/>
      <c r="K555" s="173"/>
      <c r="L555" s="173"/>
      <c r="M555" s="173"/>
      <c r="N555" s="173"/>
      <c r="O555" s="173"/>
      <c r="P555" s="173"/>
    </row>
    <row r="556" spans="1:16" ht="11.25" customHeight="1">
      <c r="A556" s="207"/>
      <c r="B556" s="208"/>
      <c r="C556" s="173"/>
      <c r="D556" s="173"/>
      <c r="E556" s="173"/>
      <c r="F556" s="173"/>
      <c r="G556" s="173"/>
      <c r="H556" s="173"/>
      <c r="I556" s="173"/>
      <c r="J556" s="173"/>
      <c r="K556" s="173"/>
      <c r="L556" s="173"/>
      <c r="M556" s="173"/>
      <c r="N556" s="173"/>
      <c r="O556" s="173"/>
      <c r="P556" s="173"/>
    </row>
    <row r="557" spans="1:16" ht="11.25" customHeight="1">
      <c r="A557" s="207"/>
      <c r="B557" s="208"/>
      <c r="C557" s="173"/>
      <c r="D557" s="173"/>
      <c r="E557" s="173"/>
      <c r="F557" s="173"/>
      <c r="G557" s="173"/>
      <c r="H557" s="173"/>
      <c r="I557" s="173"/>
      <c r="J557" s="173"/>
      <c r="K557" s="173"/>
      <c r="L557" s="173"/>
      <c r="M557" s="173"/>
      <c r="N557" s="173"/>
      <c r="O557" s="173"/>
      <c r="P557" s="173"/>
    </row>
    <row r="558" spans="1:16" ht="11.25" customHeight="1">
      <c r="A558" s="207"/>
      <c r="B558" s="208"/>
      <c r="C558" s="173"/>
      <c r="D558" s="173"/>
      <c r="E558" s="173"/>
      <c r="F558" s="173"/>
      <c r="G558" s="173"/>
      <c r="H558" s="173"/>
      <c r="I558" s="173"/>
      <c r="J558" s="173"/>
      <c r="K558" s="173"/>
      <c r="L558" s="173"/>
      <c r="M558" s="173"/>
      <c r="N558" s="173"/>
      <c r="O558" s="173"/>
      <c r="P558" s="173"/>
    </row>
    <row r="559" spans="1:16" ht="11.25" customHeight="1">
      <c r="A559" s="207"/>
      <c r="B559" s="208"/>
      <c r="C559" s="173"/>
      <c r="D559" s="173"/>
      <c r="E559" s="173"/>
      <c r="F559" s="173"/>
      <c r="G559" s="173"/>
      <c r="H559" s="173"/>
      <c r="I559" s="173"/>
      <c r="J559" s="173"/>
      <c r="K559" s="173"/>
      <c r="L559" s="173"/>
      <c r="M559" s="173"/>
      <c r="N559" s="173"/>
      <c r="O559" s="173"/>
      <c r="P559" s="173"/>
    </row>
    <row r="560" spans="1:16" ht="11.25" customHeight="1">
      <c r="A560" s="207"/>
      <c r="B560" s="208"/>
      <c r="C560" s="173"/>
      <c r="D560" s="173"/>
      <c r="E560" s="173"/>
      <c r="F560" s="173"/>
      <c r="G560" s="173"/>
      <c r="H560" s="173"/>
      <c r="I560" s="173"/>
      <c r="J560" s="173"/>
      <c r="K560" s="173"/>
      <c r="L560" s="173"/>
      <c r="M560" s="173"/>
      <c r="N560" s="173"/>
      <c r="O560" s="173"/>
      <c r="P560" s="173"/>
    </row>
    <row r="561" spans="1:16" ht="11.25" customHeight="1">
      <c r="A561" s="207"/>
      <c r="B561" s="208"/>
      <c r="C561" s="173"/>
      <c r="D561" s="173"/>
      <c r="E561" s="173"/>
      <c r="F561" s="173"/>
      <c r="G561" s="173"/>
      <c r="H561" s="173"/>
      <c r="I561" s="173"/>
      <c r="J561" s="173"/>
      <c r="K561" s="173"/>
      <c r="L561" s="173"/>
      <c r="M561" s="173"/>
      <c r="N561" s="173"/>
      <c r="O561" s="173"/>
      <c r="P561" s="173"/>
    </row>
    <row r="562" spans="1:16" ht="11.25" customHeight="1">
      <c r="A562" s="207"/>
      <c r="B562" s="208"/>
      <c r="C562" s="173"/>
      <c r="D562" s="173"/>
      <c r="E562" s="173"/>
      <c r="F562" s="173"/>
      <c r="G562" s="173"/>
      <c r="H562" s="173"/>
      <c r="I562" s="173"/>
      <c r="J562" s="173"/>
      <c r="K562" s="173"/>
      <c r="L562" s="173"/>
      <c r="M562" s="173"/>
      <c r="N562" s="173"/>
      <c r="O562" s="173"/>
      <c r="P562" s="173"/>
    </row>
    <row r="563" spans="1:16" ht="11.25" customHeight="1">
      <c r="A563" s="207"/>
      <c r="B563" s="208"/>
      <c r="C563" s="173"/>
      <c r="D563" s="173"/>
      <c r="E563" s="173"/>
      <c r="F563" s="173"/>
      <c r="G563" s="173"/>
      <c r="H563" s="173"/>
      <c r="I563" s="173"/>
      <c r="J563" s="173"/>
      <c r="K563" s="173"/>
      <c r="L563" s="173"/>
      <c r="M563" s="173"/>
      <c r="N563" s="173"/>
      <c r="O563" s="173"/>
      <c r="P563" s="173"/>
    </row>
    <row r="564" spans="1:16" ht="11.25" customHeight="1">
      <c r="A564" s="207"/>
      <c r="B564" s="208"/>
      <c r="C564" s="173"/>
      <c r="D564" s="173"/>
      <c r="E564" s="173"/>
      <c r="F564" s="173"/>
      <c r="G564" s="173"/>
      <c r="H564" s="173"/>
      <c r="I564" s="173"/>
      <c r="J564" s="173"/>
      <c r="K564" s="173"/>
      <c r="L564" s="173"/>
      <c r="M564" s="173"/>
      <c r="N564" s="173"/>
      <c r="O564" s="173"/>
      <c r="P564" s="173"/>
    </row>
    <row r="565" spans="1:16" ht="11.25" customHeight="1">
      <c r="A565" s="207"/>
      <c r="B565" s="208"/>
      <c r="C565" s="173"/>
      <c r="D565" s="173"/>
      <c r="E565" s="173"/>
      <c r="F565" s="173"/>
      <c r="G565" s="173"/>
      <c r="H565" s="173"/>
      <c r="I565" s="173"/>
      <c r="J565" s="173"/>
      <c r="K565" s="173"/>
      <c r="L565" s="173"/>
      <c r="M565" s="173"/>
      <c r="N565" s="173"/>
      <c r="O565" s="173"/>
      <c r="P565" s="173"/>
    </row>
    <row r="566" spans="1:16" ht="11.25" customHeight="1">
      <c r="A566" s="207"/>
      <c r="B566" s="208"/>
      <c r="C566" s="173"/>
      <c r="D566" s="173"/>
      <c r="E566" s="173"/>
      <c r="F566" s="173"/>
      <c r="G566" s="173"/>
      <c r="H566" s="173"/>
      <c r="I566" s="173"/>
      <c r="J566" s="173"/>
      <c r="K566" s="173"/>
      <c r="L566" s="173"/>
      <c r="M566" s="173"/>
      <c r="N566" s="173"/>
      <c r="O566" s="173"/>
      <c r="P566" s="173"/>
    </row>
    <row r="567" spans="1:16" ht="11.25" customHeight="1">
      <c r="A567" s="207"/>
      <c r="B567" s="208"/>
      <c r="C567" s="173"/>
      <c r="D567" s="173"/>
      <c r="E567" s="173"/>
      <c r="F567" s="173"/>
      <c r="G567" s="173"/>
      <c r="H567" s="173"/>
      <c r="I567" s="173"/>
      <c r="J567" s="173"/>
      <c r="K567" s="173"/>
      <c r="L567" s="173"/>
      <c r="M567" s="173"/>
      <c r="N567" s="173"/>
      <c r="O567" s="173"/>
      <c r="P567" s="173"/>
    </row>
    <row r="568" spans="1:16" ht="11.25" customHeight="1">
      <c r="A568" s="207"/>
      <c r="B568" s="208"/>
      <c r="C568" s="173"/>
      <c r="D568" s="173"/>
      <c r="E568" s="173"/>
      <c r="F568" s="173"/>
      <c r="G568" s="173"/>
      <c r="H568" s="173"/>
      <c r="I568" s="173"/>
      <c r="J568" s="173"/>
      <c r="K568" s="173"/>
      <c r="L568" s="173"/>
      <c r="M568" s="173"/>
      <c r="N568" s="173"/>
      <c r="O568" s="173"/>
      <c r="P568" s="173"/>
    </row>
    <row r="569" spans="1:16" ht="11.25" customHeight="1">
      <c r="A569" s="207"/>
      <c r="B569" s="208"/>
      <c r="C569" s="173"/>
      <c r="D569" s="173"/>
      <c r="E569" s="173"/>
      <c r="F569" s="173"/>
      <c r="G569" s="173"/>
      <c r="H569" s="173"/>
      <c r="I569" s="173"/>
      <c r="J569" s="173"/>
      <c r="K569" s="173"/>
      <c r="L569" s="173"/>
      <c r="M569" s="173"/>
      <c r="N569" s="173"/>
      <c r="O569" s="173"/>
      <c r="P569" s="173"/>
    </row>
    <row r="570" spans="1:16" ht="11.25" customHeight="1">
      <c r="A570" s="207"/>
      <c r="B570" s="208"/>
      <c r="C570" s="173"/>
      <c r="D570" s="173"/>
      <c r="E570" s="173"/>
      <c r="F570" s="173"/>
      <c r="G570" s="173"/>
      <c r="H570" s="173"/>
      <c r="I570" s="173"/>
      <c r="J570" s="173"/>
      <c r="K570" s="173"/>
      <c r="L570" s="173"/>
      <c r="M570" s="173"/>
      <c r="N570" s="173"/>
      <c r="O570" s="173"/>
      <c r="P570" s="173"/>
    </row>
    <row r="571" spans="1:16" ht="11.25" customHeight="1">
      <c r="A571" s="207"/>
      <c r="B571" s="208"/>
      <c r="C571" s="173"/>
      <c r="D571" s="173"/>
      <c r="E571" s="173"/>
      <c r="F571" s="173"/>
      <c r="G571" s="173"/>
      <c r="H571" s="173"/>
      <c r="I571" s="173"/>
      <c r="J571" s="173"/>
      <c r="K571" s="173"/>
      <c r="L571" s="173"/>
      <c r="M571" s="173"/>
      <c r="N571" s="173"/>
      <c r="O571" s="173"/>
      <c r="P571" s="173"/>
    </row>
    <row r="572" spans="1:16" ht="11.25" customHeight="1">
      <c r="A572" s="207"/>
      <c r="B572" s="208"/>
      <c r="C572" s="173"/>
      <c r="D572" s="173"/>
      <c r="E572" s="173"/>
      <c r="F572" s="173"/>
      <c r="G572" s="173"/>
      <c r="H572" s="173"/>
      <c r="I572" s="173"/>
      <c r="J572" s="173"/>
      <c r="K572" s="173"/>
      <c r="L572" s="173"/>
      <c r="M572" s="173"/>
      <c r="N572" s="173"/>
      <c r="O572" s="173"/>
      <c r="P572" s="173"/>
    </row>
    <row r="573" spans="1:16" ht="11.25" customHeight="1">
      <c r="A573" s="207"/>
      <c r="B573" s="208"/>
      <c r="C573" s="173"/>
      <c r="D573" s="173"/>
      <c r="E573" s="173"/>
      <c r="F573" s="173"/>
      <c r="G573" s="173"/>
      <c r="H573" s="173"/>
      <c r="I573" s="173"/>
      <c r="J573" s="173"/>
      <c r="K573" s="173"/>
      <c r="L573" s="173"/>
      <c r="M573" s="173"/>
      <c r="N573" s="173"/>
      <c r="O573" s="173"/>
      <c r="P573" s="173"/>
    </row>
    <row r="574" spans="1:16" ht="11.25" customHeight="1">
      <c r="A574" s="207"/>
      <c r="B574" s="208"/>
      <c r="C574" s="173"/>
      <c r="D574" s="173"/>
      <c r="E574" s="173"/>
      <c r="F574" s="173"/>
      <c r="G574" s="173"/>
      <c r="H574" s="173"/>
      <c r="I574" s="173"/>
      <c r="J574" s="173"/>
      <c r="K574" s="173"/>
      <c r="L574" s="173"/>
      <c r="M574" s="173"/>
      <c r="N574" s="173"/>
      <c r="O574" s="173"/>
      <c r="P574" s="173"/>
    </row>
    <row r="575" spans="1:16" ht="11.25" customHeight="1">
      <c r="A575" s="207"/>
      <c r="B575" s="208"/>
      <c r="C575" s="173"/>
      <c r="D575" s="173"/>
      <c r="E575" s="173"/>
      <c r="F575" s="173"/>
      <c r="G575" s="173"/>
      <c r="H575" s="173"/>
      <c r="I575" s="173"/>
      <c r="J575" s="173"/>
      <c r="K575" s="173"/>
      <c r="L575" s="173"/>
      <c r="M575" s="173"/>
      <c r="N575" s="173"/>
      <c r="O575" s="173"/>
      <c r="P575" s="173"/>
    </row>
    <row r="576" spans="1:16" ht="11.25" customHeight="1">
      <c r="A576" s="207"/>
      <c r="B576" s="208"/>
      <c r="C576" s="173"/>
      <c r="D576" s="173"/>
      <c r="E576" s="173"/>
      <c r="F576" s="173"/>
      <c r="G576" s="173"/>
      <c r="H576" s="173"/>
      <c r="I576" s="173"/>
      <c r="J576" s="173"/>
      <c r="K576" s="173"/>
      <c r="L576" s="173"/>
      <c r="M576" s="173"/>
      <c r="N576" s="173"/>
      <c r="O576" s="173"/>
      <c r="P576" s="173"/>
    </row>
    <row r="577" spans="1:16" ht="11.25" customHeight="1">
      <c r="A577" s="207"/>
      <c r="B577" s="208"/>
      <c r="C577" s="173"/>
      <c r="D577" s="173"/>
      <c r="E577" s="173"/>
      <c r="F577" s="173"/>
      <c r="G577" s="173"/>
      <c r="H577" s="173"/>
      <c r="I577" s="173"/>
      <c r="J577" s="173"/>
      <c r="K577" s="173"/>
      <c r="L577" s="173"/>
      <c r="M577" s="173"/>
      <c r="N577" s="173"/>
      <c r="O577" s="173"/>
      <c r="P577" s="173"/>
    </row>
    <row r="578" spans="1:16" ht="11.25" customHeight="1">
      <c r="A578" s="207"/>
      <c r="B578" s="208"/>
      <c r="C578" s="173"/>
      <c r="D578" s="173"/>
      <c r="E578" s="173"/>
      <c r="F578" s="173"/>
      <c r="G578" s="173"/>
      <c r="H578" s="173"/>
      <c r="I578" s="173"/>
      <c r="J578" s="173"/>
      <c r="K578" s="173"/>
      <c r="L578" s="173"/>
      <c r="M578" s="173"/>
      <c r="N578" s="173"/>
      <c r="O578" s="173"/>
      <c r="P578" s="173"/>
    </row>
    <row r="579" spans="1:16" ht="11.25" customHeight="1">
      <c r="A579" s="207"/>
      <c r="B579" s="208"/>
      <c r="C579" s="173"/>
      <c r="D579" s="173"/>
      <c r="E579" s="173"/>
      <c r="F579" s="173"/>
      <c r="G579" s="173"/>
      <c r="H579" s="173"/>
      <c r="I579" s="173"/>
      <c r="J579" s="173"/>
      <c r="K579" s="173"/>
      <c r="L579" s="173"/>
      <c r="M579" s="173"/>
      <c r="N579" s="173"/>
      <c r="O579" s="173"/>
      <c r="P579" s="173"/>
    </row>
    <row r="580" spans="1:16" ht="11.25" customHeight="1">
      <c r="A580" s="207"/>
      <c r="B580" s="208"/>
      <c r="C580" s="173"/>
      <c r="D580" s="173"/>
      <c r="E580" s="173"/>
      <c r="F580" s="173"/>
      <c r="G580" s="173"/>
      <c r="H580" s="173"/>
      <c r="I580" s="173"/>
      <c r="J580" s="173"/>
      <c r="K580" s="173"/>
      <c r="L580" s="173"/>
      <c r="M580" s="173"/>
      <c r="N580" s="173"/>
      <c r="O580" s="173"/>
      <c r="P580" s="173"/>
    </row>
    <row r="581" spans="1:16" ht="11.25" customHeight="1">
      <c r="A581" s="207"/>
      <c r="B581" s="208"/>
      <c r="C581" s="173"/>
      <c r="D581" s="173"/>
      <c r="E581" s="173"/>
      <c r="F581" s="173"/>
      <c r="G581" s="173"/>
      <c r="H581" s="173"/>
      <c r="I581" s="173"/>
      <c r="J581" s="173"/>
      <c r="K581" s="173"/>
      <c r="L581" s="173"/>
      <c r="M581" s="173"/>
      <c r="N581" s="173"/>
      <c r="O581" s="173"/>
      <c r="P581" s="173"/>
    </row>
    <row r="582" spans="1:16" ht="11.25" customHeight="1">
      <c r="A582" s="207"/>
      <c r="B582" s="208"/>
      <c r="C582" s="173"/>
      <c r="D582" s="173"/>
      <c r="E582" s="173"/>
      <c r="F582" s="173"/>
      <c r="G582" s="173"/>
      <c r="H582" s="173"/>
      <c r="I582" s="173"/>
      <c r="J582" s="173"/>
      <c r="K582" s="173"/>
      <c r="L582" s="173"/>
      <c r="M582" s="173"/>
      <c r="N582" s="173"/>
      <c r="O582" s="173"/>
      <c r="P582" s="173"/>
    </row>
    <row r="583" spans="1:16" ht="11.25" customHeight="1">
      <c r="A583" s="207"/>
      <c r="B583" s="208"/>
      <c r="C583" s="173"/>
      <c r="D583" s="173"/>
      <c r="E583" s="173"/>
      <c r="F583" s="173"/>
      <c r="G583" s="173"/>
      <c r="H583" s="173"/>
      <c r="I583" s="173"/>
      <c r="J583" s="173"/>
      <c r="K583" s="173"/>
      <c r="L583" s="173"/>
      <c r="M583" s="173"/>
      <c r="N583" s="173"/>
      <c r="O583" s="173"/>
      <c r="P583" s="173"/>
    </row>
    <row r="584" spans="1:16" ht="11.25" customHeight="1">
      <c r="A584" s="207"/>
      <c r="B584" s="208"/>
      <c r="C584" s="173"/>
      <c r="D584" s="173"/>
      <c r="E584" s="173"/>
      <c r="F584" s="173"/>
      <c r="G584" s="173"/>
      <c r="H584" s="173"/>
      <c r="I584" s="173"/>
      <c r="J584" s="173"/>
      <c r="K584" s="173"/>
      <c r="L584" s="173"/>
      <c r="M584" s="173"/>
      <c r="N584" s="173"/>
      <c r="O584" s="173"/>
      <c r="P584" s="173"/>
    </row>
    <row r="585" spans="1:16" ht="11.25" customHeight="1">
      <c r="A585" s="207"/>
      <c r="B585" s="208"/>
      <c r="C585" s="173"/>
      <c r="D585" s="173"/>
      <c r="E585" s="173"/>
      <c r="F585" s="173"/>
      <c r="G585" s="173"/>
      <c r="H585" s="173"/>
      <c r="I585" s="173"/>
      <c r="J585" s="173"/>
      <c r="K585" s="173"/>
      <c r="L585" s="173"/>
      <c r="M585" s="173"/>
      <c r="N585" s="173"/>
      <c r="O585" s="173"/>
      <c r="P585" s="173"/>
    </row>
    <row r="586" spans="1:16" ht="11.25" customHeight="1">
      <c r="A586" s="207"/>
      <c r="B586" s="208"/>
      <c r="C586" s="173"/>
      <c r="D586" s="173"/>
      <c r="E586" s="173"/>
      <c r="F586" s="173"/>
      <c r="G586" s="173"/>
      <c r="H586" s="173"/>
      <c r="I586" s="173"/>
      <c r="J586" s="173"/>
      <c r="K586" s="173"/>
      <c r="L586" s="173"/>
      <c r="M586" s="173"/>
      <c r="N586" s="173"/>
      <c r="O586" s="173"/>
      <c r="P586" s="173"/>
    </row>
    <row r="587" spans="1:16" ht="11.25" customHeight="1">
      <c r="A587" s="207"/>
      <c r="B587" s="208"/>
      <c r="C587" s="173"/>
      <c r="D587" s="173"/>
      <c r="E587" s="173"/>
      <c r="F587" s="173"/>
      <c r="G587" s="173"/>
      <c r="H587" s="173"/>
      <c r="I587" s="173"/>
      <c r="J587" s="173"/>
      <c r="K587" s="173"/>
      <c r="L587" s="173"/>
      <c r="M587" s="173"/>
      <c r="N587" s="173"/>
      <c r="O587" s="173"/>
      <c r="P587" s="173"/>
    </row>
    <row r="588" spans="1:16" ht="11.25" customHeight="1">
      <c r="A588" s="207"/>
      <c r="B588" s="208"/>
      <c r="C588" s="173"/>
      <c r="D588" s="173"/>
      <c r="E588" s="173"/>
      <c r="F588" s="173"/>
      <c r="G588" s="173"/>
      <c r="H588" s="173"/>
      <c r="I588" s="173"/>
      <c r="J588" s="173"/>
      <c r="K588" s="173"/>
      <c r="L588" s="173"/>
      <c r="M588" s="173"/>
      <c r="N588" s="173"/>
      <c r="O588" s="173"/>
      <c r="P588" s="173"/>
    </row>
    <row r="589" spans="1:16" ht="11.25" customHeight="1">
      <c r="A589" s="207"/>
      <c r="B589" s="208"/>
      <c r="C589" s="173"/>
      <c r="D589" s="173"/>
      <c r="E589" s="173"/>
      <c r="F589" s="173"/>
      <c r="G589" s="173"/>
      <c r="H589" s="173"/>
      <c r="I589" s="173"/>
      <c r="J589" s="173"/>
      <c r="K589" s="173"/>
      <c r="L589" s="173"/>
      <c r="M589" s="173"/>
      <c r="N589" s="173"/>
      <c r="O589" s="173"/>
      <c r="P589" s="173"/>
    </row>
    <row r="590" spans="1:16" ht="11.25" customHeight="1">
      <c r="A590" s="207"/>
      <c r="B590" s="208"/>
      <c r="C590" s="173"/>
      <c r="D590" s="173"/>
      <c r="E590" s="173"/>
      <c r="F590" s="173"/>
      <c r="G590" s="173"/>
      <c r="H590" s="173"/>
      <c r="I590" s="173"/>
      <c r="J590" s="173"/>
      <c r="K590" s="173"/>
      <c r="L590" s="173"/>
      <c r="M590" s="173"/>
      <c r="N590" s="173"/>
      <c r="O590" s="173"/>
      <c r="P590" s="173"/>
    </row>
    <row r="591" spans="1:16" ht="11.25" customHeight="1">
      <c r="A591" s="207"/>
      <c r="B591" s="208"/>
      <c r="C591" s="173"/>
      <c r="D591" s="173"/>
      <c r="E591" s="173"/>
      <c r="F591" s="173"/>
      <c r="G591" s="173"/>
      <c r="H591" s="173"/>
      <c r="I591" s="173"/>
      <c r="J591" s="173"/>
      <c r="K591" s="173"/>
      <c r="L591" s="173"/>
      <c r="M591" s="173"/>
      <c r="N591" s="173"/>
      <c r="O591" s="173"/>
      <c r="P591" s="173"/>
    </row>
    <row r="592" spans="1:16" ht="11.25" customHeight="1">
      <c r="A592" s="207"/>
      <c r="B592" s="208"/>
      <c r="C592" s="173"/>
      <c r="D592" s="173"/>
      <c r="E592" s="173"/>
      <c r="F592" s="173"/>
      <c r="G592" s="173"/>
      <c r="H592" s="173"/>
      <c r="I592" s="173"/>
      <c r="J592" s="173"/>
      <c r="K592" s="173"/>
      <c r="L592" s="173"/>
      <c r="M592" s="173"/>
      <c r="N592" s="173"/>
      <c r="O592" s="173"/>
      <c r="P592" s="173"/>
    </row>
    <row r="593" spans="1:16" ht="11.25" customHeight="1">
      <c r="A593" s="207"/>
      <c r="B593" s="208"/>
      <c r="C593" s="173"/>
      <c r="D593" s="173"/>
      <c r="E593" s="173"/>
      <c r="F593" s="173"/>
      <c r="G593" s="173"/>
      <c r="H593" s="173"/>
      <c r="I593" s="173"/>
      <c r="J593" s="173"/>
      <c r="K593" s="173"/>
      <c r="L593" s="173"/>
      <c r="M593" s="173"/>
      <c r="N593" s="173"/>
      <c r="O593" s="173"/>
      <c r="P593" s="173"/>
    </row>
    <row r="594" spans="1:16" ht="11.25" customHeight="1">
      <c r="A594" s="207"/>
      <c r="B594" s="208"/>
      <c r="C594" s="173"/>
      <c r="D594" s="173"/>
      <c r="E594" s="173"/>
      <c r="F594" s="173"/>
      <c r="G594" s="173"/>
      <c r="H594" s="173"/>
      <c r="I594" s="173"/>
      <c r="J594" s="173"/>
      <c r="K594" s="173"/>
      <c r="L594" s="173"/>
      <c r="M594" s="173"/>
      <c r="N594" s="173"/>
      <c r="O594" s="173"/>
      <c r="P594" s="173"/>
    </row>
    <row r="595" spans="1:16" ht="11.25" customHeight="1">
      <c r="A595" s="207"/>
      <c r="B595" s="208"/>
      <c r="C595" s="173"/>
      <c r="D595" s="173"/>
      <c r="E595" s="173"/>
      <c r="F595" s="173"/>
      <c r="G595" s="173"/>
      <c r="H595" s="173"/>
      <c r="I595" s="173"/>
      <c r="J595" s="173"/>
      <c r="K595" s="173"/>
      <c r="L595" s="173"/>
      <c r="M595" s="173"/>
      <c r="N595" s="173"/>
      <c r="O595" s="173"/>
      <c r="P595" s="173"/>
    </row>
    <row r="596" spans="1:16" ht="11.25" customHeight="1">
      <c r="A596" s="207"/>
      <c r="B596" s="208"/>
      <c r="C596" s="173"/>
      <c r="D596" s="173"/>
      <c r="E596" s="173"/>
      <c r="F596" s="173"/>
      <c r="G596" s="173"/>
      <c r="H596" s="173"/>
      <c r="I596" s="173"/>
      <c r="J596" s="173"/>
      <c r="K596" s="173"/>
      <c r="L596" s="173"/>
      <c r="M596" s="173"/>
      <c r="N596" s="173"/>
      <c r="O596" s="173"/>
      <c r="P596" s="173"/>
    </row>
    <row r="597" spans="1:16" ht="11.25" customHeight="1">
      <c r="A597" s="207"/>
      <c r="B597" s="208"/>
      <c r="C597" s="173"/>
      <c r="D597" s="173"/>
      <c r="E597" s="173"/>
      <c r="F597" s="173"/>
      <c r="G597" s="173"/>
      <c r="H597" s="173"/>
      <c r="I597" s="173"/>
      <c r="J597" s="173"/>
      <c r="K597" s="173"/>
      <c r="L597" s="173"/>
      <c r="M597" s="173"/>
      <c r="N597" s="173"/>
      <c r="O597" s="173"/>
      <c r="P597" s="173"/>
    </row>
    <row r="598" spans="1:16" ht="11.25" customHeight="1">
      <c r="A598" s="207"/>
      <c r="B598" s="208"/>
      <c r="C598" s="173"/>
      <c r="D598" s="173"/>
      <c r="E598" s="173"/>
      <c r="F598" s="173"/>
      <c r="G598" s="173"/>
      <c r="H598" s="173"/>
      <c r="I598" s="173"/>
      <c r="J598" s="173"/>
      <c r="K598" s="173"/>
      <c r="L598" s="173"/>
      <c r="M598" s="173"/>
      <c r="N598" s="173"/>
      <c r="O598" s="173"/>
      <c r="P598" s="173"/>
    </row>
    <row r="599" spans="1:16" ht="11.25" customHeight="1">
      <c r="A599" s="207"/>
      <c r="B599" s="208"/>
      <c r="C599" s="173"/>
      <c r="D599" s="173"/>
      <c r="E599" s="173"/>
      <c r="F599" s="173"/>
      <c r="G599" s="173"/>
      <c r="H599" s="173"/>
      <c r="I599" s="173"/>
      <c r="J599" s="173"/>
      <c r="K599" s="173"/>
      <c r="L599" s="173"/>
      <c r="M599" s="173"/>
      <c r="N599" s="173"/>
      <c r="O599" s="173"/>
      <c r="P599" s="173"/>
    </row>
    <row r="600" spans="1:16" ht="11.25" customHeight="1">
      <c r="A600" s="207"/>
      <c r="B600" s="208"/>
      <c r="C600" s="173"/>
      <c r="D600" s="173"/>
      <c r="E600" s="173"/>
      <c r="F600" s="173"/>
      <c r="G600" s="173"/>
      <c r="H600" s="173"/>
      <c r="I600" s="173"/>
      <c r="J600" s="173"/>
      <c r="K600" s="173"/>
      <c r="L600" s="173"/>
      <c r="M600" s="173"/>
      <c r="N600" s="173"/>
      <c r="O600" s="173"/>
      <c r="P600" s="173"/>
    </row>
    <row r="601" spans="1:16" ht="11.25" customHeight="1">
      <c r="A601" s="207"/>
      <c r="B601" s="208"/>
      <c r="C601" s="173"/>
      <c r="D601" s="173"/>
      <c r="E601" s="173"/>
      <c r="F601" s="173"/>
      <c r="G601" s="173"/>
      <c r="H601" s="173"/>
      <c r="I601" s="173"/>
      <c r="J601" s="173"/>
      <c r="K601" s="173"/>
      <c r="L601" s="173"/>
      <c r="M601" s="173"/>
      <c r="N601" s="173"/>
      <c r="O601" s="173"/>
      <c r="P601" s="173"/>
    </row>
    <row r="602" spans="1:16" ht="11.25" customHeight="1">
      <c r="A602" s="207"/>
      <c r="B602" s="208"/>
      <c r="C602" s="173"/>
      <c r="D602" s="173"/>
      <c r="E602" s="173"/>
      <c r="F602" s="173"/>
      <c r="G602" s="173"/>
      <c r="H602" s="173"/>
      <c r="I602" s="173"/>
      <c r="J602" s="173"/>
      <c r="K602" s="173"/>
      <c r="L602" s="173"/>
      <c r="M602" s="173"/>
      <c r="N602" s="173"/>
      <c r="O602" s="173"/>
      <c r="P602" s="173"/>
    </row>
    <row r="603" spans="1:16" ht="11.25" customHeight="1">
      <c r="A603" s="207"/>
      <c r="B603" s="208"/>
      <c r="C603" s="173"/>
      <c r="D603" s="173"/>
      <c r="E603" s="173"/>
      <c r="F603" s="173"/>
      <c r="G603" s="173"/>
      <c r="H603" s="173"/>
      <c r="I603" s="173"/>
      <c r="J603" s="173"/>
      <c r="K603" s="173"/>
      <c r="L603" s="173"/>
      <c r="M603" s="173"/>
      <c r="N603" s="173"/>
      <c r="O603" s="173"/>
      <c r="P603" s="173"/>
    </row>
    <row r="604" spans="1:16" ht="11.25" customHeight="1">
      <c r="A604" s="207"/>
      <c r="B604" s="208"/>
      <c r="C604" s="173"/>
      <c r="D604" s="173"/>
      <c r="E604" s="173"/>
      <c r="F604" s="173"/>
      <c r="G604" s="173"/>
      <c r="H604" s="173"/>
      <c r="I604" s="173"/>
      <c r="J604" s="173"/>
      <c r="K604" s="173"/>
      <c r="L604" s="173"/>
      <c r="M604" s="173"/>
      <c r="N604" s="173"/>
      <c r="O604" s="173"/>
      <c r="P604" s="173"/>
    </row>
    <row r="605" spans="1:16" ht="11.25" customHeight="1">
      <c r="A605" s="207"/>
      <c r="B605" s="208"/>
      <c r="C605" s="173"/>
      <c r="D605" s="173"/>
      <c r="E605" s="173"/>
      <c r="F605" s="173"/>
      <c r="G605" s="173"/>
      <c r="H605" s="173"/>
      <c r="I605" s="173"/>
      <c r="J605" s="173"/>
      <c r="K605" s="173"/>
      <c r="L605" s="173"/>
      <c r="M605" s="173"/>
      <c r="N605" s="173"/>
      <c r="O605" s="173"/>
      <c r="P605" s="173"/>
    </row>
    <row r="606" spans="1:16" ht="11.25" customHeight="1">
      <c r="A606" s="207"/>
      <c r="B606" s="208"/>
      <c r="C606" s="173"/>
      <c r="D606" s="173"/>
      <c r="E606" s="173"/>
      <c r="F606" s="173"/>
      <c r="G606" s="173"/>
      <c r="H606" s="173"/>
      <c r="I606" s="173"/>
      <c r="J606" s="173"/>
      <c r="K606" s="173"/>
      <c r="L606" s="173"/>
      <c r="M606" s="173"/>
      <c r="N606" s="173"/>
      <c r="O606" s="173"/>
      <c r="P606" s="173"/>
    </row>
    <row r="607" spans="1:16" ht="11.25" customHeight="1">
      <c r="A607" s="207"/>
      <c r="B607" s="208"/>
      <c r="C607" s="173"/>
      <c r="D607" s="173"/>
      <c r="E607" s="173"/>
      <c r="F607" s="173"/>
      <c r="G607" s="173"/>
      <c r="H607" s="173"/>
      <c r="I607" s="173"/>
      <c r="J607" s="173"/>
      <c r="K607" s="173"/>
      <c r="L607" s="173"/>
      <c r="M607" s="173"/>
      <c r="N607" s="173"/>
      <c r="O607" s="173"/>
      <c r="P607" s="173"/>
    </row>
    <row r="608" spans="1:16" ht="11.25" customHeight="1">
      <c r="A608" s="207"/>
      <c r="B608" s="208"/>
      <c r="C608" s="173"/>
      <c r="D608" s="173"/>
      <c r="E608" s="173"/>
      <c r="F608" s="173"/>
      <c r="G608" s="173"/>
      <c r="H608" s="173"/>
      <c r="I608" s="173"/>
      <c r="J608" s="173"/>
      <c r="K608" s="173"/>
      <c r="L608" s="173"/>
      <c r="M608" s="173"/>
      <c r="N608" s="173"/>
      <c r="O608" s="173"/>
      <c r="P608" s="173"/>
    </row>
    <row r="609" spans="1:16" ht="11.25" customHeight="1">
      <c r="A609" s="207"/>
      <c r="B609" s="208"/>
      <c r="C609" s="173"/>
      <c r="D609" s="173"/>
      <c r="E609" s="173"/>
      <c r="F609" s="173"/>
      <c r="G609" s="173"/>
      <c r="H609" s="173"/>
      <c r="I609" s="173"/>
      <c r="J609" s="173"/>
      <c r="K609" s="173"/>
      <c r="L609" s="173"/>
      <c r="M609" s="173"/>
      <c r="N609" s="173"/>
      <c r="O609" s="173"/>
      <c r="P609" s="173"/>
    </row>
    <row r="610" spans="1:16" ht="11.25" customHeight="1">
      <c r="A610" s="207"/>
      <c r="B610" s="208"/>
      <c r="C610" s="173"/>
      <c r="D610" s="173"/>
      <c r="E610" s="173"/>
      <c r="F610" s="173"/>
      <c r="G610" s="173"/>
      <c r="H610" s="173"/>
      <c r="I610" s="173"/>
      <c r="J610" s="173"/>
      <c r="K610" s="173"/>
      <c r="L610" s="173"/>
      <c r="M610" s="173"/>
      <c r="N610" s="173"/>
      <c r="O610" s="173"/>
      <c r="P610" s="173"/>
    </row>
    <row r="611" spans="1:16" ht="11.25" customHeight="1">
      <c r="A611" s="207"/>
      <c r="B611" s="208"/>
      <c r="C611" s="173"/>
      <c r="D611" s="173"/>
      <c r="E611" s="173"/>
      <c r="F611" s="173"/>
      <c r="G611" s="173"/>
      <c r="H611" s="173"/>
      <c r="I611" s="173"/>
      <c r="J611" s="173"/>
      <c r="K611" s="173"/>
      <c r="L611" s="173"/>
      <c r="M611" s="173"/>
      <c r="N611" s="173"/>
      <c r="O611" s="173"/>
      <c r="P611" s="173"/>
    </row>
    <row r="612" spans="1:16" ht="11.25" customHeight="1">
      <c r="A612" s="207"/>
      <c r="B612" s="208"/>
      <c r="C612" s="173"/>
      <c r="D612" s="173"/>
      <c r="E612" s="173"/>
      <c r="F612" s="173"/>
      <c r="G612" s="173"/>
      <c r="H612" s="173"/>
      <c r="I612" s="173"/>
      <c r="J612" s="173"/>
      <c r="K612" s="173"/>
      <c r="L612" s="173"/>
      <c r="M612" s="173"/>
      <c r="N612" s="173"/>
      <c r="O612" s="173"/>
      <c r="P612" s="173"/>
    </row>
    <row r="613" spans="1:16" ht="11.25" customHeight="1">
      <c r="A613" s="207"/>
      <c r="B613" s="208"/>
      <c r="C613" s="173"/>
      <c r="D613" s="173"/>
      <c r="E613" s="173"/>
      <c r="F613" s="173"/>
      <c r="G613" s="173"/>
      <c r="H613" s="173"/>
      <c r="I613" s="173"/>
      <c r="J613" s="173"/>
      <c r="K613" s="173"/>
      <c r="L613" s="173"/>
      <c r="M613" s="173"/>
      <c r="N613" s="173"/>
      <c r="O613" s="173"/>
      <c r="P613" s="173"/>
    </row>
    <row r="614" spans="1:16" ht="11.25" customHeight="1">
      <c r="A614" s="207"/>
      <c r="B614" s="208"/>
      <c r="C614" s="173"/>
      <c r="D614" s="173"/>
      <c r="E614" s="173"/>
      <c r="F614" s="173"/>
      <c r="G614" s="173"/>
      <c r="H614" s="173"/>
      <c r="I614" s="173"/>
      <c r="J614" s="173"/>
      <c r="K614" s="173"/>
      <c r="L614" s="173"/>
      <c r="M614" s="173"/>
      <c r="N614" s="173"/>
      <c r="O614" s="173"/>
      <c r="P614" s="173"/>
    </row>
    <row r="615" spans="1:16" ht="11.25" customHeight="1">
      <c r="A615" s="207"/>
      <c r="B615" s="208"/>
      <c r="C615" s="173"/>
      <c r="D615" s="173"/>
      <c r="E615" s="173"/>
      <c r="F615" s="173"/>
      <c r="G615" s="173"/>
      <c r="H615" s="173"/>
      <c r="I615" s="173"/>
      <c r="J615" s="173"/>
      <c r="K615" s="173"/>
      <c r="L615" s="173"/>
      <c r="M615" s="173"/>
      <c r="N615" s="173"/>
      <c r="O615" s="173"/>
      <c r="P615" s="173"/>
    </row>
    <row r="616" spans="1:16" ht="11.25" customHeight="1">
      <c r="A616" s="207"/>
      <c r="B616" s="208"/>
      <c r="C616" s="173"/>
      <c r="D616" s="173"/>
      <c r="E616" s="173"/>
      <c r="F616" s="173"/>
      <c r="G616" s="173"/>
      <c r="H616" s="173"/>
      <c r="I616" s="173"/>
      <c r="J616" s="173"/>
      <c r="K616" s="173"/>
      <c r="L616" s="173"/>
      <c r="M616" s="173"/>
      <c r="N616" s="173"/>
      <c r="O616" s="173"/>
      <c r="P616" s="173"/>
    </row>
    <row r="617" spans="1:16" ht="11.25" customHeight="1">
      <c r="A617" s="207"/>
      <c r="B617" s="208"/>
      <c r="C617" s="173"/>
      <c r="D617" s="173"/>
      <c r="E617" s="173"/>
      <c r="F617" s="173"/>
      <c r="G617" s="173"/>
      <c r="H617" s="173"/>
      <c r="I617" s="173"/>
      <c r="J617" s="173"/>
      <c r="K617" s="173"/>
      <c r="L617" s="173"/>
      <c r="M617" s="173"/>
      <c r="N617" s="173"/>
      <c r="O617" s="173"/>
      <c r="P617" s="173"/>
    </row>
    <row r="618" spans="1:16" ht="11.25" customHeight="1">
      <c r="A618" s="207"/>
      <c r="B618" s="208"/>
      <c r="C618" s="173"/>
      <c r="D618" s="173"/>
      <c r="E618" s="173"/>
      <c r="F618" s="173"/>
      <c r="G618" s="173"/>
      <c r="H618" s="173"/>
      <c r="I618" s="173"/>
      <c r="J618" s="173"/>
      <c r="K618" s="173"/>
      <c r="L618" s="173"/>
      <c r="M618" s="173"/>
      <c r="N618" s="173"/>
      <c r="O618" s="173"/>
      <c r="P618" s="173"/>
    </row>
    <row r="619" spans="1:16" ht="11.25" customHeight="1">
      <c r="A619" s="207"/>
      <c r="B619" s="208"/>
      <c r="C619" s="173"/>
      <c r="D619" s="173"/>
      <c r="E619" s="173"/>
      <c r="F619" s="173"/>
      <c r="G619" s="173"/>
      <c r="H619" s="173"/>
      <c r="I619" s="173"/>
      <c r="J619" s="173"/>
      <c r="K619" s="173"/>
      <c r="L619" s="173"/>
      <c r="M619" s="173"/>
      <c r="N619" s="173"/>
      <c r="O619" s="173"/>
      <c r="P619" s="173"/>
    </row>
    <row r="620" spans="1:16" ht="11.25" customHeight="1">
      <c r="A620" s="207"/>
      <c r="B620" s="208"/>
      <c r="C620" s="173"/>
      <c r="D620" s="173"/>
      <c r="E620" s="173"/>
      <c r="F620" s="173"/>
      <c r="G620" s="173"/>
      <c r="H620" s="173"/>
      <c r="I620" s="173"/>
      <c r="J620" s="173"/>
      <c r="K620" s="173"/>
      <c r="L620" s="173"/>
      <c r="M620" s="173"/>
      <c r="N620" s="173"/>
      <c r="O620" s="173"/>
      <c r="P620" s="173"/>
    </row>
    <row r="621" spans="1:16" ht="11.25" customHeight="1">
      <c r="A621" s="207"/>
      <c r="B621" s="208"/>
      <c r="C621" s="173"/>
      <c r="D621" s="173"/>
      <c r="E621" s="173"/>
      <c r="F621" s="173"/>
      <c r="G621" s="173"/>
      <c r="H621" s="173"/>
      <c r="I621" s="173"/>
      <c r="J621" s="173"/>
      <c r="K621" s="173"/>
      <c r="L621" s="173"/>
      <c r="M621" s="173"/>
      <c r="N621" s="173"/>
      <c r="O621" s="173"/>
      <c r="P621" s="173"/>
    </row>
    <row r="622" spans="1:16" ht="11.25" customHeight="1">
      <c r="A622" s="207"/>
      <c r="B622" s="208"/>
      <c r="C622" s="173"/>
      <c r="D622" s="173"/>
      <c r="E622" s="173"/>
      <c r="F622" s="173"/>
      <c r="G622" s="173"/>
      <c r="H622" s="173"/>
      <c r="I622" s="173"/>
      <c r="J622" s="173"/>
      <c r="K622" s="173"/>
      <c r="L622" s="173"/>
      <c r="M622" s="173"/>
      <c r="N622" s="173"/>
      <c r="O622" s="173"/>
      <c r="P622" s="173"/>
    </row>
    <row r="623" spans="1:16" ht="11.25" customHeight="1">
      <c r="A623" s="207"/>
      <c r="B623" s="208"/>
      <c r="C623" s="173"/>
      <c r="D623" s="173"/>
      <c r="E623" s="173"/>
      <c r="F623" s="173"/>
      <c r="G623" s="173"/>
      <c r="H623" s="173"/>
      <c r="I623" s="173"/>
      <c r="J623" s="173"/>
      <c r="K623" s="173"/>
      <c r="L623" s="173"/>
      <c r="M623" s="173"/>
      <c r="N623" s="173"/>
      <c r="O623" s="173"/>
      <c r="P623" s="173"/>
    </row>
    <row r="624" spans="1:16" ht="11.25" customHeight="1">
      <c r="A624" s="207"/>
      <c r="B624" s="208"/>
      <c r="C624" s="173"/>
      <c r="D624" s="173"/>
      <c r="E624" s="173"/>
      <c r="F624" s="173"/>
      <c r="G624" s="173"/>
      <c r="H624" s="173"/>
      <c r="I624" s="173"/>
      <c r="J624" s="173"/>
      <c r="K624" s="173"/>
      <c r="L624" s="173"/>
      <c r="M624" s="173"/>
      <c r="N624" s="173"/>
      <c r="O624" s="173"/>
      <c r="P624" s="173"/>
    </row>
    <row r="625" spans="1:16" ht="11.25" customHeight="1">
      <c r="A625" s="207"/>
      <c r="B625" s="208"/>
      <c r="C625" s="173"/>
      <c r="D625" s="173"/>
      <c r="E625" s="173"/>
      <c r="F625" s="173"/>
      <c r="G625" s="173"/>
      <c r="H625" s="173"/>
      <c r="I625" s="173"/>
      <c r="J625" s="173"/>
      <c r="K625" s="173"/>
      <c r="L625" s="173"/>
      <c r="M625" s="173"/>
      <c r="N625" s="173"/>
      <c r="O625" s="173"/>
      <c r="P625" s="173"/>
    </row>
    <row r="626" spans="1:16" ht="11.25" customHeight="1">
      <c r="A626" s="207"/>
      <c r="B626" s="208"/>
      <c r="C626" s="173"/>
      <c r="D626" s="173"/>
      <c r="E626" s="173"/>
      <c r="F626" s="173"/>
      <c r="G626" s="173"/>
      <c r="H626" s="173"/>
      <c r="I626" s="173"/>
      <c r="J626" s="173"/>
      <c r="K626" s="173"/>
      <c r="L626" s="173"/>
      <c r="M626" s="173"/>
      <c r="N626" s="173"/>
      <c r="O626" s="173"/>
      <c r="P626" s="173"/>
    </row>
    <row r="627" spans="1:16" ht="11.25" customHeight="1">
      <c r="A627" s="207"/>
      <c r="B627" s="208"/>
      <c r="C627" s="173"/>
      <c r="D627" s="173"/>
      <c r="E627" s="173"/>
      <c r="F627" s="173"/>
      <c r="G627" s="173"/>
      <c r="H627" s="173"/>
      <c r="I627" s="173"/>
      <c r="J627" s="173"/>
      <c r="K627" s="173"/>
      <c r="L627" s="173"/>
      <c r="M627" s="173"/>
      <c r="N627" s="173"/>
      <c r="O627" s="173"/>
      <c r="P627" s="173"/>
    </row>
    <row r="628" spans="1:16" ht="11.25" customHeight="1">
      <c r="A628" s="207"/>
      <c r="B628" s="208"/>
      <c r="C628" s="173"/>
      <c r="D628" s="173"/>
      <c r="E628" s="173"/>
      <c r="F628" s="173"/>
      <c r="G628" s="173"/>
      <c r="H628" s="173"/>
      <c r="I628" s="173"/>
      <c r="J628" s="173"/>
      <c r="K628" s="173"/>
      <c r="L628" s="173"/>
      <c r="M628" s="173"/>
      <c r="N628" s="173"/>
      <c r="O628" s="173"/>
      <c r="P628" s="173"/>
    </row>
    <row r="629" spans="1:16" ht="11.25" customHeight="1">
      <c r="A629" s="207"/>
      <c r="B629" s="208"/>
      <c r="C629" s="173"/>
      <c r="D629" s="173"/>
      <c r="E629" s="173"/>
      <c r="F629" s="173"/>
      <c r="G629" s="173"/>
      <c r="H629" s="173"/>
      <c r="I629" s="173"/>
      <c r="J629" s="173"/>
      <c r="K629" s="173"/>
      <c r="L629" s="173"/>
      <c r="M629" s="173"/>
      <c r="N629" s="173"/>
      <c r="O629" s="173"/>
      <c r="P629" s="173"/>
    </row>
    <row r="630" spans="1:16" ht="11.25" customHeight="1">
      <c r="A630" s="207"/>
      <c r="B630" s="208"/>
      <c r="C630" s="173"/>
      <c r="D630" s="173"/>
      <c r="E630" s="173"/>
      <c r="F630" s="173"/>
      <c r="G630" s="173"/>
      <c r="H630" s="173"/>
      <c r="I630" s="173"/>
      <c r="J630" s="173"/>
      <c r="K630" s="173"/>
      <c r="L630" s="173"/>
      <c r="M630" s="173"/>
      <c r="N630" s="173"/>
      <c r="O630" s="173"/>
      <c r="P630" s="173"/>
    </row>
    <row r="631" spans="1:16" ht="11.25" customHeight="1">
      <c r="A631" s="207"/>
      <c r="B631" s="208"/>
      <c r="C631" s="173"/>
      <c r="D631" s="173"/>
      <c r="E631" s="173"/>
      <c r="F631" s="173"/>
      <c r="G631" s="173"/>
      <c r="H631" s="173"/>
      <c r="I631" s="173"/>
      <c r="J631" s="173"/>
      <c r="K631" s="173"/>
      <c r="L631" s="173"/>
      <c r="M631" s="173"/>
      <c r="N631" s="173"/>
      <c r="O631" s="173"/>
      <c r="P631" s="173"/>
    </row>
    <row r="632" spans="1:16" ht="11.25" customHeight="1">
      <c r="A632" s="207"/>
      <c r="B632" s="208"/>
      <c r="C632" s="173"/>
      <c r="D632" s="173"/>
      <c r="E632" s="173"/>
      <c r="F632" s="173"/>
      <c r="G632" s="173"/>
      <c r="H632" s="173"/>
      <c r="I632" s="173"/>
      <c r="J632" s="173"/>
      <c r="K632" s="173"/>
      <c r="L632" s="173"/>
      <c r="M632" s="173"/>
      <c r="N632" s="173"/>
      <c r="O632" s="173"/>
      <c r="P632" s="173"/>
    </row>
    <row r="633" spans="1:16" ht="11.25" customHeight="1">
      <c r="A633" s="207"/>
      <c r="B633" s="208"/>
      <c r="C633" s="173"/>
      <c r="D633" s="173"/>
      <c r="E633" s="173"/>
      <c r="F633" s="173"/>
      <c r="G633" s="173"/>
      <c r="H633" s="173"/>
      <c r="I633" s="173"/>
      <c r="J633" s="173"/>
      <c r="K633" s="173"/>
      <c r="L633" s="173"/>
      <c r="M633" s="173"/>
      <c r="N633" s="173"/>
      <c r="O633" s="173"/>
      <c r="P633" s="173"/>
    </row>
    <row r="634" spans="1:16" ht="11.25" customHeight="1">
      <c r="A634" s="207"/>
      <c r="B634" s="208"/>
      <c r="C634" s="173"/>
      <c r="D634" s="173"/>
      <c r="E634" s="173"/>
      <c r="F634" s="173"/>
      <c r="G634" s="173"/>
      <c r="H634" s="173"/>
      <c r="I634" s="173"/>
      <c r="J634" s="173"/>
      <c r="K634" s="173"/>
      <c r="L634" s="173"/>
      <c r="M634" s="173"/>
      <c r="N634" s="173"/>
      <c r="O634" s="173"/>
      <c r="P634" s="173"/>
    </row>
    <row r="635" spans="1:16" ht="11.25" customHeight="1">
      <c r="A635" s="207"/>
      <c r="B635" s="208"/>
      <c r="C635" s="173"/>
      <c r="D635" s="173"/>
      <c r="E635" s="173"/>
      <c r="F635" s="173"/>
      <c r="G635" s="173"/>
      <c r="H635" s="173"/>
      <c r="I635" s="173"/>
      <c r="J635" s="173"/>
      <c r="K635" s="173"/>
      <c r="L635" s="173"/>
      <c r="M635" s="173"/>
      <c r="N635" s="173"/>
      <c r="O635" s="173"/>
      <c r="P635" s="173"/>
    </row>
    <row r="636" spans="1:16" ht="11.25" customHeight="1">
      <c r="A636" s="207"/>
      <c r="B636" s="208"/>
      <c r="C636" s="173"/>
      <c r="D636" s="173"/>
      <c r="E636" s="173"/>
      <c r="F636" s="173"/>
      <c r="G636" s="173"/>
      <c r="H636" s="173"/>
      <c r="I636" s="173"/>
      <c r="J636" s="173"/>
      <c r="K636" s="173"/>
      <c r="L636" s="173"/>
      <c r="M636" s="173"/>
      <c r="N636" s="173"/>
      <c r="O636" s="173"/>
      <c r="P636" s="173"/>
    </row>
    <row r="637" spans="1:16" ht="11.25" customHeight="1">
      <c r="A637" s="207"/>
      <c r="B637" s="208"/>
      <c r="C637" s="173"/>
      <c r="D637" s="173"/>
      <c r="E637" s="173"/>
      <c r="F637" s="173"/>
      <c r="G637" s="173"/>
      <c r="H637" s="173"/>
      <c r="I637" s="173"/>
      <c r="J637" s="173"/>
      <c r="K637" s="173"/>
      <c r="L637" s="173"/>
      <c r="M637" s="173"/>
      <c r="N637" s="173"/>
      <c r="O637" s="173"/>
      <c r="P637" s="173"/>
    </row>
    <row r="638" spans="1:16" ht="11.25" customHeight="1">
      <c r="A638" s="207"/>
      <c r="B638" s="208"/>
      <c r="C638" s="173"/>
      <c r="D638" s="173"/>
      <c r="E638" s="173"/>
      <c r="F638" s="173"/>
      <c r="G638" s="173"/>
      <c r="H638" s="173"/>
      <c r="I638" s="173"/>
      <c r="J638" s="173"/>
      <c r="K638" s="173"/>
      <c r="L638" s="173"/>
      <c r="M638" s="173"/>
      <c r="N638" s="173"/>
      <c r="O638" s="173"/>
      <c r="P638" s="173"/>
    </row>
    <row r="639" spans="1:16" ht="11.25" customHeight="1">
      <c r="A639" s="207"/>
      <c r="B639" s="208"/>
      <c r="C639" s="173"/>
      <c r="D639" s="173"/>
      <c r="E639" s="173"/>
      <c r="F639" s="173"/>
      <c r="G639" s="173"/>
      <c r="H639" s="173"/>
      <c r="I639" s="173"/>
      <c r="J639" s="173"/>
      <c r="K639" s="173"/>
      <c r="L639" s="173"/>
      <c r="M639" s="173"/>
      <c r="N639" s="173"/>
      <c r="O639" s="173"/>
      <c r="P639" s="173"/>
    </row>
    <row r="640" spans="1:16" ht="11.25" customHeight="1">
      <c r="A640" s="207"/>
      <c r="B640" s="208"/>
      <c r="C640" s="173"/>
      <c r="D640" s="173"/>
      <c r="E640" s="173"/>
      <c r="F640" s="173"/>
      <c r="G640" s="173"/>
      <c r="H640" s="173"/>
      <c r="I640" s="173"/>
      <c r="J640" s="173"/>
      <c r="K640" s="173"/>
      <c r="L640" s="173"/>
      <c r="M640" s="173"/>
      <c r="N640" s="173"/>
      <c r="O640" s="173"/>
      <c r="P640" s="173"/>
    </row>
    <row r="641" spans="1:16" ht="11.25" customHeight="1">
      <c r="A641" s="207"/>
      <c r="B641" s="208"/>
      <c r="C641" s="173"/>
      <c r="D641" s="173"/>
      <c r="E641" s="173"/>
      <c r="F641" s="173"/>
      <c r="G641" s="173"/>
      <c r="H641" s="173"/>
      <c r="I641" s="173"/>
      <c r="J641" s="173"/>
      <c r="K641" s="173"/>
      <c r="L641" s="173"/>
      <c r="M641" s="173"/>
      <c r="N641" s="173"/>
      <c r="O641" s="173"/>
      <c r="P641" s="173"/>
    </row>
    <row r="642" spans="1:16" ht="11.25" customHeight="1">
      <c r="A642" s="207"/>
      <c r="B642" s="208"/>
      <c r="C642" s="173"/>
      <c r="D642" s="173"/>
      <c r="E642" s="173"/>
      <c r="F642" s="173"/>
      <c r="G642" s="173"/>
      <c r="H642" s="173"/>
      <c r="I642" s="173"/>
      <c r="J642" s="173"/>
      <c r="K642" s="173"/>
      <c r="L642" s="173"/>
      <c r="M642" s="173"/>
      <c r="N642" s="173"/>
      <c r="O642" s="173"/>
      <c r="P642" s="173"/>
    </row>
    <row r="643" spans="1:16" ht="11.25" customHeight="1">
      <c r="A643" s="207"/>
      <c r="B643" s="208"/>
      <c r="C643" s="173"/>
      <c r="D643" s="173"/>
      <c r="E643" s="173"/>
      <c r="F643" s="173"/>
      <c r="G643" s="173"/>
      <c r="H643" s="173"/>
      <c r="I643" s="173"/>
      <c r="J643" s="173"/>
      <c r="K643" s="173"/>
      <c r="L643" s="173"/>
      <c r="M643" s="173"/>
      <c r="N643" s="173"/>
      <c r="O643" s="173"/>
      <c r="P643" s="173"/>
    </row>
    <row r="644" spans="1:16" ht="11.25" customHeight="1">
      <c r="A644" s="207"/>
      <c r="B644" s="208"/>
      <c r="C644" s="173"/>
      <c r="D644" s="173"/>
      <c r="E644" s="173"/>
      <c r="F644" s="173"/>
      <c r="G644" s="173"/>
      <c r="H644" s="173"/>
      <c r="I644" s="173"/>
      <c r="J644" s="173"/>
      <c r="K644" s="173"/>
      <c r="L644" s="173"/>
      <c r="M644" s="173"/>
      <c r="N644" s="173"/>
      <c r="O644" s="173"/>
      <c r="P644" s="173"/>
    </row>
    <row r="645" spans="1:16" ht="11.25" customHeight="1">
      <c r="A645" s="207"/>
      <c r="B645" s="208"/>
      <c r="C645" s="173"/>
      <c r="D645" s="173"/>
      <c r="E645" s="173"/>
      <c r="F645" s="173"/>
      <c r="G645" s="173"/>
      <c r="H645" s="173"/>
      <c r="I645" s="173"/>
      <c r="J645" s="173"/>
      <c r="K645" s="173"/>
      <c r="L645" s="173"/>
      <c r="M645" s="173"/>
      <c r="N645" s="173"/>
      <c r="O645" s="173"/>
      <c r="P645" s="173"/>
    </row>
    <row r="646" spans="1:16" ht="11.25" customHeight="1">
      <c r="A646" s="207"/>
      <c r="B646" s="208"/>
      <c r="C646" s="173"/>
      <c r="D646" s="173"/>
      <c r="E646" s="173"/>
      <c r="F646" s="173"/>
      <c r="G646" s="173"/>
      <c r="H646" s="173"/>
      <c r="I646" s="173"/>
      <c r="J646" s="173"/>
      <c r="K646" s="173"/>
      <c r="L646" s="173"/>
      <c r="M646" s="173"/>
      <c r="N646" s="173"/>
      <c r="O646" s="173"/>
      <c r="P646" s="173"/>
    </row>
    <row r="647" spans="1:16" ht="11.25" customHeight="1">
      <c r="A647" s="207"/>
      <c r="B647" s="208"/>
      <c r="C647" s="173"/>
      <c r="D647" s="173"/>
      <c r="E647" s="173"/>
      <c r="F647" s="173"/>
      <c r="G647" s="173"/>
      <c r="H647" s="173"/>
      <c r="I647" s="173"/>
      <c r="J647" s="173"/>
      <c r="K647" s="173"/>
      <c r="L647" s="173"/>
      <c r="M647" s="173"/>
      <c r="N647" s="173"/>
      <c r="O647" s="173"/>
      <c r="P647" s="173"/>
    </row>
    <row r="648" spans="1:16" ht="11.25" customHeight="1">
      <c r="A648" s="207"/>
      <c r="B648" s="208"/>
      <c r="C648" s="173"/>
      <c r="D648" s="173"/>
      <c r="E648" s="173"/>
      <c r="F648" s="173"/>
      <c r="G648" s="173"/>
      <c r="H648" s="173"/>
      <c r="I648" s="173"/>
      <c r="J648" s="173"/>
      <c r="K648" s="173"/>
      <c r="L648" s="173"/>
      <c r="M648" s="173"/>
      <c r="N648" s="173"/>
      <c r="O648" s="173"/>
      <c r="P648" s="173"/>
    </row>
    <row r="649" spans="1:16" ht="11.25" customHeight="1">
      <c r="A649" s="207"/>
      <c r="B649" s="208"/>
      <c r="C649" s="173"/>
      <c r="D649" s="173"/>
      <c r="E649" s="173"/>
      <c r="F649" s="173"/>
      <c r="G649" s="173"/>
      <c r="H649" s="173"/>
      <c r="I649" s="173"/>
      <c r="J649" s="173"/>
      <c r="K649" s="173"/>
      <c r="L649" s="173"/>
      <c r="M649" s="173"/>
      <c r="N649" s="173"/>
      <c r="O649" s="173"/>
      <c r="P649" s="173"/>
    </row>
    <row r="650" spans="1:16" ht="11.25" customHeight="1">
      <c r="A650" s="207"/>
      <c r="B650" s="208"/>
      <c r="C650" s="173"/>
      <c r="D650" s="173"/>
      <c r="E650" s="173"/>
      <c r="F650" s="173"/>
      <c r="G650" s="173"/>
      <c r="H650" s="173"/>
      <c r="I650" s="173"/>
      <c r="J650" s="173"/>
      <c r="K650" s="173"/>
      <c r="L650" s="173"/>
      <c r="M650" s="173"/>
      <c r="N650" s="173"/>
      <c r="O650" s="173"/>
      <c r="P650" s="173"/>
    </row>
    <row r="651" spans="1:16" ht="11.25" customHeight="1">
      <c r="A651" s="207"/>
      <c r="B651" s="208"/>
      <c r="C651" s="173"/>
      <c r="D651" s="173"/>
      <c r="E651" s="173"/>
      <c r="F651" s="173"/>
      <c r="G651" s="173"/>
      <c r="H651" s="173"/>
      <c r="I651" s="173"/>
      <c r="J651" s="173"/>
      <c r="K651" s="173"/>
      <c r="L651" s="173"/>
      <c r="M651" s="173"/>
      <c r="N651" s="173"/>
      <c r="O651" s="173"/>
      <c r="P651" s="173"/>
    </row>
    <row r="652" spans="1:16" ht="11.25" customHeight="1">
      <c r="A652" s="207"/>
      <c r="B652" s="208"/>
      <c r="C652" s="173"/>
      <c r="D652" s="173"/>
      <c r="E652" s="173"/>
      <c r="F652" s="173"/>
      <c r="G652" s="173"/>
      <c r="H652" s="173"/>
      <c r="I652" s="173"/>
      <c r="J652" s="173"/>
      <c r="K652" s="173"/>
      <c r="L652" s="173"/>
      <c r="M652" s="173"/>
      <c r="N652" s="173"/>
      <c r="O652" s="173"/>
      <c r="P652" s="173"/>
    </row>
    <row r="653" spans="1:16" ht="11.25" customHeight="1">
      <c r="A653" s="207"/>
      <c r="B653" s="208"/>
      <c r="C653" s="173"/>
      <c r="D653" s="173"/>
      <c r="E653" s="173"/>
      <c r="F653" s="173"/>
      <c r="G653" s="173"/>
      <c r="H653" s="173"/>
      <c r="I653" s="173"/>
      <c r="J653" s="173"/>
      <c r="K653" s="173"/>
      <c r="L653" s="173"/>
      <c r="M653" s="173"/>
      <c r="N653" s="173"/>
      <c r="O653" s="173"/>
      <c r="P653" s="173"/>
    </row>
    <row r="654" spans="1:16" ht="11.25" customHeight="1">
      <c r="A654" s="207"/>
      <c r="B654" s="208"/>
      <c r="C654" s="173"/>
      <c r="D654" s="173"/>
      <c r="E654" s="173"/>
      <c r="F654" s="173"/>
      <c r="G654" s="173"/>
      <c r="H654" s="173"/>
      <c r="I654" s="173"/>
      <c r="J654" s="173"/>
      <c r="K654" s="173"/>
      <c r="L654" s="173"/>
      <c r="M654" s="173"/>
      <c r="N654" s="173"/>
      <c r="O654" s="173"/>
      <c r="P654" s="173"/>
    </row>
    <row r="655" spans="1:16" ht="11.25" customHeight="1">
      <c r="A655" s="207"/>
      <c r="B655" s="208"/>
      <c r="C655" s="173"/>
      <c r="D655" s="173"/>
      <c r="E655" s="173"/>
      <c r="F655" s="173"/>
      <c r="G655" s="173"/>
      <c r="H655" s="173"/>
      <c r="I655" s="173"/>
      <c r="J655" s="173"/>
      <c r="K655" s="173"/>
      <c r="L655" s="173"/>
      <c r="M655" s="173"/>
      <c r="N655" s="173"/>
      <c r="O655" s="173"/>
      <c r="P655" s="173"/>
    </row>
    <row r="656" spans="1:16" ht="11.25" customHeight="1">
      <c r="A656" s="207"/>
      <c r="B656" s="208"/>
      <c r="C656" s="173"/>
      <c r="D656" s="173"/>
      <c r="E656" s="173"/>
      <c r="F656" s="173"/>
      <c r="G656" s="173"/>
      <c r="H656" s="173"/>
      <c r="I656" s="173"/>
      <c r="J656" s="173"/>
      <c r="K656" s="173"/>
      <c r="L656" s="173"/>
      <c r="M656" s="173"/>
      <c r="N656" s="173"/>
      <c r="O656" s="173"/>
      <c r="P656" s="173"/>
    </row>
    <row r="657" spans="1:16" ht="11.25" customHeight="1">
      <c r="A657" s="207"/>
      <c r="B657" s="208"/>
      <c r="C657" s="173"/>
      <c r="D657" s="173"/>
      <c r="E657" s="173"/>
      <c r="F657" s="173"/>
      <c r="G657" s="173"/>
      <c r="H657" s="173"/>
      <c r="I657" s="173"/>
      <c r="J657" s="173"/>
      <c r="K657" s="173"/>
      <c r="L657" s="173"/>
      <c r="M657" s="173"/>
      <c r="N657" s="173"/>
      <c r="O657" s="173"/>
      <c r="P657" s="173"/>
    </row>
    <row r="658" spans="1:16" ht="11.25" customHeight="1">
      <c r="A658" s="207"/>
      <c r="B658" s="208"/>
      <c r="C658" s="173"/>
      <c r="D658" s="173"/>
      <c r="E658" s="173"/>
      <c r="F658" s="173"/>
      <c r="G658" s="173"/>
      <c r="H658" s="173"/>
      <c r="I658" s="173"/>
      <c r="J658" s="173"/>
      <c r="K658" s="173"/>
      <c r="L658" s="173"/>
      <c r="M658" s="173"/>
      <c r="N658" s="173"/>
      <c r="O658" s="173"/>
      <c r="P658" s="173"/>
    </row>
    <row r="659" spans="1:16" ht="11.25" customHeight="1">
      <c r="A659" s="207"/>
      <c r="B659" s="208"/>
      <c r="C659" s="173"/>
      <c r="D659" s="173"/>
      <c r="E659" s="173"/>
      <c r="F659" s="173"/>
      <c r="G659" s="173"/>
      <c r="H659" s="173"/>
      <c r="I659" s="173"/>
      <c r="J659" s="173"/>
      <c r="K659" s="173"/>
      <c r="L659" s="173"/>
      <c r="M659" s="173"/>
      <c r="N659" s="173"/>
      <c r="O659" s="173"/>
      <c r="P659" s="173"/>
    </row>
    <row r="660" spans="1:16" ht="11.25" customHeight="1">
      <c r="A660" s="207"/>
      <c r="B660" s="208"/>
      <c r="C660" s="173"/>
      <c r="D660" s="173"/>
      <c r="E660" s="173"/>
      <c r="F660" s="173"/>
      <c r="G660" s="173"/>
      <c r="H660" s="173"/>
      <c r="I660" s="173"/>
      <c r="J660" s="173"/>
      <c r="K660" s="173"/>
      <c r="L660" s="173"/>
      <c r="M660" s="173"/>
      <c r="N660" s="173"/>
      <c r="O660" s="173"/>
      <c r="P660" s="173"/>
    </row>
    <row r="661" spans="1:16" ht="11.25" customHeight="1">
      <c r="A661" s="207"/>
      <c r="B661" s="208"/>
      <c r="C661" s="173"/>
      <c r="D661" s="173"/>
      <c r="E661" s="173"/>
      <c r="F661" s="173"/>
      <c r="G661" s="173"/>
      <c r="H661" s="173"/>
      <c r="I661" s="173"/>
      <c r="J661" s="173"/>
      <c r="K661" s="173"/>
      <c r="L661" s="173"/>
      <c r="M661" s="173"/>
      <c r="N661" s="173"/>
      <c r="O661" s="173"/>
      <c r="P661" s="173"/>
    </row>
    <row r="662" spans="1:16" ht="11.25" customHeight="1">
      <c r="A662" s="207"/>
      <c r="B662" s="208"/>
      <c r="C662" s="173"/>
      <c r="D662" s="173"/>
      <c r="E662" s="173"/>
      <c r="F662" s="173"/>
      <c r="G662" s="173"/>
      <c r="H662" s="173"/>
      <c r="I662" s="173"/>
      <c r="J662" s="173"/>
      <c r="K662" s="173"/>
      <c r="L662" s="173"/>
      <c r="M662" s="173"/>
      <c r="N662" s="173"/>
      <c r="O662" s="173"/>
      <c r="P662" s="173"/>
    </row>
    <row r="663" spans="1:16" ht="11.25" customHeight="1">
      <c r="A663" s="207"/>
      <c r="B663" s="208"/>
      <c r="C663" s="173"/>
      <c r="D663" s="173"/>
      <c r="E663" s="173"/>
      <c r="F663" s="173"/>
      <c r="G663" s="173"/>
      <c r="H663" s="173"/>
      <c r="I663" s="173"/>
      <c r="J663" s="173"/>
      <c r="K663" s="173"/>
      <c r="L663" s="173"/>
      <c r="M663" s="173"/>
      <c r="N663" s="173"/>
      <c r="O663" s="173"/>
      <c r="P663" s="173"/>
    </row>
    <row r="664" spans="1:16" ht="11.25" customHeight="1">
      <c r="A664" s="207"/>
      <c r="B664" s="208"/>
      <c r="C664" s="173"/>
      <c r="D664" s="173"/>
      <c r="E664" s="173"/>
      <c r="F664" s="173"/>
      <c r="G664" s="173"/>
      <c r="H664" s="173"/>
      <c r="I664" s="173"/>
      <c r="J664" s="173"/>
      <c r="K664" s="173"/>
      <c r="L664" s="173"/>
      <c r="M664" s="173"/>
      <c r="N664" s="173"/>
      <c r="O664" s="173"/>
      <c r="P664" s="173"/>
    </row>
    <row r="665" spans="1:16" ht="11.25" customHeight="1">
      <c r="A665" s="207"/>
      <c r="B665" s="208"/>
      <c r="C665" s="173"/>
      <c r="D665" s="173"/>
      <c r="E665" s="173"/>
      <c r="F665" s="173"/>
      <c r="G665" s="173"/>
      <c r="H665" s="173"/>
      <c r="I665" s="173"/>
      <c r="J665" s="173"/>
      <c r="K665" s="173"/>
      <c r="L665" s="173"/>
      <c r="M665" s="173"/>
      <c r="N665" s="173"/>
      <c r="O665" s="173"/>
      <c r="P665" s="173"/>
    </row>
    <row r="666" spans="1:16" ht="11.25" customHeight="1">
      <c r="A666" s="207"/>
      <c r="B666" s="208"/>
      <c r="C666" s="173"/>
      <c r="D666" s="173"/>
      <c r="E666" s="173"/>
      <c r="F666" s="173"/>
      <c r="G666" s="173"/>
      <c r="H666" s="173"/>
      <c r="I666" s="173"/>
      <c r="J666" s="173"/>
      <c r="K666" s="173"/>
      <c r="L666" s="173"/>
      <c r="M666" s="173"/>
      <c r="N666" s="173"/>
      <c r="O666" s="173"/>
      <c r="P666" s="173"/>
    </row>
    <row r="667" spans="1:16" ht="11.25" customHeight="1">
      <c r="A667" s="207"/>
      <c r="B667" s="208"/>
      <c r="C667" s="173"/>
      <c r="D667" s="173"/>
      <c r="E667" s="173"/>
      <c r="F667" s="173"/>
      <c r="G667" s="173"/>
      <c r="H667" s="173"/>
      <c r="I667" s="173"/>
      <c r="J667" s="173"/>
      <c r="K667" s="173"/>
      <c r="L667" s="173"/>
      <c r="M667" s="173"/>
      <c r="N667" s="173"/>
      <c r="O667" s="173"/>
      <c r="P667" s="173"/>
    </row>
    <row r="668" spans="1:16" ht="11.25" customHeight="1">
      <c r="A668" s="207"/>
      <c r="B668" s="208"/>
      <c r="C668" s="173"/>
      <c r="D668" s="173"/>
      <c r="E668" s="173"/>
      <c r="F668" s="173"/>
      <c r="G668" s="173"/>
      <c r="H668" s="173"/>
      <c r="I668" s="173"/>
      <c r="J668" s="173"/>
      <c r="K668" s="173"/>
      <c r="L668" s="173"/>
      <c r="M668" s="173"/>
      <c r="N668" s="173"/>
      <c r="O668" s="173"/>
      <c r="P668" s="173"/>
    </row>
    <row r="669" spans="1:16" ht="11.25" customHeight="1">
      <c r="A669" s="207"/>
      <c r="B669" s="208"/>
      <c r="C669" s="173"/>
      <c r="D669" s="173"/>
      <c r="E669" s="173"/>
      <c r="F669" s="173"/>
      <c r="G669" s="173"/>
      <c r="H669" s="173"/>
      <c r="I669" s="173"/>
      <c r="J669" s="173"/>
      <c r="K669" s="173"/>
      <c r="L669" s="173"/>
      <c r="M669" s="173"/>
      <c r="N669" s="173"/>
      <c r="O669" s="173"/>
      <c r="P669" s="173"/>
    </row>
    <row r="670" spans="1:16" ht="11.25" customHeight="1">
      <c r="A670" s="207"/>
      <c r="B670" s="208"/>
      <c r="C670" s="173"/>
      <c r="D670" s="173"/>
      <c r="E670" s="173"/>
      <c r="F670" s="173"/>
      <c r="G670" s="173"/>
      <c r="H670" s="173"/>
      <c r="I670" s="173"/>
      <c r="J670" s="173"/>
      <c r="K670" s="173"/>
      <c r="L670" s="173"/>
      <c r="M670" s="173"/>
      <c r="N670" s="173"/>
      <c r="O670" s="173"/>
      <c r="P670" s="173"/>
    </row>
    <row r="671" spans="1:16" ht="11.25" customHeight="1">
      <c r="A671" s="207"/>
      <c r="B671" s="208"/>
      <c r="C671" s="173"/>
      <c r="D671" s="173"/>
      <c r="E671" s="173"/>
      <c r="F671" s="173"/>
      <c r="G671" s="173"/>
      <c r="H671" s="173"/>
      <c r="I671" s="173"/>
      <c r="J671" s="173"/>
      <c r="K671" s="173"/>
      <c r="L671" s="173"/>
      <c r="M671" s="173"/>
      <c r="N671" s="173"/>
      <c r="O671" s="173"/>
      <c r="P671" s="173"/>
    </row>
    <row r="672" spans="1:16" ht="11.25" customHeight="1">
      <c r="A672" s="207"/>
      <c r="B672" s="208"/>
      <c r="C672" s="173"/>
      <c r="D672" s="173"/>
      <c r="E672" s="173"/>
      <c r="F672" s="173"/>
      <c r="G672" s="173"/>
      <c r="H672" s="173"/>
      <c r="I672" s="173"/>
      <c r="J672" s="173"/>
      <c r="K672" s="173"/>
      <c r="L672" s="173"/>
      <c r="M672" s="173"/>
      <c r="N672" s="173"/>
      <c r="O672" s="173"/>
      <c r="P672" s="173"/>
    </row>
    <row r="673" spans="1:16" ht="11.25" customHeight="1">
      <c r="A673" s="207"/>
      <c r="B673" s="208"/>
      <c r="C673" s="173"/>
      <c r="D673" s="173"/>
      <c r="E673" s="173"/>
      <c r="F673" s="173"/>
      <c r="G673" s="173"/>
      <c r="H673" s="173"/>
      <c r="I673" s="173"/>
      <c r="J673" s="173"/>
      <c r="K673" s="173"/>
      <c r="L673" s="173"/>
      <c r="M673" s="173"/>
      <c r="N673" s="173"/>
      <c r="O673" s="173"/>
      <c r="P673" s="173"/>
    </row>
    <row r="674" spans="1:16" ht="11.25" customHeight="1">
      <c r="A674" s="207"/>
      <c r="B674" s="208"/>
      <c r="C674" s="173"/>
      <c r="D674" s="173"/>
      <c r="E674" s="173"/>
      <c r="F674" s="173"/>
      <c r="G674" s="173"/>
      <c r="H674" s="173"/>
      <c r="I674" s="173"/>
      <c r="J674" s="173"/>
      <c r="K674" s="173"/>
      <c r="L674" s="173"/>
      <c r="M674" s="173"/>
      <c r="N674" s="173"/>
      <c r="O674" s="173"/>
      <c r="P674" s="173"/>
    </row>
    <row r="675" spans="1:16" ht="11.25" customHeight="1">
      <c r="A675" s="207"/>
      <c r="B675" s="208"/>
      <c r="C675" s="173"/>
      <c r="D675" s="173"/>
      <c r="E675" s="173"/>
      <c r="F675" s="173"/>
      <c r="G675" s="173"/>
      <c r="H675" s="173"/>
      <c r="I675" s="173"/>
      <c r="J675" s="173"/>
      <c r="K675" s="173"/>
      <c r="L675" s="173"/>
      <c r="M675" s="173"/>
      <c r="N675" s="173"/>
      <c r="O675" s="173"/>
      <c r="P675" s="173"/>
    </row>
    <row r="676" spans="1:16" ht="11.25" customHeight="1">
      <c r="A676" s="207"/>
      <c r="B676" s="208"/>
      <c r="C676" s="173"/>
      <c r="D676" s="173"/>
      <c r="E676" s="173"/>
      <c r="F676" s="173"/>
      <c r="G676" s="173"/>
      <c r="H676" s="173"/>
      <c r="I676" s="173"/>
      <c r="J676" s="173"/>
      <c r="K676" s="173"/>
      <c r="L676" s="173"/>
      <c r="M676" s="173"/>
      <c r="N676" s="173"/>
      <c r="O676" s="173"/>
      <c r="P676" s="173"/>
    </row>
    <row r="677" spans="1:16" ht="11.25" customHeight="1">
      <c r="A677" s="207"/>
      <c r="B677" s="208"/>
      <c r="C677" s="173"/>
      <c r="D677" s="173"/>
      <c r="E677" s="173"/>
      <c r="F677" s="173"/>
      <c r="G677" s="173"/>
      <c r="H677" s="173"/>
      <c r="I677" s="173"/>
      <c r="J677" s="173"/>
      <c r="K677" s="173"/>
      <c r="L677" s="173"/>
      <c r="M677" s="173"/>
      <c r="N677" s="173"/>
      <c r="O677" s="173"/>
      <c r="P677" s="173"/>
    </row>
    <row r="678" spans="1:16" ht="11.25" customHeight="1">
      <c r="A678" s="207"/>
      <c r="B678" s="208"/>
      <c r="C678" s="173"/>
      <c r="D678" s="173"/>
      <c r="E678" s="173"/>
      <c r="F678" s="173"/>
      <c r="G678" s="173"/>
      <c r="H678" s="173"/>
      <c r="I678" s="173"/>
      <c r="J678" s="173"/>
      <c r="K678" s="173"/>
      <c r="L678" s="173"/>
      <c r="M678" s="173"/>
      <c r="N678" s="173"/>
      <c r="O678" s="173"/>
      <c r="P678" s="173"/>
    </row>
    <row r="679" spans="1:16" ht="11.25" customHeight="1">
      <c r="A679" s="207"/>
      <c r="B679" s="208"/>
      <c r="C679" s="173"/>
      <c r="D679" s="173"/>
      <c r="E679" s="173"/>
      <c r="F679" s="173"/>
      <c r="G679" s="173"/>
      <c r="H679" s="173"/>
      <c r="I679" s="173"/>
      <c r="J679" s="173"/>
      <c r="K679" s="173"/>
      <c r="L679" s="173"/>
      <c r="M679" s="173"/>
      <c r="N679" s="173"/>
      <c r="O679" s="173"/>
      <c r="P679" s="173"/>
    </row>
    <row r="680" spans="1:16" ht="11.25" customHeight="1">
      <c r="A680" s="207"/>
      <c r="B680" s="208"/>
      <c r="C680" s="173"/>
      <c r="D680" s="173"/>
      <c r="E680" s="173"/>
      <c r="F680" s="173"/>
      <c r="G680" s="173"/>
      <c r="H680" s="173"/>
      <c r="I680" s="173"/>
      <c r="J680" s="173"/>
      <c r="K680" s="173"/>
      <c r="L680" s="173"/>
      <c r="M680" s="173"/>
      <c r="N680" s="173"/>
      <c r="O680" s="173"/>
      <c r="P680" s="173"/>
    </row>
    <row r="681" spans="1:16" ht="11.25" customHeight="1">
      <c r="A681" s="207"/>
      <c r="B681" s="208"/>
      <c r="C681" s="173"/>
      <c r="D681" s="173"/>
      <c r="E681" s="173"/>
      <c r="F681" s="173"/>
      <c r="G681" s="173"/>
      <c r="H681" s="173"/>
      <c r="I681" s="173"/>
      <c r="J681" s="173"/>
      <c r="K681" s="173"/>
      <c r="L681" s="173"/>
      <c r="M681" s="173"/>
      <c r="N681" s="173"/>
      <c r="O681" s="173"/>
      <c r="P681" s="173"/>
    </row>
    <row r="682" spans="1:16" ht="11.25" customHeight="1">
      <c r="A682" s="207"/>
      <c r="B682" s="208"/>
      <c r="C682" s="173"/>
      <c r="D682" s="173"/>
      <c r="E682" s="173"/>
      <c r="F682" s="173"/>
      <c r="G682" s="173"/>
      <c r="H682" s="173"/>
      <c r="I682" s="173"/>
      <c r="J682" s="173"/>
      <c r="K682" s="173"/>
      <c r="L682" s="173"/>
      <c r="M682" s="173"/>
      <c r="N682" s="173"/>
      <c r="O682" s="173"/>
      <c r="P682" s="173"/>
    </row>
    <row r="683" spans="1:16" ht="11.25" customHeight="1">
      <c r="A683" s="207"/>
      <c r="B683" s="208"/>
      <c r="C683" s="173"/>
      <c r="D683" s="173"/>
      <c r="E683" s="173"/>
      <c r="F683" s="173"/>
      <c r="G683" s="173"/>
      <c r="H683" s="173"/>
      <c r="I683" s="173"/>
      <c r="J683" s="173"/>
      <c r="K683" s="173"/>
      <c r="L683" s="173"/>
      <c r="M683" s="173"/>
      <c r="N683" s="173"/>
      <c r="O683" s="173"/>
      <c r="P683" s="173"/>
    </row>
    <row r="684" spans="1:16" ht="11.25" customHeight="1">
      <c r="A684" s="207"/>
      <c r="B684" s="208"/>
      <c r="C684" s="173"/>
      <c r="D684" s="173"/>
      <c r="E684" s="173"/>
      <c r="F684" s="173"/>
      <c r="G684" s="173"/>
      <c r="H684" s="173"/>
      <c r="I684" s="173"/>
      <c r="J684" s="173"/>
      <c r="K684" s="173"/>
      <c r="L684" s="173"/>
      <c r="M684" s="173"/>
      <c r="N684" s="173"/>
      <c r="O684" s="173"/>
      <c r="P684" s="173"/>
    </row>
    <row r="685" spans="1:16" ht="11.25" customHeight="1">
      <c r="A685" s="207"/>
      <c r="B685" s="208"/>
      <c r="C685" s="173"/>
      <c r="D685" s="173"/>
      <c r="E685" s="173"/>
      <c r="F685" s="173"/>
      <c r="G685" s="173"/>
      <c r="H685" s="173"/>
      <c r="I685" s="173"/>
      <c r="J685" s="173"/>
      <c r="K685" s="173"/>
      <c r="L685" s="173"/>
      <c r="M685" s="173"/>
      <c r="N685" s="173"/>
      <c r="O685" s="173"/>
      <c r="P685" s="173"/>
    </row>
    <row r="686" spans="1:16" ht="11.25" customHeight="1">
      <c r="A686" s="207"/>
      <c r="B686" s="208"/>
      <c r="C686" s="173"/>
      <c r="D686" s="173"/>
      <c r="E686" s="173"/>
      <c r="F686" s="173"/>
      <c r="G686" s="173"/>
      <c r="H686" s="173"/>
      <c r="I686" s="173"/>
      <c r="J686" s="173"/>
      <c r="K686" s="173"/>
      <c r="L686" s="173"/>
      <c r="M686" s="173"/>
      <c r="N686" s="173"/>
      <c r="O686" s="173"/>
      <c r="P686" s="173"/>
    </row>
    <row r="687" spans="1:16" ht="11.25" customHeight="1">
      <c r="A687" s="207"/>
      <c r="B687" s="208"/>
      <c r="C687" s="173"/>
      <c r="D687" s="173"/>
      <c r="E687" s="173"/>
      <c r="F687" s="173"/>
      <c r="G687" s="173"/>
      <c r="H687" s="173"/>
      <c r="I687" s="173"/>
      <c r="J687" s="173"/>
      <c r="K687" s="173"/>
      <c r="L687" s="173"/>
      <c r="M687" s="173"/>
      <c r="N687" s="173"/>
      <c r="O687" s="173"/>
      <c r="P687" s="173"/>
    </row>
    <row r="688" spans="1:16" ht="11.25" customHeight="1">
      <c r="A688" s="207"/>
      <c r="B688" s="208"/>
      <c r="C688" s="173"/>
      <c r="D688" s="173"/>
      <c r="E688" s="173"/>
      <c r="F688" s="173"/>
      <c r="G688" s="173"/>
      <c r="H688" s="173"/>
      <c r="I688" s="173"/>
      <c r="J688" s="173"/>
      <c r="K688" s="173"/>
      <c r="L688" s="173"/>
      <c r="M688" s="173"/>
      <c r="N688" s="173"/>
      <c r="O688" s="173"/>
      <c r="P688" s="173"/>
    </row>
    <row r="689" spans="1:16" ht="11.25" customHeight="1">
      <c r="A689" s="207"/>
      <c r="B689" s="208"/>
      <c r="C689" s="173"/>
      <c r="D689" s="173"/>
      <c r="E689" s="173"/>
      <c r="F689" s="173"/>
      <c r="G689" s="173"/>
      <c r="H689" s="173"/>
      <c r="I689" s="173"/>
      <c r="J689" s="173"/>
      <c r="K689" s="173"/>
      <c r="L689" s="173"/>
      <c r="M689" s="173"/>
      <c r="N689" s="173"/>
      <c r="O689" s="173"/>
      <c r="P689" s="173"/>
    </row>
    <row r="690" spans="1:16" ht="11.25" customHeight="1">
      <c r="A690" s="207"/>
      <c r="B690" s="208"/>
      <c r="C690" s="173"/>
      <c r="D690" s="173"/>
      <c r="E690" s="173"/>
      <c r="F690" s="173"/>
      <c r="G690" s="173"/>
      <c r="H690" s="173"/>
      <c r="I690" s="173"/>
      <c r="J690" s="173"/>
      <c r="K690" s="173"/>
      <c r="L690" s="173"/>
      <c r="M690" s="173"/>
      <c r="N690" s="173"/>
      <c r="O690" s="173"/>
      <c r="P690" s="173"/>
    </row>
    <row r="691" spans="1:16" ht="11.25" customHeight="1">
      <c r="A691" s="207"/>
      <c r="B691" s="208"/>
      <c r="C691" s="173"/>
      <c r="D691" s="173"/>
      <c r="E691" s="173"/>
      <c r="F691" s="173"/>
      <c r="G691" s="173"/>
      <c r="H691" s="173"/>
      <c r="I691" s="173"/>
      <c r="J691" s="173"/>
      <c r="K691" s="173"/>
      <c r="L691" s="173"/>
      <c r="M691" s="173"/>
      <c r="N691" s="173"/>
      <c r="O691" s="173"/>
      <c r="P691" s="173"/>
    </row>
    <row r="692" spans="1:16" ht="11.25" customHeight="1">
      <c r="A692" s="207"/>
      <c r="B692" s="208"/>
      <c r="C692" s="173"/>
      <c r="D692" s="173"/>
      <c r="E692" s="173"/>
      <c r="F692" s="173"/>
      <c r="G692" s="173"/>
      <c r="H692" s="173"/>
      <c r="I692" s="173"/>
      <c r="J692" s="173"/>
      <c r="K692" s="173"/>
      <c r="L692" s="173"/>
      <c r="M692" s="173"/>
      <c r="N692" s="173"/>
      <c r="O692" s="173"/>
      <c r="P692" s="173"/>
    </row>
    <row r="693" spans="1:16" ht="11.25" customHeight="1">
      <c r="A693" s="207"/>
      <c r="B693" s="208"/>
      <c r="C693" s="173"/>
      <c r="D693" s="173"/>
      <c r="E693" s="173"/>
      <c r="F693" s="173"/>
      <c r="G693" s="173"/>
      <c r="H693" s="173"/>
      <c r="I693" s="173"/>
      <c r="J693" s="173"/>
      <c r="K693" s="173"/>
      <c r="L693" s="173"/>
      <c r="M693" s="173"/>
      <c r="N693" s="173"/>
      <c r="O693" s="173"/>
      <c r="P693" s="173"/>
    </row>
    <row r="694" spans="1:16" ht="11.25" customHeight="1">
      <c r="A694" s="207"/>
      <c r="B694" s="208"/>
      <c r="C694" s="173"/>
      <c r="D694" s="173"/>
      <c r="E694" s="173"/>
      <c r="F694" s="173"/>
      <c r="G694" s="173"/>
      <c r="H694" s="173"/>
      <c r="I694" s="173"/>
      <c r="J694" s="173"/>
      <c r="K694" s="173"/>
      <c r="L694" s="173"/>
      <c r="M694" s="173"/>
      <c r="N694" s="173"/>
      <c r="O694" s="173"/>
      <c r="P694" s="173"/>
    </row>
    <row r="695" spans="1:16" ht="11.25" customHeight="1">
      <c r="A695" s="207"/>
      <c r="B695" s="208"/>
      <c r="C695" s="173"/>
      <c r="D695" s="173"/>
      <c r="E695" s="173"/>
      <c r="F695" s="173"/>
      <c r="G695" s="173"/>
      <c r="H695" s="173"/>
      <c r="I695" s="173"/>
      <c r="J695" s="173"/>
      <c r="K695" s="173"/>
      <c r="L695" s="173"/>
      <c r="M695" s="173"/>
      <c r="N695" s="173"/>
      <c r="O695" s="173"/>
      <c r="P695" s="173"/>
    </row>
    <row r="696" spans="1:16" ht="11.25" customHeight="1">
      <c r="A696" s="207"/>
      <c r="B696" s="208"/>
      <c r="C696" s="173"/>
      <c r="D696" s="173"/>
      <c r="E696" s="173"/>
      <c r="F696" s="173"/>
      <c r="G696" s="173"/>
      <c r="H696" s="173"/>
      <c r="I696" s="173"/>
      <c r="J696" s="173"/>
      <c r="K696" s="173"/>
      <c r="L696" s="173"/>
      <c r="M696" s="173"/>
      <c r="N696" s="173"/>
      <c r="O696" s="173"/>
      <c r="P696" s="173"/>
    </row>
    <row r="697" spans="1:16" ht="11.25" customHeight="1">
      <c r="A697" s="207"/>
      <c r="B697" s="208"/>
      <c r="C697" s="173"/>
      <c r="D697" s="173"/>
      <c r="E697" s="173"/>
      <c r="F697" s="173"/>
      <c r="G697" s="173"/>
      <c r="H697" s="173"/>
      <c r="I697" s="173"/>
      <c r="J697" s="173"/>
      <c r="K697" s="173"/>
      <c r="L697" s="173"/>
      <c r="M697" s="173"/>
      <c r="N697" s="173"/>
      <c r="O697" s="173"/>
      <c r="P697" s="173"/>
    </row>
    <row r="698" spans="1:16" ht="11.25" customHeight="1">
      <c r="A698" s="207"/>
      <c r="B698" s="208"/>
      <c r="C698" s="173"/>
      <c r="D698" s="173"/>
      <c r="E698" s="173"/>
      <c r="F698" s="173"/>
      <c r="G698" s="173"/>
      <c r="H698" s="173"/>
      <c r="I698" s="173"/>
      <c r="J698" s="173"/>
      <c r="K698" s="173"/>
      <c r="L698" s="173"/>
      <c r="M698" s="173"/>
      <c r="N698" s="173"/>
      <c r="O698" s="173"/>
      <c r="P698" s="173"/>
    </row>
    <row r="699" spans="1:16" ht="11.25" customHeight="1">
      <c r="A699" s="207"/>
      <c r="B699" s="208"/>
      <c r="C699" s="173"/>
      <c r="D699" s="173"/>
      <c r="E699" s="173"/>
      <c r="F699" s="173"/>
      <c r="G699" s="173"/>
      <c r="H699" s="173"/>
      <c r="I699" s="173"/>
      <c r="J699" s="173"/>
      <c r="K699" s="173"/>
      <c r="L699" s="173"/>
      <c r="M699" s="173"/>
      <c r="N699" s="173"/>
      <c r="O699" s="173"/>
      <c r="P699" s="173"/>
    </row>
    <row r="700" spans="1:16" ht="11.25" customHeight="1">
      <c r="A700" s="207"/>
      <c r="B700" s="208"/>
      <c r="C700" s="173"/>
      <c r="D700" s="173"/>
      <c r="E700" s="173"/>
      <c r="F700" s="173"/>
      <c r="G700" s="173"/>
      <c r="H700" s="173"/>
      <c r="I700" s="173"/>
      <c r="J700" s="173"/>
      <c r="K700" s="173"/>
      <c r="L700" s="173"/>
      <c r="M700" s="173"/>
      <c r="N700" s="173"/>
      <c r="O700" s="173"/>
      <c r="P700" s="173"/>
    </row>
    <row r="701" spans="1:16" ht="11.25" customHeight="1">
      <c r="A701" s="207"/>
      <c r="B701" s="208"/>
      <c r="C701" s="173"/>
      <c r="D701" s="173"/>
      <c r="E701" s="173"/>
      <c r="F701" s="173"/>
      <c r="G701" s="173"/>
      <c r="H701" s="173"/>
      <c r="I701" s="173"/>
      <c r="J701" s="173"/>
      <c r="K701" s="173"/>
      <c r="L701" s="173"/>
      <c r="M701" s="173"/>
      <c r="N701" s="173"/>
      <c r="O701" s="173"/>
      <c r="P701" s="173"/>
    </row>
    <row r="702" spans="1:16" ht="11.25" customHeight="1">
      <c r="A702" s="207"/>
      <c r="B702" s="208"/>
      <c r="C702" s="173"/>
      <c r="D702" s="173"/>
      <c r="E702" s="173"/>
      <c r="F702" s="173"/>
      <c r="G702" s="173"/>
      <c r="H702" s="173"/>
      <c r="I702" s="173"/>
      <c r="J702" s="173"/>
      <c r="K702" s="173"/>
      <c r="L702" s="173"/>
      <c r="M702" s="173"/>
      <c r="N702" s="173"/>
      <c r="O702" s="173"/>
      <c r="P702" s="173"/>
    </row>
    <row r="703" spans="1:16" ht="11.25" customHeight="1">
      <c r="A703" s="207"/>
      <c r="B703" s="208"/>
      <c r="C703" s="173"/>
      <c r="D703" s="173"/>
      <c r="E703" s="173"/>
      <c r="F703" s="173"/>
      <c r="G703" s="173"/>
      <c r="H703" s="173"/>
      <c r="I703" s="173"/>
      <c r="J703" s="173"/>
      <c r="K703" s="173"/>
      <c r="L703" s="173"/>
      <c r="M703" s="173"/>
      <c r="N703" s="173"/>
      <c r="O703" s="173"/>
      <c r="P703" s="173"/>
    </row>
    <row r="704" spans="1:16" ht="11.25" customHeight="1">
      <c r="A704" s="207"/>
      <c r="B704" s="208"/>
      <c r="C704" s="173"/>
      <c r="D704" s="173"/>
      <c r="E704" s="173"/>
      <c r="F704" s="173"/>
      <c r="G704" s="173"/>
      <c r="H704" s="173"/>
      <c r="I704" s="173"/>
      <c r="J704" s="173"/>
      <c r="K704" s="173"/>
      <c r="L704" s="173"/>
      <c r="M704" s="173"/>
      <c r="N704" s="173"/>
      <c r="O704" s="173"/>
      <c r="P704" s="173"/>
    </row>
    <row r="705" spans="1:16" ht="11.25" customHeight="1">
      <c r="A705" s="207"/>
      <c r="B705" s="208"/>
      <c r="C705" s="173"/>
      <c r="D705" s="173"/>
      <c r="E705" s="173"/>
      <c r="F705" s="173"/>
      <c r="G705" s="173"/>
      <c r="H705" s="173"/>
      <c r="I705" s="173"/>
      <c r="J705" s="173"/>
      <c r="K705" s="173"/>
      <c r="L705" s="173"/>
      <c r="M705" s="173"/>
      <c r="N705" s="173"/>
      <c r="O705" s="173"/>
      <c r="P705" s="173"/>
    </row>
    <row r="706" spans="1:16" ht="11.25" customHeight="1">
      <c r="A706" s="207"/>
      <c r="B706" s="208"/>
      <c r="C706" s="173"/>
      <c r="D706" s="173"/>
      <c r="E706" s="173"/>
      <c r="F706" s="173"/>
      <c r="G706" s="173"/>
      <c r="H706" s="173"/>
      <c r="I706" s="173"/>
      <c r="J706" s="173"/>
      <c r="K706" s="173"/>
      <c r="L706" s="173"/>
      <c r="M706" s="173"/>
      <c r="N706" s="173"/>
      <c r="O706" s="173"/>
      <c r="P706" s="173"/>
    </row>
    <row r="707" spans="1:16" ht="11.25" customHeight="1">
      <c r="A707" s="207"/>
      <c r="B707" s="208"/>
      <c r="C707" s="173"/>
      <c r="D707" s="173"/>
      <c r="E707" s="173"/>
      <c r="F707" s="173"/>
      <c r="G707" s="173"/>
      <c r="H707" s="173"/>
      <c r="I707" s="173"/>
      <c r="J707" s="173"/>
      <c r="K707" s="173"/>
      <c r="L707" s="173"/>
      <c r="M707" s="173"/>
      <c r="N707" s="173"/>
      <c r="O707" s="173"/>
      <c r="P707" s="173"/>
    </row>
    <row r="708" spans="1:16" ht="11.25" customHeight="1">
      <c r="A708" s="207"/>
      <c r="B708" s="208"/>
      <c r="C708" s="173"/>
      <c r="D708" s="173"/>
      <c r="E708" s="173"/>
      <c r="F708" s="173"/>
      <c r="G708" s="173"/>
      <c r="H708" s="173"/>
      <c r="I708" s="173"/>
      <c r="J708" s="173"/>
      <c r="K708" s="173"/>
      <c r="L708" s="173"/>
      <c r="M708" s="173"/>
      <c r="N708" s="173"/>
      <c r="O708" s="173"/>
      <c r="P708" s="173"/>
    </row>
    <row r="709" spans="1:16" ht="11.25" customHeight="1">
      <c r="A709" s="207"/>
      <c r="B709" s="208"/>
      <c r="C709" s="173"/>
      <c r="D709" s="173"/>
      <c r="E709" s="173"/>
      <c r="F709" s="173"/>
      <c r="G709" s="173"/>
      <c r="H709" s="173"/>
      <c r="I709" s="173"/>
      <c r="J709" s="173"/>
      <c r="K709" s="173"/>
      <c r="L709" s="173"/>
      <c r="M709" s="173"/>
      <c r="N709" s="173"/>
      <c r="O709" s="173"/>
      <c r="P709" s="173"/>
    </row>
    <row r="710" spans="1:16" ht="11.25" customHeight="1">
      <c r="A710" s="207"/>
      <c r="B710" s="208"/>
      <c r="C710" s="173"/>
      <c r="D710" s="173"/>
      <c r="E710" s="173"/>
      <c r="F710" s="173"/>
      <c r="G710" s="173"/>
      <c r="H710" s="173"/>
      <c r="I710" s="173"/>
      <c r="J710" s="173"/>
      <c r="K710" s="173"/>
      <c r="L710" s="173"/>
      <c r="M710" s="173"/>
      <c r="N710" s="173"/>
      <c r="O710" s="173"/>
      <c r="P710" s="173"/>
    </row>
    <row r="711" spans="1:16" ht="11.25" customHeight="1">
      <c r="A711" s="207"/>
      <c r="B711" s="208"/>
      <c r="C711" s="173"/>
      <c r="D711" s="173"/>
      <c r="E711" s="173"/>
      <c r="F711" s="173"/>
      <c r="G711" s="173"/>
      <c r="H711" s="173"/>
      <c r="I711" s="173"/>
      <c r="J711" s="173"/>
      <c r="K711" s="173"/>
      <c r="L711" s="173"/>
      <c r="M711" s="173"/>
      <c r="N711" s="173"/>
      <c r="O711" s="173"/>
      <c r="P711" s="173"/>
    </row>
    <row r="712" spans="1:16" ht="11.25" customHeight="1">
      <c r="A712" s="207"/>
      <c r="B712" s="208"/>
      <c r="C712" s="173"/>
      <c r="D712" s="173"/>
      <c r="E712" s="173"/>
      <c r="F712" s="173"/>
      <c r="G712" s="173"/>
      <c r="H712" s="173"/>
      <c r="I712" s="173"/>
      <c r="J712" s="173"/>
      <c r="K712" s="173"/>
      <c r="L712" s="173"/>
      <c r="M712" s="173"/>
      <c r="N712" s="173"/>
      <c r="O712" s="173"/>
      <c r="P712" s="173"/>
    </row>
    <row r="713" spans="1:16" ht="11.25" customHeight="1">
      <c r="A713" s="207"/>
      <c r="B713" s="208"/>
      <c r="C713" s="173"/>
      <c r="D713" s="173"/>
      <c r="E713" s="173"/>
      <c r="F713" s="173"/>
      <c r="G713" s="173"/>
      <c r="H713" s="173"/>
      <c r="I713" s="173"/>
      <c r="J713" s="173"/>
      <c r="K713" s="173"/>
      <c r="L713" s="173"/>
      <c r="M713" s="173"/>
      <c r="N713" s="173"/>
      <c r="O713" s="173"/>
      <c r="P713" s="173"/>
    </row>
    <row r="714" spans="1:16" ht="11.25" customHeight="1">
      <c r="A714" s="207"/>
      <c r="B714" s="208"/>
      <c r="C714" s="173"/>
      <c r="D714" s="173"/>
      <c r="E714" s="173"/>
      <c r="F714" s="173"/>
      <c r="G714" s="173"/>
      <c r="H714" s="173"/>
      <c r="I714" s="173"/>
      <c r="J714" s="173"/>
      <c r="K714" s="173"/>
      <c r="L714" s="173"/>
      <c r="M714" s="173"/>
      <c r="N714" s="173"/>
      <c r="O714" s="173"/>
      <c r="P714" s="173"/>
    </row>
    <row r="715" spans="1:16" ht="11.25" customHeight="1">
      <c r="A715" s="207"/>
      <c r="B715" s="208"/>
      <c r="C715" s="173"/>
      <c r="D715" s="173"/>
      <c r="E715" s="173"/>
      <c r="F715" s="173"/>
      <c r="G715" s="173"/>
      <c r="H715" s="173"/>
      <c r="I715" s="173"/>
      <c r="J715" s="173"/>
      <c r="K715" s="173"/>
      <c r="L715" s="173"/>
      <c r="M715" s="173"/>
      <c r="N715" s="173"/>
      <c r="O715" s="173"/>
      <c r="P715" s="173"/>
    </row>
    <row r="716" spans="1:16" ht="11.25" customHeight="1">
      <c r="A716" s="207"/>
      <c r="B716" s="208"/>
      <c r="C716" s="173"/>
      <c r="D716" s="173"/>
      <c r="E716" s="173"/>
      <c r="F716" s="173"/>
      <c r="G716" s="173"/>
      <c r="H716" s="173"/>
      <c r="I716" s="173"/>
      <c r="J716" s="173"/>
      <c r="K716" s="173"/>
      <c r="L716" s="173"/>
      <c r="M716" s="173"/>
      <c r="N716" s="173"/>
      <c r="O716" s="173"/>
      <c r="P716" s="173"/>
    </row>
    <row r="717" spans="1:16" ht="11.25" customHeight="1">
      <c r="A717" s="207"/>
      <c r="B717" s="208"/>
      <c r="C717" s="173"/>
      <c r="D717" s="173"/>
      <c r="E717" s="173"/>
      <c r="F717" s="173"/>
      <c r="G717" s="173"/>
      <c r="H717" s="173"/>
      <c r="I717" s="173"/>
      <c r="J717" s="173"/>
      <c r="K717" s="173"/>
      <c r="L717" s="173"/>
      <c r="M717" s="173"/>
      <c r="N717" s="173"/>
      <c r="O717" s="173"/>
      <c r="P717" s="173"/>
    </row>
    <row r="718" spans="1:16" ht="11.25" customHeight="1">
      <c r="A718" s="207"/>
      <c r="B718" s="208"/>
      <c r="C718" s="173"/>
      <c r="D718" s="173"/>
      <c r="E718" s="173"/>
      <c r="F718" s="173"/>
      <c r="G718" s="173"/>
      <c r="H718" s="173"/>
      <c r="I718" s="173"/>
      <c r="J718" s="173"/>
      <c r="K718" s="173"/>
      <c r="L718" s="173"/>
      <c r="M718" s="173"/>
      <c r="N718" s="173"/>
      <c r="O718" s="173"/>
      <c r="P718" s="173"/>
    </row>
    <row r="719" spans="1:16" ht="11.25" customHeight="1">
      <c r="A719" s="207"/>
      <c r="B719" s="208"/>
      <c r="C719" s="173"/>
      <c r="D719" s="173"/>
      <c r="E719" s="173"/>
      <c r="F719" s="173"/>
      <c r="G719" s="173"/>
      <c r="H719" s="173"/>
      <c r="I719" s="173"/>
      <c r="J719" s="173"/>
      <c r="K719" s="173"/>
      <c r="L719" s="173"/>
      <c r="M719" s="173"/>
      <c r="N719" s="173"/>
      <c r="O719" s="173"/>
      <c r="P719" s="173"/>
    </row>
    <row r="720" spans="1:16" ht="11.25" customHeight="1">
      <c r="A720" s="207"/>
      <c r="B720" s="208"/>
      <c r="C720" s="173"/>
      <c r="D720" s="173"/>
      <c r="E720" s="173"/>
      <c r="F720" s="173"/>
      <c r="G720" s="173"/>
      <c r="H720" s="173"/>
      <c r="I720" s="173"/>
      <c r="J720" s="173"/>
      <c r="K720" s="173"/>
      <c r="L720" s="173"/>
      <c r="M720" s="173"/>
      <c r="N720" s="173"/>
      <c r="O720" s="173"/>
      <c r="P720" s="173"/>
    </row>
    <row r="721" spans="1:16" ht="11.25" customHeight="1">
      <c r="A721" s="207"/>
      <c r="B721" s="208"/>
      <c r="C721" s="173"/>
      <c r="D721" s="173"/>
      <c r="E721" s="173"/>
      <c r="F721" s="173"/>
      <c r="G721" s="173"/>
      <c r="H721" s="173"/>
      <c r="I721" s="173"/>
      <c r="J721" s="173"/>
      <c r="K721" s="173"/>
      <c r="L721" s="173"/>
      <c r="M721" s="173"/>
      <c r="N721" s="173"/>
      <c r="O721" s="173"/>
      <c r="P721" s="173"/>
    </row>
    <row r="722" spans="1:16" ht="11.25" customHeight="1">
      <c r="A722" s="207"/>
      <c r="B722" s="208"/>
      <c r="C722" s="173"/>
      <c r="D722" s="173"/>
      <c r="E722" s="173"/>
      <c r="F722" s="173"/>
      <c r="G722" s="173"/>
      <c r="H722" s="173"/>
      <c r="I722" s="173"/>
      <c r="J722" s="173"/>
      <c r="K722" s="173"/>
      <c r="L722" s="173"/>
      <c r="M722" s="173"/>
      <c r="N722" s="173"/>
      <c r="O722" s="173"/>
      <c r="P722" s="173"/>
    </row>
    <row r="723" spans="1:16" ht="11.25" customHeight="1">
      <c r="A723" s="207"/>
      <c r="B723" s="208"/>
      <c r="C723" s="173"/>
      <c r="D723" s="173"/>
      <c r="E723" s="173"/>
      <c r="F723" s="173"/>
      <c r="G723" s="173"/>
      <c r="H723" s="173"/>
      <c r="I723" s="173"/>
      <c r="J723" s="173"/>
      <c r="K723" s="173"/>
      <c r="L723" s="173"/>
      <c r="M723" s="173"/>
      <c r="N723" s="173"/>
      <c r="O723" s="173"/>
      <c r="P723" s="173"/>
    </row>
    <row r="724" spans="1:16" ht="11.25" customHeight="1">
      <c r="A724" s="207"/>
      <c r="B724" s="208"/>
      <c r="C724" s="173"/>
      <c r="D724" s="173"/>
      <c r="E724" s="173"/>
      <c r="F724" s="173"/>
      <c r="G724" s="173"/>
      <c r="H724" s="173"/>
      <c r="I724" s="173"/>
      <c r="J724" s="173"/>
      <c r="K724" s="173"/>
      <c r="L724" s="173"/>
      <c r="M724" s="173"/>
      <c r="N724" s="173"/>
      <c r="O724" s="173"/>
      <c r="P724" s="173"/>
    </row>
    <row r="725" spans="1:16" ht="11.25" customHeight="1">
      <c r="A725" s="207"/>
      <c r="B725" s="208"/>
      <c r="C725" s="173"/>
      <c r="D725" s="173"/>
      <c r="E725" s="173"/>
      <c r="F725" s="173"/>
      <c r="G725" s="173"/>
      <c r="H725" s="173"/>
      <c r="I725" s="173"/>
      <c r="J725" s="173"/>
      <c r="K725" s="173"/>
      <c r="L725" s="173"/>
      <c r="M725" s="173"/>
      <c r="N725" s="173"/>
      <c r="O725" s="173"/>
      <c r="P725" s="173"/>
    </row>
    <row r="726" spans="1:16" ht="11.25" customHeight="1">
      <c r="A726" s="207"/>
      <c r="B726" s="208"/>
      <c r="C726" s="173"/>
      <c r="D726" s="173"/>
      <c r="E726" s="173"/>
      <c r="F726" s="173"/>
      <c r="G726" s="173"/>
      <c r="H726" s="173"/>
      <c r="I726" s="173"/>
      <c r="J726" s="173"/>
      <c r="K726" s="173"/>
      <c r="L726" s="173"/>
      <c r="M726" s="173"/>
      <c r="N726" s="173"/>
      <c r="O726" s="173"/>
      <c r="P726" s="173"/>
    </row>
    <row r="727" spans="1:16" ht="11.25" customHeight="1">
      <c r="A727" s="207"/>
      <c r="B727" s="208"/>
      <c r="C727" s="173"/>
      <c r="D727" s="173"/>
      <c r="E727" s="173"/>
      <c r="F727" s="173"/>
      <c r="G727" s="173"/>
      <c r="H727" s="173"/>
      <c r="I727" s="173"/>
      <c r="J727" s="173"/>
      <c r="K727" s="173"/>
      <c r="L727" s="173"/>
      <c r="M727" s="173"/>
      <c r="N727" s="173"/>
      <c r="O727" s="173"/>
      <c r="P727" s="173"/>
    </row>
    <row r="728" spans="1:16" ht="11.25" customHeight="1">
      <c r="A728" s="207"/>
      <c r="B728" s="208"/>
      <c r="C728" s="173"/>
      <c r="D728" s="173"/>
      <c r="E728" s="173"/>
      <c r="F728" s="173"/>
      <c r="G728" s="173"/>
      <c r="H728" s="173"/>
      <c r="I728" s="173"/>
      <c r="J728" s="173"/>
      <c r="K728" s="173"/>
      <c r="L728" s="173"/>
      <c r="M728" s="173"/>
      <c r="N728" s="173"/>
      <c r="O728" s="173"/>
      <c r="P728" s="173"/>
    </row>
    <row r="729" spans="1:16" ht="11.25" customHeight="1">
      <c r="A729" s="207"/>
      <c r="B729" s="208"/>
      <c r="C729" s="173"/>
      <c r="D729" s="173"/>
      <c r="E729" s="173"/>
      <c r="F729" s="173"/>
      <c r="G729" s="173"/>
      <c r="H729" s="173"/>
      <c r="I729" s="173"/>
      <c r="J729" s="173"/>
      <c r="K729" s="173"/>
      <c r="L729" s="173"/>
      <c r="M729" s="173"/>
      <c r="N729" s="173"/>
      <c r="O729" s="173"/>
      <c r="P729" s="173"/>
    </row>
    <row r="730" spans="1:16" ht="11.25" customHeight="1">
      <c r="A730" s="207"/>
      <c r="B730" s="208"/>
      <c r="C730" s="173"/>
      <c r="D730" s="173"/>
      <c r="E730" s="173"/>
      <c r="F730" s="173"/>
      <c r="G730" s="173"/>
      <c r="H730" s="173"/>
      <c r="I730" s="173"/>
      <c r="J730" s="173"/>
      <c r="K730" s="173"/>
      <c r="L730" s="173"/>
      <c r="M730" s="173"/>
      <c r="N730" s="173"/>
      <c r="O730" s="173"/>
      <c r="P730" s="173"/>
    </row>
    <row r="731" spans="1:16" ht="11.25" customHeight="1">
      <c r="A731" s="207"/>
      <c r="B731" s="208"/>
      <c r="C731" s="173"/>
      <c r="D731" s="173"/>
      <c r="E731" s="173"/>
      <c r="F731" s="173"/>
      <c r="G731" s="173"/>
      <c r="H731" s="173"/>
      <c r="I731" s="173"/>
      <c r="J731" s="173"/>
      <c r="K731" s="173"/>
      <c r="L731" s="173"/>
      <c r="M731" s="173"/>
      <c r="N731" s="173"/>
      <c r="O731" s="173"/>
      <c r="P731" s="173"/>
    </row>
    <row r="732" spans="1:16" ht="11.25" customHeight="1">
      <c r="A732" s="207"/>
      <c r="B732" s="208"/>
      <c r="C732" s="173"/>
      <c r="D732" s="173"/>
      <c r="E732" s="173"/>
      <c r="F732" s="173"/>
      <c r="G732" s="173"/>
      <c r="H732" s="173"/>
      <c r="I732" s="173"/>
      <c r="J732" s="173"/>
      <c r="K732" s="173"/>
      <c r="L732" s="173"/>
      <c r="M732" s="173"/>
      <c r="N732" s="173"/>
      <c r="O732" s="173"/>
      <c r="P732" s="173"/>
    </row>
    <row r="733" spans="1:16" ht="11.25" customHeight="1">
      <c r="A733" s="207"/>
      <c r="B733" s="208"/>
      <c r="C733" s="173"/>
      <c r="D733" s="173"/>
      <c r="E733" s="173"/>
      <c r="F733" s="173"/>
      <c r="G733" s="173"/>
      <c r="H733" s="173"/>
      <c r="I733" s="173"/>
      <c r="J733" s="173"/>
      <c r="K733" s="173"/>
      <c r="L733" s="173"/>
      <c r="M733" s="173"/>
      <c r="N733" s="173"/>
      <c r="O733" s="173"/>
      <c r="P733" s="173"/>
    </row>
    <row r="734" spans="1:16" ht="11.25" customHeight="1">
      <c r="A734" s="207"/>
      <c r="B734" s="208"/>
      <c r="C734" s="173"/>
      <c r="D734" s="173"/>
      <c r="E734" s="173"/>
      <c r="F734" s="173"/>
      <c r="G734" s="173"/>
      <c r="H734" s="173"/>
      <c r="I734" s="173"/>
      <c r="J734" s="173"/>
      <c r="K734" s="173"/>
      <c r="L734" s="173"/>
      <c r="M734" s="173"/>
      <c r="N734" s="173"/>
      <c r="O734" s="173"/>
      <c r="P734" s="173"/>
    </row>
    <row r="735" spans="1:16" ht="11.25" customHeight="1">
      <c r="A735" s="207"/>
      <c r="B735" s="208"/>
      <c r="C735" s="173"/>
      <c r="D735" s="173"/>
      <c r="E735" s="173"/>
      <c r="F735" s="173"/>
      <c r="G735" s="173"/>
      <c r="H735" s="173"/>
      <c r="I735" s="173"/>
      <c r="J735" s="173"/>
      <c r="K735" s="173"/>
      <c r="L735" s="173"/>
      <c r="M735" s="173"/>
      <c r="N735" s="173"/>
      <c r="O735" s="173"/>
      <c r="P735" s="173"/>
    </row>
    <row r="736" spans="1:16" ht="11.25" customHeight="1">
      <c r="A736" s="207"/>
      <c r="B736" s="208"/>
      <c r="C736" s="173"/>
      <c r="D736" s="173"/>
      <c r="E736" s="173"/>
      <c r="F736" s="173"/>
      <c r="G736" s="173"/>
      <c r="H736" s="173"/>
      <c r="I736" s="173"/>
      <c r="J736" s="173"/>
      <c r="K736" s="173"/>
      <c r="L736" s="173"/>
      <c r="M736" s="173"/>
      <c r="N736" s="173"/>
      <c r="O736" s="173"/>
      <c r="P736" s="173"/>
    </row>
    <row r="737" spans="1:16" ht="11.25" customHeight="1">
      <c r="A737" s="207"/>
      <c r="B737" s="208"/>
      <c r="C737" s="173"/>
      <c r="D737" s="173"/>
      <c r="E737" s="173"/>
      <c r="F737" s="173"/>
      <c r="G737" s="173"/>
      <c r="H737" s="173"/>
      <c r="I737" s="173"/>
      <c r="J737" s="173"/>
      <c r="K737" s="173"/>
      <c r="L737" s="173"/>
      <c r="M737" s="173"/>
      <c r="N737" s="173"/>
      <c r="O737" s="173"/>
      <c r="P737" s="173"/>
    </row>
    <row r="738" spans="1:16" ht="11.25" customHeight="1">
      <c r="A738" s="207"/>
      <c r="B738" s="208"/>
      <c r="C738" s="173"/>
      <c r="D738" s="173"/>
      <c r="E738" s="173"/>
      <c r="F738" s="173"/>
      <c r="G738" s="173"/>
      <c r="H738" s="173"/>
      <c r="I738" s="173"/>
      <c r="J738" s="173"/>
      <c r="K738" s="173"/>
      <c r="L738" s="173"/>
      <c r="M738" s="173"/>
      <c r="N738" s="173"/>
      <c r="O738" s="173"/>
      <c r="P738" s="173"/>
    </row>
    <row r="739" spans="1:16" ht="11.25" customHeight="1">
      <c r="A739" s="207"/>
      <c r="B739" s="208"/>
      <c r="C739" s="173"/>
      <c r="D739" s="173"/>
      <c r="E739" s="173"/>
      <c r="F739" s="173"/>
      <c r="G739" s="173"/>
      <c r="H739" s="173"/>
      <c r="I739" s="173"/>
      <c r="J739" s="173"/>
      <c r="K739" s="173"/>
      <c r="L739" s="173"/>
      <c r="M739" s="173"/>
      <c r="N739" s="173"/>
      <c r="O739" s="173"/>
      <c r="P739" s="173"/>
    </row>
    <row r="740" spans="1:16" ht="11.25" customHeight="1">
      <c r="A740" s="207"/>
      <c r="B740" s="208"/>
      <c r="C740" s="173"/>
      <c r="D740" s="173"/>
      <c r="E740" s="173"/>
      <c r="F740" s="173"/>
      <c r="G740" s="173"/>
      <c r="H740" s="173"/>
      <c r="I740" s="173"/>
      <c r="J740" s="173"/>
      <c r="K740" s="173"/>
      <c r="L740" s="173"/>
      <c r="M740" s="173"/>
      <c r="N740" s="173"/>
      <c r="O740" s="173"/>
      <c r="P740" s="173"/>
    </row>
    <row r="741" spans="1:16" ht="11.25" customHeight="1">
      <c r="A741" s="207"/>
      <c r="B741" s="208"/>
      <c r="C741" s="173"/>
      <c r="D741" s="173"/>
      <c r="E741" s="173"/>
      <c r="F741" s="173"/>
      <c r="G741" s="173"/>
      <c r="H741" s="173"/>
      <c r="I741" s="173"/>
      <c r="J741" s="173"/>
      <c r="K741" s="173"/>
      <c r="L741" s="173"/>
      <c r="M741" s="173"/>
      <c r="N741" s="173"/>
      <c r="O741" s="173"/>
      <c r="P741" s="173"/>
    </row>
    <row r="742" spans="1:16" ht="11.25" customHeight="1">
      <c r="A742" s="207"/>
      <c r="B742" s="208"/>
      <c r="C742" s="173"/>
      <c r="D742" s="173"/>
      <c r="E742" s="173"/>
      <c r="F742" s="173"/>
      <c r="G742" s="173"/>
      <c r="H742" s="173"/>
      <c r="I742" s="173"/>
      <c r="J742" s="173"/>
      <c r="K742" s="173"/>
      <c r="L742" s="173"/>
      <c r="M742" s="173"/>
      <c r="N742" s="173"/>
      <c r="O742" s="173"/>
      <c r="P742" s="173"/>
    </row>
    <row r="743" spans="1:16" ht="11.25" customHeight="1">
      <c r="A743" s="207"/>
      <c r="B743" s="208"/>
      <c r="C743" s="173"/>
      <c r="D743" s="173"/>
      <c r="E743" s="173"/>
      <c r="F743" s="173"/>
      <c r="G743" s="173"/>
      <c r="H743" s="173"/>
      <c r="I743" s="173"/>
      <c r="J743" s="173"/>
      <c r="K743" s="173"/>
      <c r="L743" s="173"/>
      <c r="M743" s="173"/>
      <c r="N743" s="173"/>
      <c r="O743" s="173"/>
      <c r="P743" s="173"/>
    </row>
    <row r="744" spans="1:16" ht="11.25" customHeight="1">
      <c r="A744" s="207"/>
      <c r="B744" s="208"/>
      <c r="C744" s="173"/>
      <c r="D744" s="173"/>
      <c r="E744" s="173"/>
      <c r="F744" s="173"/>
      <c r="G744" s="173"/>
      <c r="H744" s="173"/>
      <c r="I744" s="173"/>
      <c r="J744" s="173"/>
      <c r="K744" s="173"/>
      <c r="L744" s="173"/>
      <c r="M744" s="173"/>
      <c r="N744" s="173"/>
      <c r="O744" s="173"/>
      <c r="P744" s="173"/>
    </row>
    <row r="745" spans="1:16" ht="11.25" customHeight="1">
      <c r="A745" s="207"/>
      <c r="B745" s="208"/>
      <c r="C745" s="173"/>
      <c r="D745" s="173"/>
      <c r="E745" s="173"/>
      <c r="F745" s="173"/>
      <c r="G745" s="173"/>
      <c r="H745" s="173"/>
      <c r="I745" s="173"/>
      <c r="J745" s="173"/>
      <c r="K745" s="173"/>
      <c r="L745" s="173"/>
      <c r="M745" s="173"/>
      <c r="N745" s="173"/>
      <c r="O745" s="173"/>
      <c r="P745" s="173"/>
    </row>
    <row r="746" spans="1:16" ht="11.25" customHeight="1">
      <c r="A746" s="207"/>
      <c r="B746" s="208"/>
      <c r="C746" s="173"/>
      <c r="D746" s="173"/>
      <c r="E746" s="173"/>
      <c r="F746" s="173"/>
      <c r="G746" s="173"/>
      <c r="H746" s="173"/>
      <c r="I746" s="173"/>
      <c r="J746" s="173"/>
      <c r="K746" s="173"/>
      <c r="L746" s="173"/>
      <c r="M746" s="173"/>
      <c r="N746" s="173"/>
      <c r="O746" s="173"/>
      <c r="P746" s="173"/>
    </row>
    <row r="747" spans="1:16" ht="11.25" customHeight="1">
      <c r="A747" s="207"/>
      <c r="B747" s="208"/>
      <c r="C747" s="173"/>
      <c r="D747" s="173"/>
      <c r="E747" s="173"/>
      <c r="F747" s="173"/>
      <c r="G747" s="173"/>
      <c r="H747" s="173"/>
      <c r="I747" s="173"/>
      <c r="J747" s="173"/>
      <c r="K747" s="173"/>
      <c r="L747" s="173"/>
      <c r="M747" s="173"/>
      <c r="N747" s="173"/>
      <c r="O747" s="173"/>
      <c r="P747" s="173"/>
    </row>
    <row r="748" spans="1:16" ht="11.25" customHeight="1">
      <c r="A748" s="207"/>
      <c r="B748" s="208"/>
      <c r="C748" s="173"/>
      <c r="D748" s="173"/>
      <c r="E748" s="173"/>
      <c r="F748" s="173"/>
      <c r="G748" s="173"/>
      <c r="H748" s="173"/>
      <c r="I748" s="173"/>
      <c r="J748" s="173"/>
      <c r="K748" s="173"/>
      <c r="L748" s="173"/>
      <c r="M748" s="173"/>
      <c r="N748" s="173"/>
      <c r="O748" s="173"/>
      <c r="P748" s="173"/>
    </row>
    <row r="749" spans="1:16" ht="11.25" customHeight="1">
      <c r="A749" s="207"/>
      <c r="B749" s="208"/>
      <c r="C749" s="173"/>
      <c r="D749" s="173"/>
      <c r="E749" s="173"/>
      <c r="F749" s="173"/>
      <c r="G749" s="173"/>
      <c r="H749" s="173"/>
      <c r="I749" s="173"/>
      <c r="J749" s="173"/>
      <c r="K749" s="173"/>
      <c r="L749" s="173"/>
      <c r="M749" s="173"/>
      <c r="N749" s="173"/>
      <c r="O749" s="173"/>
      <c r="P749" s="173"/>
    </row>
    <row r="750" spans="1:16" ht="11.25" customHeight="1">
      <c r="A750" s="207"/>
      <c r="B750" s="208"/>
      <c r="C750" s="173"/>
      <c r="D750" s="173"/>
      <c r="E750" s="173"/>
      <c r="F750" s="173"/>
      <c r="G750" s="173"/>
      <c r="H750" s="173"/>
      <c r="I750" s="173"/>
      <c r="J750" s="173"/>
      <c r="K750" s="173"/>
      <c r="L750" s="173"/>
      <c r="M750" s="173"/>
      <c r="N750" s="173"/>
      <c r="O750" s="173"/>
      <c r="P750" s="173"/>
    </row>
    <row r="751" spans="1:16" ht="11.25" customHeight="1">
      <c r="A751" s="207"/>
      <c r="B751" s="208"/>
      <c r="C751" s="173"/>
      <c r="D751" s="173"/>
      <c r="E751" s="173"/>
      <c r="F751" s="173"/>
      <c r="G751" s="173"/>
      <c r="H751" s="173"/>
      <c r="I751" s="173"/>
      <c r="J751" s="173"/>
      <c r="K751" s="173"/>
      <c r="L751" s="173"/>
      <c r="M751" s="173"/>
      <c r="N751" s="173"/>
      <c r="O751" s="173"/>
      <c r="P751" s="173"/>
    </row>
    <row r="752" spans="1:16" ht="11.25" customHeight="1">
      <c r="A752" s="207"/>
      <c r="B752" s="208"/>
      <c r="C752" s="173"/>
      <c r="D752" s="173"/>
      <c r="E752" s="173"/>
      <c r="F752" s="173"/>
      <c r="G752" s="173"/>
      <c r="H752" s="173"/>
      <c r="I752" s="173"/>
      <c r="J752" s="173"/>
      <c r="K752" s="173"/>
      <c r="L752" s="173"/>
      <c r="M752" s="173"/>
      <c r="N752" s="173"/>
      <c r="O752" s="173"/>
      <c r="P752" s="173"/>
    </row>
    <row r="753" spans="1:16" ht="11.25" customHeight="1">
      <c r="A753" s="207"/>
      <c r="B753" s="208"/>
      <c r="C753" s="173"/>
      <c r="D753" s="173"/>
      <c r="E753" s="173"/>
      <c r="F753" s="173"/>
      <c r="G753" s="173"/>
      <c r="H753" s="173"/>
      <c r="I753" s="173"/>
      <c r="J753" s="173"/>
      <c r="K753" s="173"/>
      <c r="L753" s="173"/>
      <c r="M753" s="173"/>
      <c r="N753" s="173"/>
      <c r="O753" s="173"/>
      <c r="P753" s="173"/>
    </row>
    <row r="754" spans="1:16" ht="11.25" customHeight="1">
      <c r="A754" s="207"/>
      <c r="B754" s="208"/>
      <c r="C754" s="173"/>
      <c r="D754" s="173"/>
      <c r="E754" s="173"/>
      <c r="F754" s="173"/>
      <c r="G754" s="173"/>
      <c r="H754" s="173"/>
      <c r="I754" s="173"/>
      <c r="J754" s="173"/>
      <c r="K754" s="173"/>
      <c r="L754" s="173"/>
      <c r="M754" s="173"/>
      <c r="N754" s="173"/>
      <c r="O754" s="173"/>
      <c r="P754" s="173"/>
    </row>
    <row r="755" spans="1:16" ht="11.25" customHeight="1">
      <c r="A755" s="207"/>
      <c r="B755" s="208"/>
      <c r="C755" s="173"/>
      <c r="D755" s="173"/>
      <c r="E755" s="173"/>
      <c r="F755" s="173"/>
      <c r="G755" s="173"/>
      <c r="H755" s="173"/>
      <c r="I755" s="173"/>
      <c r="J755" s="173"/>
      <c r="K755" s="173"/>
      <c r="L755" s="173"/>
      <c r="M755" s="173"/>
      <c r="N755" s="173"/>
      <c r="O755" s="173"/>
      <c r="P755" s="173"/>
    </row>
    <row r="756" spans="1:16" ht="11.25" customHeight="1">
      <c r="A756" s="207"/>
      <c r="B756" s="208"/>
      <c r="C756" s="173"/>
      <c r="D756" s="173"/>
      <c r="E756" s="173"/>
      <c r="F756" s="173"/>
      <c r="G756" s="173"/>
      <c r="H756" s="173"/>
      <c r="I756" s="173"/>
      <c r="J756" s="173"/>
      <c r="K756" s="173"/>
      <c r="L756" s="173"/>
      <c r="M756" s="173"/>
      <c r="N756" s="173"/>
      <c r="O756" s="173"/>
      <c r="P756" s="173"/>
    </row>
    <row r="757" spans="1:16" ht="11.25" customHeight="1">
      <c r="A757" s="207"/>
      <c r="B757" s="208"/>
      <c r="C757" s="173"/>
      <c r="D757" s="173"/>
      <c r="E757" s="173"/>
      <c r="F757" s="173"/>
      <c r="G757" s="173"/>
      <c r="H757" s="173"/>
      <c r="I757" s="173"/>
      <c r="J757" s="173"/>
      <c r="K757" s="173"/>
      <c r="L757" s="173"/>
      <c r="M757" s="173"/>
      <c r="N757" s="173"/>
      <c r="O757" s="173"/>
      <c r="P757" s="173"/>
    </row>
    <row r="758" spans="1:16" ht="11.25" customHeight="1">
      <c r="A758" s="207"/>
      <c r="B758" s="208"/>
      <c r="C758" s="173"/>
      <c r="D758" s="173"/>
      <c r="E758" s="173"/>
      <c r="F758" s="173"/>
      <c r="G758" s="173"/>
      <c r="H758" s="173"/>
      <c r="I758" s="173"/>
      <c r="J758" s="173"/>
      <c r="K758" s="173"/>
      <c r="L758" s="173"/>
      <c r="M758" s="173"/>
      <c r="N758" s="173"/>
      <c r="O758" s="173"/>
      <c r="P758" s="173"/>
    </row>
    <row r="759" spans="1:16" ht="11.25" customHeight="1">
      <c r="A759" s="207"/>
      <c r="B759" s="208"/>
      <c r="C759" s="173"/>
      <c r="D759" s="173"/>
      <c r="E759" s="173"/>
      <c r="F759" s="173"/>
      <c r="G759" s="173"/>
      <c r="H759" s="173"/>
      <c r="I759" s="173"/>
      <c r="J759" s="173"/>
      <c r="K759" s="173"/>
      <c r="L759" s="173"/>
      <c r="M759" s="173"/>
      <c r="N759" s="173"/>
      <c r="O759" s="173"/>
      <c r="P759" s="173"/>
    </row>
    <row r="760" spans="1:16" ht="11.25" customHeight="1">
      <c r="A760" s="207"/>
      <c r="B760" s="208"/>
      <c r="C760" s="173"/>
      <c r="D760" s="173"/>
      <c r="E760" s="173"/>
      <c r="F760" s="173"/>
      <c r="G760" s="173"/>
      <c r="H760" s="173"/>
      <c r="I760" s="173"/>
      <c r="J760" s="173"/>
      <c r="K760" s="173"/>
      <c r="L760" s="173"/>
      <c r="M760" s="173"/>
      <c r="N760" s="173"/>
      <c r="O760" s="173"/>
      <c r="P760" s="173"/>
    </row>
    <row r="761" spans="1:16" ht="11.25" customHeight="1">
      <c r="A761" s="207"/>
      <c r="B761" s="208"/>
      <c r="C761" s="173"/>
      <c r="D761" s="173"/>
      <c r="E761" s="173"/>
      <c r="F761" s="173"/>
      <c r="G761" s="173"/>
      <c r="H761" s="173"/>
      <c r="I761" s="173"/>
      <c r="J761" s="173"/>
      <c r="K761" s="173"/>
      <c r="L761" s="173"/>
      <c r="M761" s="173"/>
      <c r="N761" s="173"/>
      <c r="O761" s="173"/>
      <c r="P761" s="173"/>
    </row>
    <row r="762" spans="1:16" ht="11.25" customHeight="1">
      <c r="A762" s="207"/>
      <c r="B762" s="208"/>
      <c r="C762" s="173"/>
      <c r="D762" s="173"/>
      <c r="E762" s="173"/>
      <c r="F762" s="173"/>
      <c r="G762" s="173"/>
      <c r="H762" s="173"/>
      <c r="I762" s="173"/>
      <c r="J762" s="173"/>
      <c r="K762" s="173"/>
      <c r="L762" s="173"/>
      <c r="M762" s="173"/>
      <c r="N762" s="173"/>
      <c r="O762" s="173"/>
      <c r="P762" s="173"/>
    </row>
    <row r="763" spans="1:16" ht="11.25" customHeight="1">
      <c r="A763" s="207"/>
      <c r="B763" s="208"/>
      <c r="C763" s="173"/>
      <c r="D763" s="173"/>
      <c r="E763" s="173"/>
      <c r="F763" s="173"/>
      <c r="G763" s="173"/>
      <c r="H763" s="173"/>
      <c r="I763" s="173"/>
      <c r="J763" s="173"/>
      <c r="K763" s="173"/>
      <c r="L763" s="173"/>
      <c r="M763" s="173"/>
      <c r="N763" s="173"/>
      <c r="O763" s="173"/>
      <c r="P763" s="173"/>
    </row>
    <row r="764" spans="1:16" ht="11.25" customHeight="1">
      <c r="A764" s="207"/>
      <c r="B764" s="208"/>
      <c r="C764" s="173"/>
      <c r="D764" s="173"/>
      <c r="E764" s="173"/>
      <c r="F764" s="173"/>
      <c r="G764" s="173"/>
      <c r="H764" s="173"/>
      <c r="I764" s="173"/>
      <c r="J764" s="173"/>
      <c r="K764" s="173"/>
      <c r="L764" s="173"/>
      <c r="M764" s="173"/>
      <c r="N764" s="173"/>
      <c r="O764" s="173"/>
      <c r="P764" s="173"/>
    </row>
    <row r="765" spans="1:16" ht="11.25" customHeight="1">
      <c r="A765" s="207"/>
      <c r="B765" s="208"/>
      <c r="C765" s="173"/>
      <c r="D765" s="173"/>
      <c r="E765" s="173"/>
      <c r="F765" s="173"/>
      <c r="G765" s="173"/>
      <c r="H765" s="173"/>
      <c r="I765" s="173"/>
      <c r="J765" s="173"/>
      <c r="K765" s="173"/>
      <c r="L765" s="173"/>
      <c r="M765" s="173"/>
      <c r="N765" s="173"/>
      <c r="O765" s="173"/>
      <c r="P765" s="173"/>
    </row>
    <row r="766" spans="1:16" ht="11.25" customHeight="1">
      <c r="A766" s="207"/>
      <c r="B766" s="208"/>
      <c r="C766" s="173"/>
      <c r="D766" s="173"/>
      <c r="E766" s="173"/>
      <c r="F766" s="173"/>
      <c r="G766" s="173"/>
      <c r="H766" s="173"/>
      <c r="I766" s="173"/>
      <c r="J766" s="173"/>
      <c r="K766" s="173"/>
      <c r="L766" s="173"/>
      <c r="M766" s="173"/>
      <c r="N766" s="173"/>
      <c r="O766" s="173"/>
      <c r="P766" s="173"/>
    </row>
    <row r="767" spans="1:16" ht="11.25" customHeight="1">
      <c r="A767" s="207"/>
      <c r="B767" s="208"/>
      <c r="C767" s="173"/>
      <c r="D767" s="173"/>
      <c r="E767" s="173"/>
      <c r="F767" s="173"/>
      <c r="G767" s="173"/>
      <c r="H767" s="173"/>
      <c r="I767" s="173"/>
      <c r="J767" s="173"/>
      <c r="K767" s="173"/>
      <c r="L767" s="173"/>
      <c r="M767" s="173"/>
      <c r="N767" s="173"/>
      <c r="O767" s="173"/>
      <c r="P767" s="173"/>
    </row>
    <row r="768" spans="1:16" ht="11.25" customHeight="1">
      <c r="A768" s="207"/>
      <c r="B768" s="208"/>
      <c r="C768" s="173"/>
      <c r="D768" s="173"/>
      <c r="E768" s="173"/>
      <c r="F768" s="173"/>
      <c r="G768" s="173"/>
      <c r="H768" s="173"/>
      <c r="I768" s="173"/>
      <c r="J768" s="173"/>
      <c r="K768" s="173"/>
      <c r="L768" s="173"/>
      <c r="M768" s="173"/>
      <c r="N768" s="173"/>
      <c r="O768" s="173"/>
      <c r="P768" s="173"/>
    </row>
    <row r="769" spans="1:16" ht="11.25" customHeight="1">
      <c r="A769" s="207"/>
      <c r="B769" s="208"/>
      <c r="C769" s="173"/>
      <c r="D769" s="173"/>
      <c r="E769" s="173"/>
      <c r="F769" s="173"/>
      <c r="G769" s="173"/>
      <c r="H769" s="173"/>
      <c r="I769" s="173"/>
      <c r="J769" s="173"/>
      <c r="K769" s="173"/>
      <c r="L769" s="173"/>
      <c r="M769" s="173"/>
      <c r="N769" s="173"/>
      <c r="O769" s="173"/>
      <c r="P769" s="173"/>
    </row>
    <row r="770" spans="1:16" ht="11.25" customHeight="1">
      <c r="A770" s="207"/>
      <c r="B770" s="208"/>
      <c r="C770" s="173"/>
      <c r="D770" s="173"/>
      <c r="E770" s="173"/>
      <c r="F770" s="173"/>
      <c r="G770" s="173"/>
      <c r="H770" s="173"/>
      <c r="I770" s="173"/>
      <c r="J770" s="173"/>
      <c r="K770" s="173"/>
      <c r="L770" s="173"/>
      <c r="M770" s="173"/>
      <c r="N770" s="173"/>
      <c r="O770" s="173"/>
      <c r="P770" s="173"/>
    </row>
    <row r="771" spans="1:16" ht="11.25" customHeight="1">
      <c r="A771" s="207"/>
      <c r="B771" s="208"/>
      <c r="C771" s="173"/>
      <c r="D771" s="173"/>
      <c r="E771" s="173"/>
      <c r="F771" s="173"/>
      <c r="G771" s="173"/>
      <c r="H771" s="173"/>
      <c r="I771" s="173"/>
      <c r="J771" s="173"/>
      <c r="K771" s="173"/>
      <c r="L771" s="173"/>
      <c r="M771" s="173"/>
      <c r="N771" s="173"/>
      <c r="O771" s="173"/>
      <c r="P771" s="173"/>
    </row>
    <row r="772" spans="1:16" ht="11.25" customHeight="1">
      <c r="A772" s="207"/>
      <c r="B772" s="208"/>
      <c r="C772" s="173"/>
      <c r="D772" s="173"/>
      <c r="E772" s="173"/>
      <c r="F772" s="173"/>
      <c r="G772" s="173"/>
      <c r="H772" s="173"/>
      <c r="I772" s="173"/>
      <c r="J772" s="173"/>
      <c r="K772" s="173"/>
      <c r="L772" s="173"/>
      <c r="M772" s="173"/>
      <c r="N772" s="173"/>
      <c r="O772" s="173"/>
      <c r="P772" s="173"/>
    </row>
    <row r="773" spans="1:16" ht="11.25" customHeight="1">
      <c r="A773" s="207"/>
      <c r="B773" s="208"/>
      <c r="C773" s="173"/>
      <c r="D773" s="173"/>
      <c r="E773" s="173"/>
      <c r="F773" s="173"/>
      <c r="G773" s="173"/>
      <c r="H773" s="173"/>
      <c r="I773" s="173"/>
      <c r="J773" s="173"/>
      <c r="K773" s="173"/>
      <c r="L773" s="173"/>
      <c r="M773" s="173"/>
      <c r="N773" s="173"/>
      <c r="O773" s="173"/>
      <c r="P773" s="173"/>
    </row>
    <row r="774" spans="1:16" ht="11.25" customHeight="1">
      <c r="A774" s="207"/>
      <c r="B774" s="208"/>
      <c r="C774" s="173"/>
      <c r="D774" s="173"/>
      <c r="E774" s="173"/>
      <c r="F774" s="173"/>
      <c r="G774" s="173"/>
      <c r="H774" s="173"/>
      <c r="I774" s="173"/>
      <c r="J774" s="173"/>
      <c r="K774" s="173"/>
      <c r="L774" s="173"/>
      <c r="M774" s="173"/>
      <c r="N774" s="173"/>
      <c r="O774" s="173"/>
      <c r="P774" s="173"/>
    </row>
    <row r="775" spans="1:16" ht="11.25" customHeight="1">
      <c r="A775" s="207"/>
      <c r="B775" s="208"/>
      <c r="C775" s="173"/>
      <c r="D775" s="173"/>
      <c r="E775" s="173"/>
      <c r="F775" s="173"/>
      <c r="G775" s="173"/>
      <c r="H775" s="173"/>
      <c r="I775" s="173"/>
      <c r="J775" s="173"/>
      <c r="K775" s="173"/>
      <c r="L775" s="173"/>
      <c r="M775" s="173"/>
      <c r="N775" s="173"/>
      <c r="O775" s="173"/>
      <c r="P775" s="173"/>
    </row>
    <row r="776" spans="1:16" ht="11.25" customHeight="1">
      <c r="A776" s="207"/>
      <c r="B776" s="208"/>
      <c r="C776" s="173"/>
      <c r="D776" s="173"/>
      <c r="E776" s="173"/>
      <c r="F776" s="173"/>
      <c r="G776" s="173"/>
      <c r="H776" s="173"/>
      <c r="I776" s="173"/>
      <c r="J776" s="173"/>
      <c r="K776" s="173"/>
      <c r="L776" s="173"/>
      <c r="M776" s="173"/>
      <c r="N776" s="173"/>
      <c r="O776" s="173"/>
      <c r="P776" s="173"/>
    </row>
    <row r="777" spans="1:16" ht="11.25" customHeight="1">
      <c r="A777" s="207"/>
      <c r="B777" s="208"/>
      <c r="C777" s="173"/>
      <c r="D777" s="173"/>
      <c r="E777" s="173"/>
      <c r="F777" s="173"/>
      <c r="G777" s="173"/>
      <c r="H777" s="173"/>
      <c r="I777" s="173"/>
      <c r="J777" s="173"/>
      <c r="K777" s="173"/>
      <c r="L777" s="173"/>
      <c r="M777" s="173"/>
      <c r="N777" s="173"/>
      <c r="O777" s="173"/>
      <c r="P777" s="173"/>
    </row>
    <row r="778" spans="1:16" ht="11.25" customHeight="1">
      <c r="A778" s="207"/>
      <c r="B778" s="208"/>
      <c r="C778" s="173"/>
      <c r="D778" s="173"/>
      <c r="E778" s="173"/>
      <c r="F778" s="173"/>
      <c r="G778" s="173"/>
      <c r="H778" s="173"/>
      <c r="I778" s="173"/>
      <c r="J778" s="173"/>
      <c r="K778" s="173"/>
      <c r="L778" s="173"/>
      <c r="M778" s="173"/>
      <c r="N778" s="173"/>
      <c r="O778" s="173"/>
      <c r="P778" s="173"/>
    </row>
    <row r="779" spans="1:16" ht="11.25" customHeight="1">
      <c r="A779" s="207"/>
      <c r="B779" s="208"/>
      <c r="C779" s="173"/>
      <c r="D779" s="173"/>
      <c r="E779" s="173"/>
      <c r="F779" s="173"/>
      <c r="G779" s="173"/>
      <c r="H779" s="173"/>
      <c r="I779" s="173"/>
      <c r="J779" s="173"/>
      <c r="K779" s="173"/>
      <c r="L779" s="173"/>
      <c r="M779" s="173"/>
      <c r="N779" s="173"/>
      <c r="O779" s="173"/>
      <c r="P779" s="173"/>
    </row>
    <row r="780" spans="1:16" ht="11.25" customHeight="1">
      <c r="A780" s="207"/>
      <c r="B780" s="208"/>
      <c r="C780" s="173"/>
      <c r="D780" s="173"/>
      <c r="E780" s="173"/>
      <c r="F780" s="173"/>
      <c r="G780" s="173"/>
      <c r="H780" s="173"/>
      <c r="I780" s="173"/>
      <c r="J780" s="173"/>
      <c r="K780" s="173"/>
      <c r="L780" s="173"/>
      <c r="M780" s="173"/>
      <c r="N780" s="173"/>
      <c r="O780" s="173"/>
      <c r="P780" s="173"/>
    </row>
    <row r="781" spans="1:16" ht="11.25" customHeight="1">
      <c r="A781" s="207"/>
      <c r="B781" s="208"/>
      <c r="C781" s="173"/>
      <c r="D781" s="173"/>
      <c r="E781" s="173"/>
      <c r="F781" s="173"/>
      <c r="G781" s="173"/>
      <c r="H781" s="173"/>
      <c r="I781" s="173"/>
      <c r="J781" s="173"/>
      <c r="K781" s="173"/>
      <c r="L781" s="173"/>
      <c r="M781" s="173"/>
      <c r="N781" s="173"/>
      <c r="O781" s="173"/>
      <c r="P781" s="173"/>
    </row>
    <row r="782" spans="1:16" ht="11.25" customHeight="1">
      <c r="A782" s="207"/>
      <c r="B782" s="208"/>
      <c r="C782" s="173"/>
      <c r="D782" s="173"/>
      <c r="E782" s="173"/>
      <c r="F782" s="173"/>
      <c r="G782" s="173"/>
      <c r="H782" s="173"/>
      <c r="I782" s="173"/>
      <c r="J782" s="173"/>
      <c r="K782" s="173"/>
      <c r="L782" s="173"/>
      <c r="M782" s="173"/>
      <c r="N782" s="173"/>
      <c r="O782" s="173"/>
      <c r="P782" s="173"/>
    </row>
    <row r="783" spans="1:16" ht="11.25" customHeight="1">
      <c r="A783" s="207"/>
      <c r="B783" s="208"/>
      <c r="C783" s="173"/>
      <c r="D783" s="173"/>
      <c r="E783" s="173"/>
      <c r="F783" s="173"/>
      <c r="G783" s="173"/>
      <c r="H783" s="173"/>
      <c r="I783" s="173"/>
      <c r="J783" s="173"/>
      <c r="K783" s="173"/>
      <c r="L783" s="173"/>
      <c r="M783" s="173"/>
      <c r="N783" s="173"/>
      <c r="O783" s="173"/>
      <c r="P783" s="173"/>
    </row>
    <row r="784" spans="1:16" ht="11.25" customHeight="1">
      <c r="A784" s="207"/>
      <c r="B784" s="208"/>
      <c r="C784" s="173"/>
      <c r="D784" s="173"/>
      <c r="E784" s="173"/>
      <c r="F784" s="173"/>
      <c r="G784" s="173"/>
      <c r="H784" s="173"/>
      <c r="I784" s="173"/>
      <c r="J784" s="173"/>
      <c r="K784" s="173"/>
      <c r="L784" s="173"/>
      <c r="M784" s="173"/>
      <c r="N784" s="173"/>
      <c r="O784" s="173"/>
      <c r="P784" s="173"/>
    </row>
    <row r="785" spans="1:16" ht="11.25" customHeight="1">
      <c r="A785" s="207"/>
      <c r="B785" s="208"/>
      <c r="C785" s="173"/>
      <c r="D785" s="173"/>
      <c r="E785" s="173"/>
      <c r="F785" s="173"/>
      <c r="G785" s="173"/>
      <c r="H785" s="173"/>
      <c r="I785" s="173"/>
      <c r="J785" s="173"/>
      <c r="K785" s="173"/>
      <c r="L785" s="173"/>
      <c r="M785" s="173"/>
      <c r="N785" s="173"/>
      <c r="O785" s="173"/>
      <c r="P785" s="173"/>
    </row>
    <row r="786" spans="1:16" ht="11.25" customHeight="1">
      <c r="A786" s="207"/>
      <c r="B786" s="208"/>
      <c r="C786" s="173"/>
      <c r="D786" s="173"/>
      <c r="E786" s="173"/>
      <c r="F786" s="173"/>
      <c r="G786" s="173"/>
      <c r="H786" s="173"/>
      <c r="I786" s="173"/>
      <c r="J786" s="173"/>
      <c r="K786" s="173"/>
      <c r="L786" s="173"/>
      <c r="M786" s="173"/>
      <c r="N786" s="173"/>
      <c r="O786" s="173"/>
      <c r="P786" s="173"/>
    </row>
    <row r="787" spans="1:16" ht="11.25" customHeight="1">
      <c r="A787" s="207"/>
      <c r="B787" s="208"/>
      <c r="C787" s="173"/>
      <c r="D787" s="173"/>
      <c r="E787" s="173"/>
      <c r="F787" s="173"/>
      <c r="G787" s="173"/>
      <c r="H787" s="173"/>
      <c r="I787" s="173"/>
      <c r="J787" s="173"/>
      <c r="K787" s="173"/>
      <c r="L787" s="173"/>
      <c r="M787" s="173"/>
      <c r="N787" s="173"/>
      <c r="O787" s="173"/>
      <c r="P787" s="173"/>
    </row>
    <row r="788" spans="1:16" ht="11.25" customHeight="1">
      <c r="A788" s="207"/>
      <c r="B788" s="208"/>
      <c r="C788" s="173"/>
      <c r="D788" s="173"/>
      <c r="E788" s="173"/>
      <c r="F788" s="173"/>
      <c r="G788" s="173"/>
      <c r="H788" s="173"/>
      <c r="I788" s="173"/>
      <c r="J788" s="173"/>
      <c r="K788" s="173"/>
      <c r="L788" s="173"/>
      <c r="M788" s="173"/>
      <c r="N788" s="173"/>
      <c r="O788" s="173"/>
      <c r="P788" s="173"/>
    </row>
    <row r="789" spans="1:16" ht="11.25" customHeight="1">
      <c r="A789" s="207"/>
      <c r="B789" s="208"/>
      <c r="C789" s="173"/>
      <c r="D789" s="173"/>
      <c r="E789" s="173"/>
      <c r="F789" s="173"/>
      <c r="G789" s="173"/>
      <c r="H789" s="173"/>
      <c r="I789" s="173"/>
      <c r="J789" s="173"/>
      <c r="K789" s="173"/>
      <c r="L789" s="173"/>
      <c r="M789" s="173"/>
      <c r="N789" s="173"/>
      <c r="O789" s="173"/>
      <c r="P789" s="173"/>
    </row>
    <row r="790" spans="1:16" ht="11.25" customHeight="1">
      <c r="A790" s="207"/>
      <c r="B790" s="208"/>
      <c r="C790" s="173"/>
      <c r="D790" s="173"/>
      <c r="E790" s="173"/>
      <c r="F790" s="173"/>
      <c r="G790" s="173"/>
      <c r="H790" s="173"/>
      <c r="I790" s="173"/>
      <c r="J790" s="173"/>
      <c r="K790" s="173"/>
      <c r="L790" s="173"/>
      <c r="M790" s="173"/>
      <c r="N790" s="173"/>
      <c r="O790" s="173"/>
      <c r="P790" s="173"/>
    </row>
    <row r="791" spans="1:16" ht="11.25" customHeight="1">
      <c r="A791" s="207"/>
      <c r="B791" s="208"/>
      <c r="C791" s="173"/>
      <c r="D791" s="173"/>
      <c r="E791" s="173"/>
      <c r="F791" s="173"/>
      <c r="G791" s="173"/>
      <c r="H791" s="173"/>
      <c r="I791" s="173"/>
      <c r="J791" s="173"/>
      <c r="K791" s="173"/>
      <c r="L791" s="173"/>
      <c r="M791" s="173"/>
      <c r="N791" s="173"/>
      <c r="O791" s="173"/>
      <c r="P791" s="173"/>
    </row>
    <row r="792" spans="1:16" ht="11.25" customHeight="1">
      <c r="A792" s="207"/>
      <c r="B792" s="208"/>
      <c r="C792" s="173"/>
      <c r="D792" s="173"/>
      <c r="E792" s="173"/>
      <c r="F792" s="173"/>
      <c r="G792" s="173"/>
      <c r="H792" s="173"/>
      <c r="I792" s="173"/>
      <c r="J792" s="173"/>
      <c r="K792" s="173"/>
      <c r="L792" s="173"/>
      <c r="M792" s="173"/>
      <c r="N792" s="173"/>
      <c r="O792" s="173"/>
      <c r="P792" s="173"/>
    </row>
    <row r="793" spans="1:16" ht="11.25" customHeight="1">
      <c r="A793" s="207"/>
      <c r="B793" s="208"/>
      <c r="C793" s="173"/>
      <c r="D793" s="173"/>
      <c r="E793" s="173"/>
      <c r="F793" s="173"/>
      <c r="G793" s="173"/>
      <c r="H793" s="173"/>
      <c r="I793" s="173"/>
      <c r="J793" s="173"/>
      <c r="K793" s="173"/>
      <c r="L793" s="173"/>
      <c r="M793" s="173"/>
      <c r="N793" s="173"/>
      <c r="O793" s="173"/>
      <c r="P793" s="173"/>
    </row>
    <row r="794" spans="1:16" ht="11.25" customHeight="1">
      <c r="A794" s="207"/>
      <c r="B794" s="208"/>
      <c r="C794" s="173"/>
      <c r="D794" s="173"/>
      <c r="E794" s="173"/>
      <c r="F794" s="173"/>
      <c r="G794" s="173"/>
      <c r="H794" s="173"/>
      <c r="I794" s="173"/>
      <c r="J794" s="173"/>
      <c r="K794" s="173"/>
      <c r="L794" s="173"/>
      <c r="M794" s="173"/>
      <c r="N794" s="173"/>
      <c r="O794" s="173"/>
      <c r="P794" s="173"/>
    </row>
    <row r="795" spans="1:16" ht="11.25" customHeight="1">
      <c r="A795" s="207"/>
      <c r="B795" s="208"/>
      <c r="C795" s="173"/>
      <c r="D795" s="173"/>
      <c r="E795" s="173"/>
      <c r="F795" s="173"/>
      <c r="G795" s="173"/>
      <c r="H795" s="173"/>
      <c r="I795" s="173"/>
      <c r="J795" s="173"/>
      <c r="K795" s="173"/>
      <c r="L795" s="173"/>
      <c r="M795" s="173"/>
      <c r="N795" s="173"/>
      <c r="O795" s="173"/>
      <c r="P795" s="173"/>
    </row>
    <row r="796" spans="1:16" ht="11.25" customHeight="1">
      <c r="A796" s="207"/>
      <c r="B796" s="208"/>
      <c r="C796" s="173"/>
      <c r="D796" s="173"/>
      <c r="E796" s="173"/>
      <c r="F796" s="173"/>
      <c r="G796" s="173"/>
      <c r="H796" s="173"/>
      <c r="I796" s="173"/>
      <c r="J796" s="173"/>
      <c r="K796" s="173"/>
      <c r="L796" s="173"/>
      <c r="M796" s="173"/>
      <c r="N796" s="173"/>
      <c r="O796" s="173"/>
      <c r="P796" s="173"/>
    </row>
    <row r="797" spans="1:16" ht="11.25" customHeight="1">
      <c r="A797" s="207"/>
      <c r="B797" s="208"/>
      <c r="C797" s="173"/>
      <c r="D797" s="173"/>
      <c r="E797" s="173"/>
      <c r="F797" s="173"/>
      <c r="G797" s="173"/>
      <c r="H797" s="173"/>
      <c r="I797" s="173"/>
      <c r="J797" s="173"/>
      <c r="K797" s="173"/>
      <c r="L797" s="173"/>
      <c r="M797" s="173"/>
      <c r="N797" s="173"/>
      <c r="O797" s="173"/>
      <c r="P797" s="173"/>
    </row>
    <row r="798" spans="1:16" ht="11.25" customHeight="1">
      <c r="A798" s="207"/>
      <c r="B798" s="208"/>
      <c r="C798" s="173"/>
      <c r="D798" s="173"/>
      <c r="E798" s="173"/>
      <c r="F798" s="173"/>
      <c r="G798" s="173"/>
      <c r="H798" s="173"/>
      <c r="I798" s="173"/>
      <c r="J798" s="173"/>
      <c r="K798" s="173"/>
      <c r="L798" s="173"/>
      <c r="M798" s="173"/>
      <c r="N798" s="173"/>
      <c r="O798" s="173"/>
      <c r="P798" s="173"/>
    </row>
    <row r="799" spans="1:16" ht="11.25" customHeight="1">
      <c r="A799" s="207"/>
      <c r="B799" s="208"/>
      <c r="C799" s="173"/>
      <c r="D799" s="173"/>
      <c r="E799" s="173"/>
      <c r="F799" s="173"/>
      <c r="G799" s="173"/>
      <c r="H799" s="173"/>
      <c r="I799" s="173"/>
      <c r="J799" s="173"/>
      <c r="K799" s="173"/>
      <c r="L799" s="173"/>
      <c r="M799" s="173"/>
      <c r="N799" s="173"/>
      <c r="O799" s="173"/>
      <c r="P799" s="173"/>
    </row>
    <row r="800" spans="1:16" ht="11.25" customHeight="1">
      <c r="A800" s="207"/>
      <c r="B800" s="208"/>
      <c r="C800" s="173"/>
      <c r="D800" s="173"/>
      <c r="E800" s="173"/>
      <c r="F800" s="173"/>
      <c r="G800" s="173"/>
      <c r="H800" s="173"/>
      <c r="I800" s="173"/>
      <c r="J800" s="173"/>
      <c r="K800" s="173"/>
      <c r="L800" s="173"/>
      <c r="M800" s="173"/>
      <c r="N800" s="173"/>
      <c r="O800" s="173"/>
      <c r="P800" s="173"/>
    </row>
    <row r="801" spans="1:16" ht="11.25" customHeight="1">
      <c r="A801" s="207"/>
      <c r="B801" s="208"/>
      <c r="C801" s="173"/>
      <c r="D801" s="173"/>
      <c r="E801" s="173"/>
      <c r="F801" s="173"/>
      <c r="G801" s="173"/>
      <c r="H801" s="173"/>
      <c r="I801" s="173"/>
      <c r="J801" s="173"/>
      <c r="K801" s="173"/>
      <c r="L801" s="173"/>
      <c r="M801" s="173"/>
      <c r="N801" s="173"/>
      <c r="O801" s="173"/>
      <c r="P801" s="173"/>
    </row>
    <row r="802" spans="1:16" ht="11.25" customHeight="1">
      <c r="A802" s="207"/>
      <c r="B802" s="208"/>
      <c r="C802" s="173"/>
      <c r="D802" s="173"/>
      <c r="E802" s="173"/>
      <c r="F802" s="173"/>
      <c r="G802" s="173"/>
      <c r="H802" s="173"/>
      <c r="I802" s="173"/>
      <c r="J802" s="173"/>
      <c r="K802" s="173"/>
      <c r="L802" s="173"/>
      <c r="M802" s="173"/>
      <c r="N802" s="173"/>
      <c r="O802" s="173"/>
      <c r="P802" s="173"/>
    </row>
    <row r="803" spans="1:16" ht="11.25" customHeight="1">
      <c r="A803" s="207"/>
      <c r="B803" s="208"/>
      <c r="C803" s="173"/>
      <c r="D803" s="173"/>
      <c r="E803" s="173"/>
      <c r="F803" s="173"/>
      <c r="G803" s="173"/>
      <c r="H803" s="173"/>
      <c r="I803" s="173"/>
      <c r="J803" s="173"/>
      <c r="K803" s="173"/>
      <c r="L803" s="173"/>
      <c r="M803" s="173"/>
      <c r="N803" s="173"/>
      <c r="O803" s="173"/>
      <c r="P803" s="173"/>
    </row>
    <row r="804" spans="1:16" ht="11.25" customHeight="1">
      <c r="A804" s="207"/>
      <c r="B804" s="208"/>
      <c r="C804" s="173"/>
      <c r="D804" s="173"/>
      <c r="E804" s="173"/>
      <c r="F804" s="173"/>
      <c r="G804" s="173"/>
      <c r="H804" s="173"/>
      <c r="I804" s="173"/>
      <c r="J804" s="173"/>
      <c r="K804" s="173"/>
      <c r="L804" s="173"/>
      <c r="M804" s="173"/>
      <c r="N804" s="173"/>
      <c r="O804" s="173"/>
      <c r="P804" s="173"/>
    </row>
    <row r="805" spans="1:16" ht="11.25" customHeight="1">
      <c r="A805" s="207"/>
      <c r="B805" s="208"/>
      <c r="C805" s="173"/>
      <c r="D805" s="173"/>
      <c r="E805" s="173"/>
      <c r="F805" s="173"/>
      <c r="G805" s="173"/>
      <c r="H805" s="173"/>
      <c r="I805" s="173"/>
      <c r="J805" s="173"/>
      <c r="K805" s="173"/>
      <c r="L805" s="173"/>
      <c r="M805" s="173"/>
      <c r="N805" s="173"/>
      <c r="O805" s="173"/>
      <c r="P805" s="173"/>
    </row>
    <row r="806" spans="1:16" ht="11.25" customHeight="1">
      <c r="A806" s="207"/>
      <c r="B806" s="208"/>
      <c r="C806" s="173"/>
      <c r="D806" s="173"/>
      <c r="E806" s="173"/>
      <c r="F806" s="173"/>
      <c r="G806" s="173"/>
      <c r="H806" s="173"/>
      <c r="I806" s="173"/>
      <c r="J806" s="173"/>
      <c r="K806" s="173"/>
      <c r="L806" s="173"/>
      <c r="M806" s="173"/>
      <c r="N806" s="173"/>
      <c r="O806" s="173"/>
      <c r="P806" s="173"/>
    </row>
    <row r="807" spans="1:16" ht="11.25" customHeight="1">
      <c r="A807" s="207"/>
      <c r="B807" s="208"/>
      <c r="C807" s="173"/>
      <c r="D807" s="173"/>
      <c r="E807" s="173"/>
      <c r="F807" s="173"/>
      <c r="G807" s="173"/>
      <c r="H807" s="173"/>
      <c r="I807" s="173"/>
      <c r="J807" s="173"/>
      <c r="K807" s="173"/>
      <c r="L807" s="173"/>
      <c r="M807" s="173"/>
      <c r="N807" s="173"/>
      <c r="O807" s="173"/>
      <c r="P807" s="173"/>
    </row>
    <row r="808" spans="1:16" ht="11.25" customHeight="1">
      <c r="A808" s="207"/>
      <c r="B808" s="208"/>
      <c r="C808" s="173"/>
      <c r="D808" s="173"/>
      <c r="E808" s="173"/>
      <c r="F808" s="173"/>
      <c r="G808" s="173"/>
      <c r="H808" s="173"/>
      <c r="I808" s="173"/>
      <c r="J808" s="173"/>
      <c r="K808" s="173"/>
      <c r="L808" s="173"/>
      <c r="M808" s="173"/>
      <c r="N808" s="173"/>
      <c r="O808" s="173"/>
      <c r="P808" s="173"/>
    </row>
    <row r="809" spans="1:16" ht="11.25" customHeight="1">
      <c r="A809" s="207"/>
      <c r="B809" s="208"/>
      <c r="C809" s="173"/>
      <c r="D809" s="173"/>
      <c r="E809" s="173"/>
      <c r="F809" s="173"/>
      <c r="G809" s="173"/>
      <c r="H809" s="173"/>
      <c r="I809" s="173"/>
      <c r="J809" s="173"/>
      <c r="K809" s="173"/>
      <c r="L809" s="173"/>
      <c r="M809" s="173"/>
      <c r="N809" s="173"/>
      <c r="O809" s="173"/>
      <c r="P809" s="173"/>
    </row>
    <row r="810" spans="1:16" ht="11.25" customHeight="1">
      <c r="A810" s="207"/>
      <c r="B810" s="208"/>
      <c r="C810" s="173"/>
      <c r="D810" s="173"/>
      <c r="E810" s="173"/>
      <c r="F810" s="173"/>
      <c r="G810" s="173"/>
      <c r="H810" s="173"/>
      <c r="I810" s="173"/>
      <c r="J810" s="173"/>
      <c r="K810" s="173"/>
      <c r="L810" s="173"/>
      <c r="M810" s="173"/>
      <c r="N810" s="173"/>
      <c r="O810" s="173"/>
      <c r="P810" s="173"/>
    </row>
    <row r="811" spans="1:16" ht="11.25" customHeight="1">
      <c r="A811" s="207"/>
      <c r="B811" s="208"/>
      <c r="C811" s="173"/>
      <c r="D811" s="173"/>
      <c r="E811" s="173"/>
      <c r="F811" s="173"/>
      <c r="G811" s="173"/>
      <c r="H811" s="173"/>
      <c r="I811" s="173"/>
      <c r="J811" s="173"/>
      <c r="K811" s="173"/>
      <c r="L811" s="173"/>
      <c r="M811" s="173"/>
      <c r="N811" s="173"/>
      <c r="O811" s="173"/>
      <c r="P811" s="173"/>
    </row>
    <row r="812" spans="1:16" ht="11.25" customHeight="1">
      <c r="A812" s="207"/>
      <c r="B812" s="208"/>
      <c r="C812" s="173"/>
      <c r="D812" s="173"/>
      <c r="E812" s="173"/>
      <c r="F812" s="173"/>
      <c r="G812" s="173"/>
      <c r="H812" s="173"/>
      <c r="I812" s="173"/>
      <c r="J812" s="173"/>
      <c r="K812" s="173"/>
      <c r="L812" s="173"/>
      <c r="M812" s="173"/>
      <c r="N812" s="173"/>
      <c r="O812" s="173"/>
      <c r="P812" s="173"/>
    </row>
    <row r="813" spans="1:16" ht="11.25" customHeight="1">
      <c r="A813" s="207"/>
      <c r="B813" s="208"/>
      <c r="C813" s="173"/>
      <c r="D813" s="173"/>
      <c r="E813" s="173"/>
      <c r="F813" s="173"/>
      <c r="G813" s="173"/>
      <c r="H813" s="173"/>
      <c r="I813" s="173"/>
      <c r="J813" s="173"/>
      <c r="K813" s="173"/>
      <c r="L813" s="173"/>
      <c r="M813" s="173"/>
      <c r="N813" s="173"/>
      <c r="O813" s="173"/>
      <c r="P813" s="173"/>
    </row>
    <row r="814" spans="1:16" ht="11.25" customHeight="1">
      <c r="A814" s="207"/>
      <c r="B814" s="208"/>
      <c r="C814" s="173"/>
      <c r="D814" s="173"/>
      <c r="E814" s="173"/>
      <c r="F814" s="173"/>
      <c r="G814" s="173"/>
      <c r="H814" s="173"/>
      <c r="I814" s="173"/>
      <c r="J814" s="173"/>
      <c r="K814" s="173"/>
      <c r="L814" s="173"/>
      <c r="M814" s="173"/>
      <c r="N814" s="173"/>
      <c r="O814" s="173"/>
      <c r="P814" s="173"/>
    </row>
    <row r="815" spans="1:16" ht="11.25" customHeight="1">
      <c r="A815" s="207"/>
      <c r="B815" s="208"/>
      <c r="C815" s="173"/>
      <c r="D815" s="173"/>
      <c r="E815" s="173"/>
      <c r="F815" s="173"/>
      <c r="G815" s="173"/>
      <c r="H815" s="173"/>
      <c r="I815" s="173"/>
      <c r="J815" s="173"/>
      <c r="K815" s="173"/>
      <c r="L815" s="173"/>
      <c r="M815" s="173"/>
      <c r="N815" s="173"/>
      <c r="O815" s="173"/>
      <c r="P815" s="173"/>
    </row>
    <row r="816" spans="1:16" ht="11.25" customHeight="1">
      <c r="A816" s="207"/>
      <c r="B816" s="208"/>
      <c r="C816" s="173"/>
      <c r="D816" s="173"/>
      <c r="E816" s="173"/>
      <c r="F816" s="173"/>
      <c r="G816" s="173"/>
      <c r="H816" s="173"/>
      <c r="I816" s="173"/>
      <c r="J816" s="173"/>
      <c r="K816" s="173"/>
      <c r="L816" s="173"/>
      <c r="M816" s="173"/>
      <c r="N816" s="173"/>
      <c r="O816" s="173"/>
      <c r="P816" s="173"/>
    </row>
    <row r="817" spans="1:16" ht="11.25" customHeight="1">
      <c r="A817" s="207"/>
      <c r="B817" s="208"/>
      <c r="C817" s="173"/>
      <c r="D817" s="173"/>
      <c r="E817" s="173"/>
      <c r="F817" s="173"/>
      <c r="G817" s="173"/>
      <c r="H817" s="173"/>
      <c r="I817" s="173"/>
      <c r="J817" s="173"/>
      <c r="K817" s="173"/>
      <c r="L817" s="173"/>
      <c r="M817" s="173"/>
      <c r="N817" s="173"/>
      <c r="O817" s="173"/>
      <c r="P817" s="173"/>
    </row>
    <row r="818" spans="1:16" ht="11.25" customHeight="1">
      <c r="A818" s="207"/>
      <c r="B818" s="208"/>
      <c r="C818" s="173"/>
      <c r="D818" s="173"/>
      <c r="E818" s="173"/>
      <c r="F818" s="173"/>
      <c r="G818" s="173"/>
      <c r="H818" s="173"/>
      <c r="I818" s="173"/>
      <c r="J818" s="173"/>
      <c r="K818" s="173"/>
      <c r="L818" s="173"/>
      <c r="M818" s="173"/>
      <c r="N818" s="173"/>
      <c r="O818" s="173"/>
      <c r="P818" s="173"/>
    </row>
    <row r="819" spans="1:16" ht="11.25" customHeight="1">
      <c r="A819" s="207"/>
      <c r="B819" s="208"/>
      <c r="C819" s="173"/>
      <c r="D819" s="173"/>
      <c r="E819" s="173"/>
      <c r="F819" s="173"/>
      <c r="G819" s="173"/>
      <c r="H819" s="173"/>
      <c r="I819" s="173"/>
      <c r="J819" s="173"/>
      <c r="K819" s="173"/>
      <c r="L819" s="173"/>
      <c r="M819" s="173"/>
      <c r="N819" s="173"/>
      <c r="O819" s="173"/>
      <c r="P819" s="173"/>
    </row>
    <row r="820" spans="1:16" ht="11.25" customHeight="1">
      <c r="A820" s="207"/>
      <c r="B820" s="208"/>
      <c r="C820" s="173"/>
      <c r="D820" s="173"/>
      <c r="E820" s="173"/>
      <c r="F820" s="173"/>
      <c r="G820" s="173"/>
      <c r="H820" s="173"/>
      <c r="I820" s="173"/>
      <c r="J820" s="173"/>
      <c r="K820" s="173"/>
      <c r="L820" s="173"/>
      <c r="M820" s="173"/>
      <c r="N820" s="173"/>
      <c r="O820" s="173"/>
      <c r="P820" s="173"/>
    </row>
    <row r="821" spans="1:16" ht="11.25" customHeight="1">
      <c r="A821" s="207"/>
      <c r="B821" s="208"/>
      <c r="C821" s="173"/>
      <c r="D821" s="173"/>
      <c r="E821" s="173"/>
      <c r="F821" s="173"/>
      <c r="G821" s="173"/>
      <c r="H821" s="173"/>
      <c r="I821" s="173"/>
      <c r="J821" s="173"/>
      <c r="K821" s="173"/>
      <c r="L821" s="173"/>
      <c r="M821" s="173"/>
      <c r="N821" s="173"/>
      <c r="O821" s="173"/>
      <c r="P821" s="173"/>
    </row>
    <row r="822" spans="1:16" ht="11.25" customHeight="1">
      <c r="A822" s="207"/>
      <c r="B822" s="208"/>
      <c r="C822" s="173"/>
      <c r="D822" s="173"/>
      <c r="E822" s="173"/>
      <c r="F822" s="173"/>
      <c r="G822" s="173"/>
      <c r="H822" s="173"/>
      <c r="I822" s="173"/>
      <c r="J822" s="173"/>
      <c r="K822" s="173"/>
      <c r="L822" s="173"/>
      <c r="M822" s="173"/>
      <c r="N822" s="173"/>
      <c r="O822" s="173"/>
      <c r="P822" s="173"/>
    </row>
    <row r="823" spans="1:16" ht="11.25" customHeight="1">
      <c r="A823" s="207"/>
      <c r="B823" s="208"/>
      <c r="C823" s="173"/>
      <c r="D823" s="173"/>
      <c r="E823" s="173"/>
      <c r="F823" s="173"/>
      <c r="G823" s="173"/>
      <c r="H823" s="173"/>
      <c r="I823" s="173"/>
      <c r="J823" s="173"/>
      <c r="K823" s="173"/>
      <c r="L823" s="173"/>
      <c r="M823" s="173"/>
      <c r="N823" s="173"/>
      <c r="O823" s="173"/>
      <c r="P823" s="173"/>
    </row>
    <row r="824" spans="1:16" ht="11.25" customHeight="1">
      <c r="A824" s="207"/>
      <c r="B824" s="208"/>
      <c r="C824" s="173"/>
      <c r="D824" s="173"/>
      <c r="E824" s="173"/>
      <c r="F824" s="173"/>
      <c r="G824" s="173"/>
      <c r="H824" s="173"/>
      <c r="I824" s="173"/>
      <c r="J824" s="173"/>
      <c r="K824" s="173"/>
      <c r="L824" s="173"/>
      <c r="M824" s="173"/>
      <c r="N824" s="173"/>
      <c r="O824" s="173"/>
      <c r="P824" s="173"/>
    </row>
    <row r="825" spans="1:16" ht="11.25" customHeight="1">
      <c r="A825" s="207"/>
      <c r="B825" s="208"/>
      <c r="C825" s="173"/>
      <c r="D825" s="173"/>
      <c r="E825" s="173"/>
      <c r="F825" s="173"/>
      <c r="G825" s="173"/>
      <c r="H825" s="173"/>
      <c r="I825" s="173"/>
      <c r="J825" s="173"/>
      <c r="K825" s="173"/>
      <c r="L825" s="173"/>
      <c r="M825" s="173"/>
      <c r="N825" s="173"/>
      <c r="O825" s="173"/>
      <c r="P825" s="173"/>
    </row>
    <row r="826" spans="1:16" ht="11.25" customHeight="1">
      <c r="A826" s="207"/>
      <c r="B826" s="208"/>
      <c r="C826" s="173"/>
      <c r="D826" s="173"/>
      <c r="E826" s="173"/>
      <c r="F826" s="173"/>
      <c r="G826" s="173"/>
      <c r="H826" s="173"/>
      <c r="I826" s="173"/>
      <c r="J826" s="173"/>
      <c r="K826" s="173"/>
      <c r="L826" s="173"/>
      <c r="M826" s="173"/>
      <c r="N826" s="173"/>
      <c r="O826" s="173"/>
      <c r="P826" s="173"/>
    </row>
    <row r="827" spans="1:16" ht="11.25" customHeight="1">
      <c r="A827" s="207"/>
      <c r="B827" s="208"/>
      <c r="C827" s="173"/>
      <c r="D827" s="173"/>
      <c r="E827" s="173"/>
      <c r="F827" s="173"/>
      <c r="G827" s="173"/>
      <c r="H827" s="173"/>
      <c r="I827" s="173"/>
      <c r="J827" s="173"/>
      <c r="K827" s="173"/>
      <c r="L827" s="173"/>
      <c r="M827" s="173"/>
      <c r="N827" s="173"/>
      <c r="O827" s="173"/>
      <c r="P827" s="173"/>
    </row>
    <row r="828" spans="1:16" ht="11.25" customHeight="1">
      <c r="A828" s="207"/>
      <c r="B828" s="208"/>
      <c r="C828" s="173"/>
      <c r="D828" s="173"/>
      <c r="E828" s="173"/>
      <c r="F828" s="173"/>
      <c r="G828" s="173"/>
      <c r="H828" s="173"/>
      <c r="I828" s="173"/>
      <c r="J828" s="173"/>
      <c r="K828" s="173"/>
      <c r="L828" s="173"/>
      <c r="M828" s="173"/>
      <c r="N828" s="173"/>
      <c r="O828" s="173"/>
      <c r="P828" s="173"/>
    </row>
    <row r="829" spans="1:16" ht="11.25" customHeight="1">
      <c r="A829" s="207"/>
      <c r="B829" s="208"/>
      <c r="C829" s="173"/>
      <c r="D829" s="173"/>
      <c r="E829" s="173"/>
      <c r="F829" s="173"/>
      <c r="G829" s="173"/>
      <c r="H829" s="173"/>
      <c r="I829" s="173"/>
      <c r="J829" s="173"/>
      <c r="K829" s="173"/>
      <c r="L829" s="173"/>
      <c r="M829" s="173"/>
      <c r="N829" s="173"/>
      <c r="O829" s="173"/>
      <c r="P829" s="173"/>
    </row>
    <row r="830" spans="1:16" ht="11.25" customHeight="1">
      <c r="A830" s="207"/>
      <c r="B830" s="208"/>
      <c r="C830" s="173"/>
      <c r="D830" s="173"/>
      <c r="E830" s="173"/>
      <c r="F830" s="173"/>
      <c r="G830" s="173"/>
      <c r="H830" s="173"/>
      <c r="I830" s="173"/>
      <c r="J830" s="173"/>
      <c r="K830" s="173"/>
      <c r="L830" s="173"/>
      <c r="M830" s="173"/>
      <c r="N830" s="173"/>
      <c r="O830" s="173"/>
      <c r="P830" s="173"/>
    </row>
    <row r="831" spans="1:16" ht="11.25" customHeight="1">
      <c r="A831" s="207"/>
      <c r="B831" s="208"/>
      <c r="C831" s="173"/>
      <c r="D831" s="173"/>
      <c r="E831" s="173"/>
      <c r="F831" s="173"/>
      <c r="G831" s="173"/>
      <c r="H831" s="173"/>
      <c r="I831" s="173"/>
      <c r="J831" s="173"/>
      <c r="K831" s="173"/>
      <c r="L831" s="173"/>
      <c r="M831" s="173"/>
      <c r="N831" s="173"/>
      <c r="O831" s="173"/>
      <c r="P831" s="173"/>
    </row>
    <row r="832" spans="1:16" ht="11.25" customHeight="1">
      <c r="A832" s="207"/>
      <c r="B832" s="208"/>
      <c r="C832" s="173"/>
      <c r="D832" s="173"/>
      <c r="E832" s="173"/>
      <c r="F832" s="173"/>
      <c r="G832" s="173"/>
      <c r="H832" s="173"/>
      <c r="I832" s="173"/>
      <c r="J832" s="173"/>
      <c r="K832" s="173"/>
      <c r="L832" s="173"/>
      <c r="M832" s="173"/>
      <c r="N832" s="173"/>
      <c r="O832" s="173"/>
      <c r="P832" s="173"/>
    </row>
    <row r="833" spans="1:16" ht="11.25" customHeight="1">
      <c r="A833" s="207"/>
      <c r="B833" s="208"/>
      <c r="C833" s="173"/>
      <c r="D833" s="173"/>
      <c r="E833" s="173"/>
      <c r="F833" s="173"/>
      <c r="G833" s="173"/>
      <c r="H833" s="173"/>
      <c r="I833" s="173"/>
      <c r="J833" s="173"/>
      <c r="K833" s="173"/>
      <c r="L833" s="173"/>
      <c r="M833" s="173"/>
      <c r="N833" s="173"/>
      <c r="O833" s="173"/>
      <c r="P833" s="173"/>
    </row>
    <row r="834" spans="1:16" ht="11.25" customHeight="1">
      <c r="A834" s="207"/>
      <c r="B834" s="208"/>
      <c r="C834" s="173"/>
      <c r="D834" s="173"/>
      <c r="E834" s="173"/>
      <c r="F834" s="173"/>
      <c r="G834" s="173"/>
      <c r="H834" s="173"/>
      <c r="I834" s="173"/>
      <c r="J834" s="173"/>
      <c r="K834" s="173"/>
      <c r="L834" s="173"/>
      <c r="M834" s="173"/>
      <c r="N834" s="173"/>
      <c r="O834" s="173"/>
      <c r="P834" s="173"/>
    </row>
    <row r="835" spans="1:16" ht="11.25" customHeight="1">
      <c r="A835" s="207"/>
      <c r="B835" s="208"/>
      <c r="C835" s="173"/>
      <c r="D835" s="173"/>
      <c r="E835" s="173"/>
      <c r="F835" s="173"/>
      <c r="G835" s="173"/>
      <c r="H835" s="173"/>
      <c r="I835" s="173"/>
      <c r="J835" s="173"/>
      <c r="K835" s="173"/>
      <c r="L835" s="173"/>
      <c r="M835" s="173"/>
      <c r="N835" s="173"/>
      <c r="O835" s="173"/>
      <c r="P835" s="173"/>
    </row>
    <row r="836" spans="1:16" ht="11.25" customHeight="1">
      <c r="A836" s="207"/>
      <c r="B836" s="208"/>
      <c r="C836" s="173"/>
      <c r="D836" s="173"/>
      <c r="E836" s="173"/>
      <c r="F836" s="173"/>
      <c r="G836" s="173"/>
      <c r="H836" s="173"/>
      <c r="I836" s="173"/>
      <c r="J836" s="173"/>
      <c r="K836" s="173"/>
      <c r="L836" s="173"/>
      <c r="M836" s="173"/>
      <c r="N836" s="173"/>
      <c r="O836" s="173"/>
      <c r="P836" s="173"/>
    </row>
    <row r="837" spans="1:16" ht="11.25" customHeight="1">
      <c r="A837" s="207"/>
      <c r="B837" s="208"/>
      <c r="C837" s="173"/>
      <c r="D837" s="173"/>
      <c r="E837" s="173"/>
      <c r="F837" s="173"/>
      <c r="G837" s="173"/>
      <c r="H837" s="173"/>
      <c r="I837" s="173"/>
      <c r="J837" s="173"/>
      <c r="K837" s="173"/>
      <c r="L837" s="173"/>
      <c r="M837" s="173"/>
      <c r="N837" s="173"/>
      <c r="O837" s="173"/>
      <c r="P837" s="173"/>
    </row>
    <row r="838" spans="1:16" ht="11.25" customHeight="1">
      <c r="A838" s="207"/>
      <c r="B838" s="208"/>
      <c r="C838" s="173"/>
      <c r="D838" s="173"/>
      <c r="E838" s="173"/>
      <c r="F838" s="173"/>
      <c r="G838" s="173"/>
      <c r="H838" s="173"/>
      <c r="I838" s="173"/>
      <c r="J838" s="173"/>
      <c r="K838" s="173"/>
      <c r="L838" s="173"/>
      <c r="M838" s="173"/>
      <c r="N838" s="173"/>
      <c r="O838" s="173"/>
      <c r="P838" s="173"/>
    </row>
    <row r="839" spans="1:16" ht="11.25" customHeight="1">
      <c r="A839" s="207"/>
      <c r="B839" s="208"/>
      <c r="C839" s="173"/>
      <c r="D839" s="173"/>
      <c r="E839" s="173"/>
      <c r="F839" s="173"/>
      <c r="G839" s="173"/>
      <c r="H839" s="173"/>
      <c r="I839" s="173"/>
      <c r="J839" s="173"/>
      <c r="K839" s="173"/>
      <c r="L839" s="173"/>
      <c r="M839" s="173"/>
      <c r="N839" s="173"/>
      <c r="O839" s="173"/>
      <c r="P839" s="173"/>
    </row>
    <row r="840" spans="1:16" ht="11.25" customHeight="1">
      <c r="A840" s="207"/>
      <c r="B840" s="208"/>
      <c r="C840" s="173"/>
      <c r="D840" s="173"/>
      <c r="E840" s="173"/>
      <c r="F840" s="173"/>
      <c r="G840" s="173"/>
      <c r="H840" s="173"/>
      <c r="I840" s="173"/>
      <c r="J840" s="173"/>
      <c r="K840" s="173"/>
      <c r="L840" s="173"/>
      <c r="M840" s="173"/>
      <c r="N840" s="173"/>
      <c r="O840" s="173"/>
      <c r="P840" s="173"/>
    </row>
    <row r="841" spans="1:16" ht="11.25" customHeight="1">
      <c r="A841" s="207"/>
      <c r="B841" s="208"/>
      <c r="C841" s="173"/>
      <c r="D841" s="173"/>
      <c r="E841" s="173"/>
      <c r="F841" s="173"/>
      <c r="G841" s="173"/>
      <c r="H841" s="173"/>
      <c r="I841" s="173"/>
      <c r="J841" s="173"/>
      <c r="K841" s="173"/>
      <c r="L841" s="173"/>
      <c r="M841" s="173"/>
      <c r="N841" s="173"/>
      <c r="O841" s="173"/>
      <c r="P841" s="173"/>
    </row>
    <row r="842" spans="1:16" ht="11.25" customHeight="1">
      <c r="A842" s="207"/>
      <c r="B842" s="208"/>
      <c r="C842" s="173"/>
      <c r="D842" s="173"/>
      <c r="E842" s="173"/>
      <c r="F842" s="173"/>
      <c r="G842" s="173"/>
      <c r="H842" s="173"/>
      <c r="I842" s="173"/>
      <c r="J842" s="173"/>
      <c r="K842" s="173"/>
      <c r="L842" s="173"/>
      <c r="M842" s="173"/>
      <c r="N842" s="173"/>
      <c r="O842" s="173"/>
      <c r="P842" s="173"/>
    </row>
    <row r="843" spans="1:16" ht="11.25" customHeight="1">
      <c r="A843" s="207"/>
      <c r="B843" s="208"/>
      <c r="C843" s="173"/>
      <c r="D843" s="173"/>
      <c r="E843" s="173"/>
      <c r="F843" s="173"/>
      <c r="G843" s="173"/>
      <c r="H843" s="173"/>
      <c r="I843" s="173"/>
      <c r="J843" s="173"/>
      <c r="K843" s="173"/>
      <c r="L843" s="173"/>
      <c r="M843" s="173"/>
      <c r="N843" s="173"/>
      <c r="O843" s="173"/>
      <c r="P843" s="173"/>
    </row>
    <row r="844" spans="1:16" ht="11.25" customHeight="1">
      <c r="A844" s="207"/>
      <c r="B844" s="208"/>
      <c r="C844" s="173"/>
      <c r="D844" s="173"/>
      <c r="E844" s="173"/>
      <c r="F844" s="173"/>
      <c r="G844" s="173"/>
      <c r="H844" s="173"/>
      <c r="I844" s="173"/>
      <c r="J844" s="173"/>
      <c r="K844" s="173"/>
      <c r="L844" s="173"/>
      <c r="M844" s="173"/>
      <c r="N844" s="173"/>
      <c r="O844" s="173"/>
      <c r="P844" s="173"/>
    </row>
    <row r="845" spans="1:16" ht="11.25" customHeight="1">
      <c r="A845" s="207"/>
      <c r="B845" s="208"/>
      <c r="C845" s="173"/>
      <c r="D845" s="173"/>
      <c r="E845" s="173"/>
      <c r="F845" s="173"/>
      <c r="G845" s="173"/>
      <c r="H845" s="173"/>
      <c r="I845" s="173"/>
      <c r="J845" s="173"/>
      <c r="K845" s="173"/>
      <c r="L845" s="173"/>
      <c r="M845" s="173"/>
      <c r="N845" s="173"/>
      <c r="O845" s="173"/>
      <c r="P845" s="173"/>
    </row>
    <row r="846" spans="1:16" ht="11.25" customHeight="1">
      <c r="A846" s="207"/>
      <c r="B846" s="208"/>
      <c r="C846" s="173"/>
      <c r="D846" s="173"/>
      <c r="E846" s="173"/>
      <c r="F846" s="173"/>
      <c r="G846" s="173"/>
      <c r="H846" s="173"/>
      <c r="I846" s="173"/>
      <c r="J846" s="173"/>
      <c r="K846" s="173"/>
      <c r="L846" s="173"/>
      <c r="M846" s="173"/>
      <c r="N846" s="173"/>
      <c r="O846" s="173"/>
      <c r="P846" s="173"/>
    </row>
    <row r="847" spans="1:16" ht="11.25" customHeight="1">
      <c r="A847" s="207"/>
      <c r="B847" s="208"/>
      <c r="C847" s="173"/>
      <c r="D847" s="173"/>
      <c r="E847" s="173"/>
      <c r="F847" s="173"/>
      <c r="G847" s="173"/>
      <c r="H847" s="173"/>
      <c r="I847" s="173"/>
      <c r="J847" s="173"/>
      <c r="K847" s="173"/>
      <c r="L847" s="173"/>
      <c r="M847" s="173"/>
      <c r="N847" s="173"/>
      <c r="O847" s="173"/>
      <c r="P847" s="173"/>
    </row>
    <row r="848" spans="1:16" ht="11.25" customHeight="1">
      <c r="A848" s="207"/>
      <c r="B848" s="208"/>
      <c r="C848" s="173"/>
      <c r="D848" s="173"/>
      <c r="E848" s="173"/>
      <c r="F848" s="173"/>
      <c r="G848" s="173"/>
      <c r="H848" s="173"/>
      <c r="I848" s="173"/>
      <c r="J848" s="173"/>
      <c r="K848" s="173"/>
      <c r="L848" s="173"/>
      <c r="M848" s="173"/>
      <c r="N848" s="173"/>
      <c r="O848" s="173"/>
      <c r="P848" s="173"/>
    </row>
    <row r="849" spans="1:16" ht="11.25" customHeight="1">
      <c r="A849" s="207"/>
      <c r="B849" s="208"/>
      <c r="C849" s="173"/>
      <c r="D849" s="173"/>
      <c r="E849" s="173"/>
      <c r="F849" s="173"/>
      <c r="G849" s="173"/>
      <c r="H849" s="173"/>
      <c r="I849" s="173"/>
      <c r="J849" s="173"/>
      <c r="K849" s="173"/>
      <c r="L849" s="173"/>
      <c r="M849" s="173"/>
      <c r="N849" s="173"/>
      <c r="O849" s="173"/>
      <c r="P849" s="173"/>
    </row>
    <row r="850" spans="1:16" ht="11.25" customHeight="1">
      <c r="A850" s="207"/>
      <c r="B850" s="208"/>
      <c r="C850" s="173"/>
      <c r="D850" s="173"/>
      <c r="E850" s="173"/>
      <c r="F850" s="173"/>
      <c r="G850" s="173"/>
      <c r="H850" s="173"/>
      <c r="I850" s="173"/>
      <c r="J850" s="173"/>
      <c r="K850" s="173"/>
      <c r="L850" s="173"/>
      <c r="M850" s="173"/>
      <c r="N850" s="173"/>
      <c r="O850" s="173"/>
      <c r="P850" s="173"/>
    </row>
    <row r="851" spans="1:16" ht="11.25" customHeight="1">
      <c r="A851" s="207"/>
      <c r="B851" s="208"/>
      <c r="C851" s="173"/>
      <c r="D851" s="173"/>
      <c r="E851" s="173"/>
      <c r="F851" s="173"/>
      <c r="G851" s="173"/>
      <c r="H851" s="173"/>
      <c r="I851" s="173"/>
      <c r="J851" s="173"/>
      <c r="K851" s="173"/>
      <c r="L851" s="173"/>
      <c r="M851" s="173"/>
      <c r="N851" s="173"/>
      <c r="O851" s="173"/>
      <c r="P851" s="173"/>
    </row>
    <row r="852" spans="1:16" ht="11.25" customHeight="1">
      <c r="A852" s="207"/>
      <c r="B852" s="208"/>
      <c r="C852" s="173"/>
      <c r="D852" s="173"/>
      <c r="E852" s="173"/>
      <c r="F852" s="173"/>
      <c r="G852" s="173"/>
      <c r="H852" s="173"/>
      <c r="I852" s="173"/>
      <c r="J852" s="173"/>
      <c r="K852" s="173"/>
      <c r="L852" s="173"/>
      <c r="M852" s="173"/>
      <c r="N852" s="173"/>
      <c r="O852" s="173"/>
      <c r="P852" s="173"/>
    </row>
    <row r="853" spans="1:16" ht="11.25" customHeight="1">
      <c r="A853" s="207"/>
      <c r="B853" s="208"/>
      <c r="C853" s="173"/>
      <c r="D853" s="173"/>
      <c r="E853" s="173"/>
      <c r="F853" s="173"/>
      <c r="G853" s="173"/>
      <c r="H853" s="173"/>
      <c r="I853" s="173"/>
      <c r="J853" s="173"/>
      <c r="K853" s="173"/>
      <c r="L853" s="173"/>
      <c r="M853" s="173"/>
      <c r="N853" s="173"/>
      <c r="O853" s="173"/>
      <c r="P853" s="173"/>
    </row>
    <row r="854" spans="1:16" ht="11.25" customHeight="1">
      <c r="A854" s="207"/>
      <c r="B854" s="208"/>
      <c r="C854" s="173"/>
      <c r="D854" s="173"/>
      <c r="E854" s="173"/>
      <c r="F854" s="173"/>
      <c r="G854" s="173"/>
      <c r="H854" s="173"/>
      <c r="I854" s="173"/>
      <c r="J854" s="173"/>
      <c r="K854" s="173"/>
      <c r="L854" s="173"/>
      <c r="M854" s="173"/>
      <c r="N854" s="173"/>
      <c r="O854" s="173"/>
      <c r="P854" s="173"/>
    </row>
    <row r="855" spans="1:16" ht="11.25" customHeight="1">
      <c r="A855" s="207"/>
      <c r="B855" s="208"/>
      <c r="C855" s="173"/>
      <c r="D855" s="173"/>
      <c r="E855" s="173"/>
      <c r="F855" s="173"/>
      <c r="G855" s="173"/>
      <c r="H855" s="173"/>
      <c r="I855" s="173"/>
      <c r="J855" s="173"/>
      <c r="K855" s="173"/>
      <c r="L855" s="173"/>
      <c r="M855" s="173"/>
      <c r="N855" s="173"/>
      <c r="O855" s="173"/>
      <c r="P855" s="173"/>
    </row>
    <row r="856" spans="1:16" ht="11.25" customHeight="1">
      <c r="A856" s="207"/>
      <c r="B856" s="208"/>
      <c r="C856" s="173"/>
      <c r="D856" s="173"/>
      <c r="E856" s="173"/>
      <c r="F856" s="173"/>
      <c r="G856" s="173"/>
      <c r="H856" s="173"/>
      <c r="I856" s="173"/>
      <c r="J856" s="173"/>
      <c r="K856" s="173"/>
      <c r="L856" s="173"/>
      <c r="M856" s="173"/>
      <c r="N856" s="173"/>
      <c r="O856" s="173"/>
      <c r="P856" s="173"/>
    </row>
    <row r="857" spans="1:16" ht="11.25" customHeight="1">
      <c r="A857" s="207"/>
      <c r="B857" s="208"/>
      <c r="C857" s="173"/>
      <c r="D857" s="173"/>
      <c r="E857" s="173"/>
      <c r="F857" s="173"/>
      <c r="G857" s="173"/>
      <c r="H857" s="173"/>
      <c r="I857" s="173"/>
      <c r="J857" s="173"/>
      <c r="K857" s="173"/>
      <c r="L857" s="173"/>
      <c r="M857" s="173"/>
      <c r="N857" s="173"/>
      <c r="O857" s="173"/>
      <c r="P857" s="173"/>
    </row>
    <row r="858" spans="1:16" ht="11.25" customHeight="1">
      <c r="A858" s="207"/>
      <c r="B858" s="208"/>
      <c r="C858" s="173"/>
      <c r="D858" s="173"/>
      <c r="E858" s="173"/>
      <c r="F858" s="173"/>
      <c r="G858" s="173"/>
      <c r="H858" s="173"/>
      <c r="I858" s="173"/>
      <c r="J858" s="173"/>
      <c r="K858" s="173"/>
      <c r="L858" s="173"/>
      <c r="M858" s="173"/>
      <c r="N858" s="173"/>
      <c r="O858" s="173"/>
      <c r="P858" s="173"/>
    </row>
    <row r="859" spans="1:16" ht="11.25" customHeight="1">
      <c r="A859" s="207"/>
      <c r="B859" s="208"/>
      <c r="C859" s="173"/>
      <c r="D859" s="173"/>
      <c r="E859" s="173"/>
      <c r="F859" s="173"/>
      <c r="G859" s="173"/>
      <c r="H859" s="173"/>
      <c r="I859" s="173"/>
      <c r="J859" s="173"/>
      <c r="K859" s="173"/>
      <c r="L859" s="173"/>
      <c r="M859" s="173"/>
      <c r="N859" s="173"/>
      <c r="O859" s="173"/>
      <c r="P859" s="173"/>
    </row>
    <row r="860" spans="1:16" ht="11.25" customHeight="1">
      <c r="A860" s="207"/>
      <c r="B860" s="208"/>
      <c r="C860" s="173"/>
      <c r="D860" s="173"/>
      <c r="E860" s="173"/>
      <c r="F860" s="173"/>
      <c r="G860" s="173"/>
      <c r="H860" s="173"/>
      <c r="I860" s="173"/>
      <c r="J860" s="173"/>
      <c r="K860" s="173"/>
      <c r="L860" s="173"/>
      <c r="M860" s="173"/>
      <c r="N860" s="173"/>
      <c r="O860" s="173"/>
      <c r="P860" s="173"/>
    </row>
    <row r="861" spans="1:16" ht="11.25" customHeight="1">
      <c r="A861" s="207"/>
      <c r="B861" s="208"/>
      <c r="C861" s="173"/>
      <c r="D861" s="173"/>
      <c r="E861" s="173"/>
      <c r="F861" s="173"/>
      <c r="G861" s="173"/>
      <c r="H861" s="173"/>
      <c r="I861" s="173"/>
      <c r="J861" s="173"/>
      <c r="K861" s="173"/>
      <c r="L861" s="173"/>
      <c r="M861" s="173"/>
      <c r="N861" s="173"/>
      <c r="O861" s="173"/>
      <c r="P861" s="173"/>
    </row>
    <row r="862" spans="1:16" ht="11.25" customHeight="1">
      <c r="A862" s="207"/>
      <c r="B862" s="208"/>
      <c r="C862" s="173"/>
      <c r="D862" s="173"/>
      <c r="E862" s="173"/>
      <c r="F862" s="173"/>
      <c r="G862" s="173"/>
      <c r="H862" s="173"/>
      <c r="I862" s="173"/>
      <c r="J862" s="173"/>
      <c r="K862" s="173"/>
      <c r="L862" s="173"/>
      <c r="M862" s="173"/>
      <c r="N862" s="173"/>
      <c r="O862" s="173"/>
      <c r="P862" s="173"/>
    </row>
    <row r="863" spans="1:16" ht="11.25" customHeight="1">
      <c r="A863" s="207"/>
      <c r="B863" s="208"/>
      <c r="C863" s="173"/>
      <c r="D863" s="173"/>
      <c r="E863" s="173"/>
      <c r="F863" s="173"/>
      <c r="G863" s="173"/>
      <c r="H863" s="173"/>
      <c r="I863" s="173"/>
      <c r="J863" s="173"/>
      <c r="K863" s="173"/>
      <c r="L863" s="173"/>
      <c r="M863" s="173"/>
      <c r="N863" s="173"/>
      <c r="O863" s="173"/>
      <c r="P863" s="173"/>
    </row>
    <row r="864" spans="1:16" ht="11.25" customHeight="1">
      <c r="A864" s="207"/>
      <c r="B864" s="208"/>
      <c r="C864" s="173"/>
      <c r="D864" s="173"/>
      <c r="E864" s="173"/>
      <c r="F864" s="173"/>
      <c r="G864" s="173"/>
      <c r="H864" s="173"/>
      <c r="I864" s="173"/>
      <c r="J864" s="173"/>
      <c r="K864" s="173"/>
      <c r="L864" s="173"/>
      <c r="M864" s="173"/>
      <c r="N864" s="173"/>
      <c r="O864" s="173"/>
      <c r="P864" s="173"/>
    </row>
    <row r="865" spans="1:16" ht="11.25" customHeight="1">
      <c r="A865" s="207"/>
      <c r="B865" s="208"/>
      <c r="C865" s="173"/>
      <c r="D865" s="173"/>
      <c r="E865" s="173"/>
      <c r="F865" s="173"/>
      <c r="G865" s="173"/>
      <c r="H865" s="173"/>
      <c r="I865" s="173"/>
      <c r="J865" s="173"/>
      <c r="K865" s="173"/>
      <c r="L865" s="173"/>
      <c r="M865" s="173"/>
      <c r="N865" s="173"/>
      <c r="O865" s="173"/>
      <c r="P865" s="173"/>
    </row>
    <row r="866" spans="1:16" ht="11.25" customHeight="1">
      <c r="A866" s="207"/>
      <c r="B866" s="208"/>
      <c r="C866" s="173"/>
      <c r="D866" s="173"/>
      <c r="E866" s="173"/>
      <c r="F866" s="173"/>
      <c r="G866" s="173"/>
      <c r="H866" s="173"/>
      <c r="I866" s="173"/>
      <c r="J866" s="173"/>
      <c r="K866" s="173"/>
      <c r="L866" s="173"/>
      <c r="M866" s="173"/>
      <c r="N866" s="173"/>
      <c r="O866" s="173"/>
      <c r="P866" s="173"/>
    </row>
    <row r="867" spans="1:16" ht="11.25" customHeight="1">
      <c r="A867" s="207"/>
      <c r="B867" s="208"/>
      <c r="C867" s="173"/>
      <c r="D867" s="173"/>
      <c r="E867" s="173"/>
      <c r="F867" s="173"/>
      <c r="G867" s="173"/>
      <c r="H867" s="173"/>
      <c r="I867" s="173"/>
      <c r="J867" s="173"/>
      <c r="K867" s="173"/>
      <c r="L867" s="173"/>
      <c r="M867" s="173"/>
      <c r="N867" s="173"/>
      <c r="O867" s="173"/>
      <c r="P867" s="173"/>
    </row>
    <row r="868" spans="1:16" ht="11.25" customHeight="1">
      <c r="A868" s="207"/>
      <c r="B868" s="208"/>
      <c r="C868" s="173"/>
      <c r="D868" s="173"/>
      <c r="E868" s="173"/>
      <c r="F868" s="173"/>
      <c r="G868" s="173"/>
      <c r="H868" s="173"/>
      <c r="I868" s="173"/>
      <c r="J868" s="173"/>
      <c r="K868" s="173"/>
      <c r="L868" s="173"/>
      <c r="M868" s="173"/>
      <c r="N868" s="173"/>
      <c r="O868" s="173"/>
      <c r="P868" s="173"/>
    </row>
    <row r="869" spans="1:16" ht="11.25" customHeight="1">
      <c r="A869" s="207"/>
      <c r="B869" s="208"/>
      <c r="C869" s="173"/>
      <c r="D869" s="173"/>
      <c r="E869" s="173"/>
      <c r="F869" s="173"/>
      <c r="G869" s="173"/>
      <c r="H869" s="173"/>
      <c r="I869" s="173"/>
      <c r="J869" s="173"/>
      <c r="K869" s="173"/>
      <c r="L869" s="173"/>
      <c r="M869" s="173"/>
      <c r="N869" s="173"/>
      <c r="O869" s="173"/>
      <c r="P869" s="173"/>
    </row>
    <row r="870" spans="1:16" ht="11.25" customHeight="1">
      <c r="A870" s="207"/>
      <c r="B870" s="208"/>
      <c r="C870" s="173"/>
      <c r="D870" s="173"/>
      <c r="E870" s="173"/>
      <c r="F870" s="173"/>
      <c r="G870" s="173"/>
      <c r="H870" s="173"/>
      <c r="I870" s="173"/>
      <c r="J870" s="173"/>
      <c r="K870" s="173"/>
      <c r="L870" s="173"/>
      <c r="M870" s="173"/>
      <c r="N870" s="173"/>
      <c r="O870" s="173"/>
      <c r="P870" s="173"/>
    </row>
    <row r="871" spans="1:16" ht="11.25" customHeight="1">
      <c r="A871" s="207"/>
      <c r="B871" s="208"/>
      <c r="C871" s="173"/>
      <c r="D871" s="173"/>
      <c r="E871" s="173"/>
      <c r="F871" s="173"/>
      <c r="G871" s="173"/>
      <c r="H871" s="173"/>
      <c r="I871" s="173"/>
      <c r="J871" s="173"/>
      <c r="K871" s="173"/>
      <c r="L871" s="173"/>
      <c r="M871" s="173"/>
      <c r="N871" s="173"/>
      <c r="O871" s="173"/>
      <c r="P871" s="173"/>
    </row>
    <row r="872" spans="1:16" ht="11.25" customHeight="1">
      <c r="A872" s="207"/>
      <c r="B872" s="208"/>
      <c r="C872" s="173"/>
      <c r="D872" s="173"/>
      <c r="E872" s="173"/>
      <c r="F872" s="173"/>
      <c r="G872" s="173"/>
      <c r="H872" s="173"/>
      <c r="I872" s="173"/>
      <c r="J872" s="173"/>
      <c r="K872" s="173"/>
      <c r="L872" s="173"/>
      <c r="M872" s="173"/>
      <c r="N872" s="173"/>
      <c r="O872" s="173"/>
      <c r="P872" s="173"/>
    </row>
    <row r="873" spans="1:16" ht="11.25" customHeight="1">
      <c r="A873" s="207"/>
      <c r="B873" s="208"/>
      <c r="C873" s="173"/>
      <c r="D873" s="173"/>
      <c r="E873" s="173"/>
      <c r="F873" s="173"/>
      <c r="G873" s="173"/>
      <c r="H873" s="173"/>
      <c r="I873" s="173"/>
      <c r="J873" s="173"/>
      <c r="K873" s="173"/>
      <c r="L873" s="173"/>
      <c r="M873" s="173"/>
      <c r="N873" s="173"/>
      <c r="O873" s="173"/>
      <c r="P873" s="173"/>
    </row>
    <row r="874" spans="1:16" ht="11.25" customHeight="1">
      <c r="A874" s="207"/>
      <c r="B874" s="208"/>
      <c r="C874" s="173"/>
      <c r="D874" s="173"/>
      <c r="E874" s="173"/>
      <c r="F874" s="173"/>
      <c r="G874" s="173"/>
      <c r="H874" s="173"/>
      <c r="I874" s="173"/>
      <c r="J874" s="173"/>
      <c r="K874" s="173"/>
      <c r="L874" s="173"/>
      <c r="M874" s="173"/>
      <c r="N874" s="173"/>
      <c r="O874" s="173"/>
      <c r="P874" s="173"/>
    </row>
    <row r="875" spans="1:16" ht="11.25" customHeight="1">
      <c r="A875" s="207"/>
      <c r="B875" s="208"/>
      <c r="C875" s="173"/>
      <c r="D875" s="173"/>
      <c r="E875" s="173"/>
      <c r="F875" s="173"/>
      <c r="G875" s="173"/>
      <c r="H875" s="173"/>
      <c r="I875" s="173"/>
      <c r="J875" s="173"/>
      <c r="K875" s="173"/>
      <c r="L875" s="173"/>
      <c r="M875" s="173"/>
      <c r="N875" s="173"/>
      <c r="O875" s="173"/>
      <c r="P875" s="173"/>
    </row>
    <row r="876" spans="1:16" ht="11.25" customHeight="1">
      <c r="A876" s="207"/>
      <c r="B876" s="208"/>
      <c r="C876" s="173"/>
      <c r="D876" s="173"/>
      <c r="E876" s="173"/>
      <c r="F876" s="173"/>
      <c r="G876" s="173"/>
      <c r="H876" s="173"/>
      <c r="I876" s="173"/>
      <c r="J876" s="173"/>
      <c r="K876" s="173"/>
      <c r="L876" s="173"/>
      <c r="M876" s="173"/>
      <c r="N876" s="173"/>
      <c r="O876" s="173"/>
      <c r="P876" s="173"/>
    </row>
    <row r="877" spans="1:16" ht="11.25" customHeight="1">
      <c r="A877" s="207"/>
      <c r="B877" s="208"/>
      <c r="C877" s="173"/>
      <c r="D877" s="173"/>
      <c r="E877" s="173"/>
      <c r="F877" s="173"/>
      <c r="G877" s="173"/>
      <c r="H877" s="173"/>
      <c r="I877" s="173"/>
      <c r="J877" s="173"/>
      <c r="K877" s="173"/>
      <c r="L877" s="173"/>
      <c r="M877" s="173"/>
      <c r="N877" s="173"/>
      <c r="O877" s="173"/>
      <c r="P877" s="173"/>
    </row>
    <row r="878" spans="1:16" ht="11.25" customHeight="1">
      <c r="A878" s="207"/>
      <c r="B878" s="208"/>
      <c r="C878" s="173"/>
      <c r="D878" s="173"/>
      <c r="E878" s="173"/>
      <c r="F878" s="173"/>
      <c r="G878" s="173"/>
      <c r="H878" s="173"/>
      <c r="I878" s="173"/>
      <c r="J878" s="173"/>
      <c r="K878" s="173"/>
      <c r="L878" s="173"/>
      <c r="M878" s="173"/>
      <c r="N878" s="173"/>
      <c r="O878" s="173"/>
      <c r="P878" s="173"/>
    </row>
    <row r="879" spans="1:16" ht="11.25" customHeight="1">
      <c r="A879" s="207"/>
      <c r="B879" s="208"/>
      <c r="C879" s="173"/>
      <c r="D879" s="173"/>
      <c r="E879" s="173"/>
      <c r="F879" s="173"/>
      <c r="G879" s="173"/>
      <c r="H879" s="173"/>
      <c r="I879" s="173"/>
      <c r="J879" s="173"/>
      <c r="K879" s="173"/>
      <c r="L879" s="173"/>
      <c r="M879" s="173"/>
      <c r="N879" s="173"/>
      <c r="O879" s="173"/>
      <c r="P879" s="173"/>
    </row>
    <row r="880" spans="1:16" ht="11.25" customHeight="1">
      <c r="A880" s="207"/>
      <c r="B880" s="208"/>
      <c r="C880" s="173"/>
      <c r="D880" s="173"/>
      <c r="E880" s="173"/>
      <c r="F880" s="173"/>
      <c r="G880" s="173"/>
      <c r="H880" s="173"/>
      <c r="I880" s="173"/>
      <c r="J880" s="173"/>
      <c r="K880" s="173"/>
      <c r="L880" s="173"/>
      <c r="M880" s="173"/>
      <c r="N880" s="173"/>
      <c r="O880" s="173"/>
      <c r="P880" s="173"/>
    </row>
    <row r="881" spans="1:16" ht="11.25" customHeight="1">
      <c r="A881" s="207"/>
      <c r="B881" s="208"/>
      <c r="C881" s="173"/>
      <c r="D881" s="173"/>
      <c r="E881" s="173"/>
      <c r="F881" s="173"/>
      <c r="G881" s="173"/>
      <c r="H881" s="173"/>
      <c r="I881" s="173"/>
      <c r="J881" s="173"/>
      <c r="K881" s="173"/>
      <c r="L881" s="173"/>
      <c r="M881" s="173"/>
      <c r="N881" s="173"/>
      <c r="O881" s="173"/>
      <c r="P881" s="173"/>
    </row>
    <row r="882" spans="1:16" ht="11.25" customHeight="1">
      <c r="A882" s="207"/>
      <c r="B882" s="208"/>
      <c r="C882" s="173"/>
      <c r="D882" s="173"/>
      <c r="E882" s="173"/>
      <c r="F882" s="173"/>
      <c r="G882" s="173"/>
      <c r="H882" s="173"/>
      <c r="I882" s="173"/>
      <c r="J882" s="173"/>
      <c r="K882" s="173"/>
      <c r="L882" s="173"/>
      <c r="M882" s="173"/>
      <c r="N882" s="173"/>
      <c r="O882" s="173"/>
      <c r="P882" s="173"/>
    </row>
    <row r="883" spans="1:16" ht="11.25" customHeight="1">
      <c r="A883" s="207"/>
      <c r="B883" s="208"/>
      <c r="C883" s="173"/>
      <c r="D883" s="173"/>
      <c r="E883" s="173"/>
      <c r="F883" s="173"/>
      <c r="G883" s="173"/>
      <c r="H883" s="173"/>
      <c r="I883" s="173"/>
      <c r="J883" s="173"/>
      <c r="K883" s="173"/>
      <c r="L883" s="173"/>
      <c r="M883" s="173"/>
      <c r="N883" s="173"/>
      <c r="O883" s="173"/>
      <c r="P883" s="173"/>
    </row>
    <row r="884" spans="1:16" ht="11.25" customHeight="1">
      <c r="A884" s="207"/>
      <c r="B884" s="208"/>
      <c r="C884" s="173"/>
      <c r="D884" s="173"/>
      <c r="E884" s="173"/>
      <c r="F884" s="173"/>
      <c r="G884" s="173"/>
      <c r="H884" s="173"/>
      <c r="I884" s="173"/>
      <c r="J884" s="173"/>
      <c r="K884" s="173"/>
      <c r="L884" s="173"/>
      <c r="M884" s="173"/>
      <c r="N884" s="173"/>
      <c r="O884" s="173"/>
      <c r="P884" s="173"/>
    </row>
    <row r="885" spans="1:16" ht="11.25" customHeight="1">
      <c r="A885" s="207"/>
      <c r="B885" s="208"/>
      <c r="C885" s="173"/>
      <c r="D885" s="173"/>
      <c r="E885" s="173"/>
      <c r="F885" s="173"/>
      <c r="G885" s="173"/>
      <c r="H885" s="173"/>
      <c r="I885" s="173"/>
      <c r="J885" s="173"/>
      <c r="K885" s="173"/>
      <c r="L885" s="173"/>
      <c r="M885" s="173"/>
      <c r="N885" s="173"/>
      <c r="O885" s="173"/>
      <c r="P885" s="173"/>
    </row>
    <row r="886" spans="1:16" ht="11.25" customHeight="1">
      <c r="A886" s="207"/>
      <c r="B886" s="208"/>
      <c r="C886" s="173"/>
      <c r="D886" s="173"/>
      <c r="E886" s="173"/>
      <c r="F886" s="173"/>
      <c r="G886" s="173"/>
      <c r="H886" s="173"/>
      <c r="I886" s="173"/>
      <c r="J886" s="173"/>
      <c r="K886" s="173"/>
      <c r="L886" s="173"/>
      <c r="M886" s="173"/>
      <c r="N886" s="173"/>
      <c r="O886" s="173"/>
      <c r="P886" s="173"/>
    </row>
    <row r="887" spans="1:16" ht="11.25" customHeight="1">
      <c r="A887" s="207"/>
      <c r="B887" s="208"/>
      <c r="C887" s="173"/>
      <c r="D887" s="173"/>
      <c r="E887" s="173"/>
      <c r="F887" s="173"/>
      <c r="G887" s="173"/>
      <c r="H887" s="173"/>
      <c r="I887" s="173"/>
      <c r="J887" s="173"/>
      <c r="K887" s="173"/>
      <c r="L887" s="173"/>
      <c r="M887" s="173"/>
      <c r="N887" s="173"/>
      <c r="O887" s="173"/>
      <c r="P887" s="173"/>
    </row>
    <row r="888" spans="1:16" ht="11.25" customHeight="1">
      <c r="A888" s="207"/>
      <c r="B888" s="208"/>
      <c r="C888" s="173"/>
      <c r="D888" s="173"/>
      <c r="E888" s="173"/>
      <c r="F888" s="173"/>
      <c r="G888" s="173"/>
      <c r="H888" s="173"/>
      <c r="I888" s="173"/>
      <c r="J888" s="173"/>
      <c r="K888" s="173"/>
      <c r="L888" s="173"/>
      <c r="M888" s="173"/>
      <c r="N888" s="173"/>
      <c r="O888" s="173"/>
      <c r="P888" s="173"/>
    </row>
    <row r="889" spans="1:16" ht="11.25" customHeight="1">
      <c r="A889" s="207"/>
      <c r="B889" s="208"/>
      <c r="C889" s="173"/>
      <c r="D889" s="173"/>
      <c r="E889" s="173"/>
      <c r="F889" s="173"/>
      <c r="G889" s="173"/>
      <c r="H889" s="173"/>
      <c r="I889" s="173"/>
      <c r="J889" s="173"/>
      <c r="K889" s="173"/>
      <c r="L889" s="173"/>
      <c r="M889" s="173"/>
      <c r="N889" s="173"/>
      <c r="O889" s="173"/>
      <c r="P889" s="173"/>
    </row>
    <row r="890" spans="1:16" ht="11.25" customHeight="1">
      <c r="A890" s="207"/>
      <c r="B890" s="208"/>
      <c r="C890" s="173"/>
      <c r="D890" s="173"/>
      <c r="E890" s="173"/>
      <c r="F890" s="173"/>
      <c r="G890" s="173"/>
      <c r="H890" s="173"/>
      <c r="I890" s="173"/>
      <c r="J890" s="173"/>
      <c r="K890" s="173"/>
      <c r="L890" s="173"/>
      <c r="M890" s="173"/>
      <c r="N890" s="173"/>
      <c r="O890" s="173"/>
      <c r="P890" s="173"/>
    </row>
    <row r="891" spans="1:16" ht="11.25" customHeight="1">
      <c r="A891" s="207"/>
      <c r="B891" s="208"/>
      <c r="C891" s="173"/>
      <c r="D891" s="173"/>
      <c r="E891" s="173"/>
      <c r="F891" s="173"/>
      <c r="G891" s="173"/>
      <c r="H891" s="173"/>
      <c r="I891" s="173"/>
      <c r="J891" s="173"/>
      <c r="K891" s="173"/>
      <c r="L891" s="173"/>
      <c r="M891" s="173"/>
      <c r="N891" s="173"/>
      <c r="O891" s="173"/>
      <c r="P891" s="173"/>
    </row>
    <row r="892" spans="1:16" ht="11.25" customHeight="1">
      <c r="A892" s="207"/>
      <c r="B892" s="208"/>
      <c r="C892" s="173"/>
      <c r="D892" s="173"/>
      <c r="E892" s="173"/>
      <c r="F892" s="173"/>
      <c r="G892" s="173"/>
      <c r="H892" s="173"/>
      <c r="I892" s="173"/>
      <c r="J892" s="173"/>
      <c r="K892" s="173"/>
      <c r="L892" s="173"/>
      <c r="M892" s="173"/>
      <c r="N892" s="173"/>
      <c r="O892" s="173"/>
      <c r="P892" s="173"/>
    </row>
    <row r="893" spans="1:16" ht="11.25" customHeight="1">
      <c r="A893" s="207"/>
      <c r="B893" s="208"/>
      <c r="C893" s="173"/>
      <c r="D893" s="173"/>
      <c r="E893" s="173"/>
      <c r="F893" s="173"/>
      <c r="G893" s="173"/>
      <c r="H893" s="173"/>
      <c r="I893" s="173"/>
      <c r="J893" s="173"/>
      <c r="K893" s="173"/>
      <c r="L893" s="173"/>
      <c r="M893" s="173"/>
      <c r="N893" s="173"/>
      <c r="O893" s="173"/>
      <c r="P893" s="173"/>
    </row>
    <row r="894" spans="1:16" ht="11.25" customHeight="1">
      <c r="A894" s="207"/>
      <c r="B894" s="208"/>
      <c r="C894" s="173"/>
      <c r="D894" s="173"/>
      <c r="E894" s="173"/>
      <c r="F894" s="173"/>
      <c r="G894" s="173"/>
      <c r="H894" s="173"/>
      <c r="I894" s="173"/>
      <c r="J894" s="173"/>
      <c r="K894" s="173"/>
      <c r="L894" s="173"/>
      <c r="M894" s="173"/>
      <c r="N894" s="173"/>
      <c r="O894" s="173"/>
      <c r="P894" s="173"/>
    </row>
    <row r="895" spans="1:16" ht="11.25" customHeight="1">
      <c r="A895" s="207"/>
      <c r="B895" s="208"/>
      <c r="C895" s="173"/>
      <c r="D895" s="173"/>
      <c r="E895" s="173"/>
      <c r="F895" s="173"/>
      <c r="G895" s="173"/>
      <c r="H895" s="173"/>
      <c r="I895" s="173"/>
      <c r="J895" s="173"/>
      <c r="K895" s="173"/>
      <c r="L895" s="173"/>
      <c r="M895" s="173"/>
      <c r="N895" s="173"/>
      <c r="O895" s="173"/>
      <c r="P895" s="173"/>
    </row>
    <row r="896" spans="1:16" ht="11.25" customHeight="1">
      <c r="A896" s="207"/>
      <c r="B896" s="208"/>
      <c r="C896" s="173"/>
      <c r="D896" s="173"/>
      <c r="E896" s="173"/>
      <c r="F896" s="173"/>
      <c r="G896" s="173"/>
      <c r="H896" s="173"/>
      <c r="I896" s="173"/>
      <c r="J896" s="173"/>
      <c r="K896" s="173"/>
      <c r="L896" s="173"/>
      <c r="M896" s="173"/>
      <c r="N896" s="173"/>
      <c r="O896" s="173"/>
      <c r="P896" s="173"/>
    </row>
    <row r="897" spans="1:16" ht="11.25" customHeight="1">
      <c r="A897" s="207"/>
      <c r="B897" s="208"/>
      <c r="C897" s="173"/>
      <c r="D897" s="173"/>
      <c r="E897" s="173"/>
      <c r="F897" s="173"/>
      <c r="G897" s="173"/>
      <c r="H897" s="173"/>
      <c r="I897" s="173"/>
      <c r="J897" s="173"/>
      <c r="K897" s="173"/>
      <c r="L897" s="173"/>
      <c r="M897" s="173"/>
      <c r="N897" s="173"/>
      <c r="O897" s="173"/>
      <c r="P897" s="173"/>
    </row>
    <row r="898" spans="1:16" ht="11.25" customHeight="1">
      <c r="A898" s="207"/>
      <c r="B898" s="208"/>
      <c r="C898" s="173"/>
      <c r="D898" s="173"/>
      <c r="E898" s="173"/>
      <c r="F898" s="173"/>
      <c r="G898" s="173"/>
      <c r="H898" s="173"/>
      <c r="I898" s="173"/>
      <c r="J898" s="173"/>
      <c r="K898" s="173"/>
      <c r="L898" s="173"/>
      <c r="M898" s="173"/>
      <c r="N898" s="173"/>
      <c r="O898" s="173"/>
      <c r="P898" s="173"/>
    </row>
    <row r="899" spans="1:16" ht="11.25" customHeight="1">
      <c r="A899" s="207"/>
      <c r="B899" s="208"/>
      <c r="C899" s="173"/>
      <c r="D899" s="173"/>
      <c r="E899" s="173"/>
      <c r="F899" s="173"/>
      <c r="G899" s="173"/>
      <c r="H899" s="173"/>
      <c r="I899" s="173"/>
      <c r="J899" s="173"/>
      <c r="K899" s="173"/>
      <c r="L899" s="173"/>
      <c r="M899" s="173"/>
      <c r="N899" s="173"/>
      <c r="O899" s="173"/>
      <c r="P899" s="173"/>
    </row>
    <row r="900" spans="1:16" ht="11.25" customHeight="1">
      <c r="A900" s="207"/>
      <c r="B900" s="208"/>
      <c r="C900" s="173"/>
      <c r="D900" s="173"/>
      <c r="E900" s="173"/>
      <c r="F900" s="173"/>
      <c r="G900" s="173"/>
      <c r="H900" s="173"/>
      <c r="I900" s="173"/>
      <c r="J900" s="173"/>
      <c r="K900" s="173"/>
      <c r="L900" s="173"/>
      <c r="M900" s="173"/>
      <c r="N900" s="173"/>
      <c r="O900" s="173"/>
      <c r="P900" s="173"/>
    </row>
    <row r="901" spans="1:16" ht="11.25" customHeight="1">
      <c r="A901" s="207"/>
      <c r="B901" s="208"/>
      <c r="C901" s="173"/>
      <c r="D901" s="173"/>
      <c r="E901" s="173"/>
      <c r="F901" s="173"/>
      <c r="G901" s="173"/>
      <c r="H901" s="173"/>
      <c r="I901" s="173"/>
      <c r="J901" s="173"/>
      <c r="K901" s="173"/>
      <c r="L901" s="173"/>
      <c r="M901" s="173"/>
      <c r="N901" s="173"/>
      <c r="O901" s="173"/>
      <c r="P901" s="173"/>
    </row>
    <row r="902" spans="1:16" ht="11.25" customHeight="1">
      <c r="A902" s="207"/>
      <c r="B902" s="208"/>
      <c r="C902" s="173"/>
      <c r="D902" s="173"/>
      <c r="E902" s="173"/>
      <c r="F902" s="173"/>
      <c r="G902" s="173"/>
      <c r="H902" s="173"/>
      <c r="I902" s="173"/>
      <c r="J902" s="173"/>
      <c r="K902" s="173"/>
      <c r="L902" s="173"/>
      <c r="M902" s="173"/>
      <c r="N902" s="173"/>
      <c r="O902" s="173"/>
      <c r="P902" s="173"/>
    </row>
    <row r="903" spans="1:16" ht="11.25" customHeight="1">
      <c r="A903" s="207"/>
      <c r="B903" s="208"/>
      <c r="C903" s="173"/>
      <c r="D903" s="173"/>
      <c r="E903" s="173"/>
      <c r="F903" s="173"/>
      <c r="G903" s="173"/>
      <c r="H903" s="173"/>
      <c r="I903" s="173"/>
      <c r="J903" s="173"/>
      <c r="K903" s="173"/>
      <c r="L903" s="173"/>
      <c r="M903" s="173"/>
      <c r="N903" s="173"/>
      <c r="O903" s="173"/>
      <c r="P903" s="173"/>
    </row>
    <row r="904" spans="1:16" ht="11.25" customHeight="1">
      <c r="A904" s="207"/>
      <c r="B904" s="208"/>
      <c r="C904" s="173"/>
      <c r="D904" s="173"/>
      <c r="E904" s="173"/>
      <c r="F904" s="173"/>
      <c r="G904" s="173"/>
      <c r="H904" s="173"/>
      <c r="I904" s="173"/>
      <c r="J904" s="173"/>
      <c r="K904" s="173"/>
      <c r="L904" s="173"/>
      <c r="M904" s="173"/>
      <c r="N904" s="173"/>
      <c r="O904" s="173"/>
      <c r="P904" s="173"/>
    </row>
    <row r="905" spans="1:16" ht="11.25" customHeight="1">
      <c r="A905" s="207"/>
      <c r="B905" s="208"/>
      <c r="C905" s="173"/>
      <c r="D905" s="173"/>
      <c r="E905" s="173"/>
      <c r="F905" s="173"/>
      <c r="G905" s="173"/>
      <c r="H905" s="173"/>
      <c r="I905" s="173"/>
      <c r="J905" s="173"/>
      <c r="K905" s="173"/>
      <c r="L905" s="173"/>
      <c r="M905" s="173"/>
      <c r="N905" s="173"/>
      <c r="O905" s="173"/>
      <c r="P905" s="173"/>
    </row>
    <row r="906" spans="1:16" ht="11.25" customHeight="1">
      <c r="A906" s="207"/>
      <c r="B906" s="208"/>
      <c r="C906" s="173"/>
      <c r="D906" s="173"/>
      <c r="E906" s="173"/>
      <c r="F906" s="173"/>
      <c r="G906" s="173"/>
      <c r="H906" s="173"/>
      <c r="I906" s="173"/>
      <c r="J906" s="173"/>
      <c r="K906" s="173"/>
      <c r="L906" s="173"/>
      <c r="M906" s="173"/>
      <c r="N906" s="173"/>
      <c r="O906" s="173"/>
      <c r="P906" s="173"/>
    </row>
    <row r="907" spans="1:16" ht="11.25" customHeight="1">
      <c r="A907" s="207"/>
      <c r="B907" s="208"/>
      <c r="C907" s="173"/>
      <c r="D907" s="173"/>
      <c r="E907" s="173"/>
      <c r="F907" s="173"/>
      <c r="G907" s="173"/>
      <c r="H907" s="173"/>
      <c r="I907" s="173"/>
      <c r="J907" s="173"/>
      <c r="K907" s="173"/>
      <c r="L907" s="173"/>
      <c r="M907" s="173"/>
      <c r="N907" s="173"/>
      <c r="O907" s="173"/>
      <c r="P907" s="173"/>
    </row>
    <row r="908" spans="1:16" ht="11.25" customHeight="1">
      <c r="A908" s="207"/>
      <c r="B908" s="208"/>
      <c r="C908" s="173"/>
      <c r="D908" s="173"/>
      <c r="E908" s="173"/>
      <c r="F908" s="173"/>
      <c r="G908" s="173"/>
      <c r="H908" s="173"/>
      <c r="I908" s="173"/>
      <c r="J908" s="173"/>
      <c r="K908" s="173"/>
      <c r="L908" s="173"/>
      <c r="M908" s="173"/>
      <c r="N908" s="173"/>
      <c r="O908" s="173"/>
      <c r="P908" s="173"/>
    </row>
    <row r="909" spans="1:16" ht="11.25" customHeight="1">
      <c r="A909" s="207"/>
      <c r="B909" s="208"/>
      <c r="C909" s="173"/>
      <c r="D909" s="173"/>
      <c r="E909" s="173"/>
      <c r="F909" s="173"/>
      <c r="G909" s="173"/>
      <c r="H909" s="173"/>
      <c r="I909" s="173"/>
      <c r="J909" s="173"/>
      <c r="K909" s="173"/>
      <c r="L909" s="173"/>
      <c r="M909" s="173"/>
      <c r="N909" s="173"/>
      <c r="O909" s="173"/>
      <c r="P909" s="173"/>
    </row>
    <row r="910" spans="1:16" ht="11.25" customHeight="1">
      <c r="A910" s="207"/>
      <c r="B910" s="208"/>
      <c r="C910" s="173"/>
      <c r="D910" s="173"/>
      <c r="E910" s="173"/>
      <c r="F910" s="173"/>
      <c r="G910" s="173"/>
      <c r="H910" s="173"/>
      <c r="I910" s="173"/>
      <c r="J910" s="173"/>
      <c r="K910" s="173"/>
      <c r="L910" s="173"/>
      <c r="M910" s="173"/>
      <c r="N910" s="173"/>
      <c r="O910" s="173"/>
      <c r="P910" s="173"/>
    </row>
    <row r="911" spans="1:16" ht="11.25" customHeight="1">
      <c r="A911" s="207"/>
      <c r="B911" s="208"/>
      <c r="C911" s="173"/>
      <c r="D911" s="173"/>
      <c r="E911" s="173"/>
      <c r="F911" s="173"/>
      <c r="G911" s="173"/>
      <c r="H911" s="173"/>
      <c r="I911" s="173"/>
      <c r="J911" s="173"/>
      <c r="K911" s="173"/>
      <c r="L911" s="173"/>
      <c r="M911" s="173"/>
      <c r="N911" s="173"/>
      <c r="O911" s="173"/>
      <c r="P911" s="173"/>
    </row>
    <row r="912" spans="1:16" ht="11.25" customHeight="1">
      <c r="A912" s="207"/>
      <c r="B912" s="208"/>
      <c r="C912" s="173"/>
      <c r="D912" s="173"/>
      <c r="E912" s="173"/>
      <c r="F912" s="173"/>
      <c r="G912" s="173"/>
      <c r="H912" s="173"/>
      <c r="I912" s="173"/>
      <c r="J912" s="173"/>
      <c r="K912" s="173"/>
      <c r="L912" s="173"/>
      <c r="M912" s="173"/>
      <c r="N912" s="173"/>
      <c r="O912" s="173"/>
      <c r="P912" s="173"/>
    </row>
    <row r="913" spans="1:16" ht="11.25" customHeight="1">
      <c r="A913" s="207"/>
      <c r="B913" s="208"/>
      <c r="C913" s="173"/>
      <c r="D913" s="173"/>
      <c r="E913" s="173"/>
      <c r="F913" s="173"/>
      <c r="G913" s="173"/>
      <c r="H913" s="173"/>
      <c r="I913" s="173"/>
      <c r="J913" s="173"/>
      <c r="K913" s="173"/>
      <c r="L913" s="173"/>
      <c r="M913" s="173"/>
      <c r="N913" s="173"/>
      <c r="O913" s="173"/>
      <c r="P913" s="173"/>
    </row>
    <row r="914" spans="1:16" ht="11.25" customHeight="1">
      <c r="A914" s="207"/>
      <c r="B914" s="208"/>
      <c r="C914" s="173"/>
      <c r="D914" s="173"/>
      <c r="E914" s="173"/>
      <c r="F914" s="173"/>
      <c r="G914" s="173"/>
      <c r="H914" s="173"/>
      <c r="I914" s="173"/>
      <c r="J914" s="173"/>
      <c r="K914" s="173"/>
      <c r="L914" s="173"/>
      <c r="M914" s="173"/>
      <c r="N914" s="173"/>
      <c r="O914" s="173"/>
      <c r="P914" s="173"/>
    </row>
    <row r="915" spans="1:16" ht="11.25" customHeight="1">
      <c r="A915" s="207"/>
      <c r="B915" s="208"/>
      <c r="C915" s="173"/>
      <c r="D915" s="173"/>
      <c r="E915" s="173"/>
      <c r="F915" s="173"/>
      <c r="G915" s="173"/>
      <c r="H915" s="173"/>
      <c r="I915" s="173"/>
      <c r="J915" s="173"/>
      <c r="K915" s="173"/>
      <c r="L915" s="173"/>
      <c r="M915" s="173"/>
      <c r="N915" s="173"/>
      <c r="O915" s="173"/>
      <c r="P915" s="173"/>
    </row>
    <row r="916" spans="1:16" ht="11.25" customHeight="1">
      <c r="A916" s="207"/>
      <c r="B916" s="208"/>
      <c r="C916" s="173"/>
      <c r="D916" s="173"/>
      <c r="E916" s="173"/>
      <c r="F916" s="173"/>
      <c r="G916" s="173"/>
      <c r="H916" s="173"/>
      <c r="I916" s="173"/>
      <c r="J916" s="173"/>
      <c r="K916" s="173"/>
      <c r="L916" s="173"/>
      <c r="M916" s="173"/>
      <c r="N916" s="173"/>
      <c r="O916" s="173"/>
      <c r="P916" s="173"/>
    </row>
    <row r="917" spans="1:16" ht="11.25" customHeight="1">
      <c r="A917" s="207"/>
      <c r="B917" s="208"/>
      <c r="C917" s="173"/>
      <c r="D917" s="173"/>
      <c r="E917" s="173"/>
      <c r="F917" s="173"/>
      <c r="G917" s="173"/>
      <c r="H917" s="173"/>
      <c r="I917" s="173"/>
      <c r="J917" s="173"/>
      <c r="K917" s="173"/>
      <c r="L917" s="173"/>
      <c r="M917" s="173"/>
      <c r="N917" s="173"/>
      <c r="O917" s="173"/>
      <c r="P917" s="173"/>
    </row>
    <row r="918" spans="1:16" ht="11.25" customHeight="1">
      <c r="A918" s="207"/>
      <c r="B918" s="208"/>
      <c r="C918" s="173"/>
      <c r="D918" s="173"/>
      <c r="E918" s="173"/>
      <c r="F918" s="173"/>
      <c r="G918" s="173"/>
      <c r="H918" s="173"/>
      <c r="I918" s="173"/>
      <c r="J918" s="173"/>
      <c r="K918" s="173"/>
      <c r="L918" s="173"/>
      <c r="M918" s="173"/>
      <c r="N918" s="173"/>
      <c r="O918" s="173"/>
      <c r="P918" s="173"/>
    </row>
    <row r="919" spans="1:16" ht="11.25" customHeight="1">
      <c r="A919" s="207"/>
      <c r="B919" s="208"/>
      <c r="C919" s="173"/>
      <c r="D919" s="173"/>
      <c r="E919" s="173"/>
      <c r="F919" s="173"/>
      <c r="G919" s="173"/>
      <c r="H919" s="173"/>
      <c r="I919" s="173"/>
      <c r="J919" s="173"/>
      <c r="K919" s="173"/>
      <c r="L919" s="173"/>
      <c r="M919" s="173"/>
      <c r="N919" s="173"/>
      <c r="O919" s="173"/>
      <c r="P919" s="173"/>
    </row>
    <row r="920" spans="1:16" ht="11.25" customHeight="1">
      <c r="A920" s="207"/>
      <c r="B920" s="208"/>
      <c r="C920" s="173"/>
      <c r="D920" s="173"/>
      <c r="E920" s="173"/>
      <c r="F920" s="173"/>
      <c r="G920" s="173"/>
      <c r="H920" s="173"/>
      <c r="I920" s="173"/>
      <c r="J920" s="173"/>
      <c r="K920" s="173"/>
      <c r="L920" s="173"/>
      <c r="M920" s="173"/>
      <c r="N920" s="173"/>
      <c r="O920" s="173"/>
      <c r="P920" s="173"/>
    </row>
    <row r="921" spans="1:16" ht="11.25" customHeight="1">
      <c r="A921" s="207"/>
      <c r="B921" s="208"/>
      <c r="C921" s="173"/>
      <c r="D921" s="173"/>
      <c r="E921" s="173"/>
      <c r="F921" s="173"/>
      <c r="G921" s="173"/>
      <c r="H921" s="173"/>
      <c r="I921" s="173"/>
      <c r="J921" s="173"/>
      <c r="K921" s="173"/>
      <c r="L921" s="173"/>
      <c r="M921" s="173"/>
      <c r="N921" s="173"/>
      <c r="O921" s="173"/>
      <c r="P921" s="173"/>
    </row>
    <row r="922" spans="1:16" ht="11.25" customHeight="1">
      <c r="A922" s="207"/>
      <c r="B922" s="208"/>
      <c r="C922" s="173"/>
      <c r="D922" s="173"/>
      <c r="E922" s="173"/>
      <c r="F922" s="173"/>
      <c r="G922" s="173"/>
      <c r="H922" s="173"/>
      <c r="I922" s="173"/>
      <c r="J922" s="173"/>
      <c r="K922" s="173"/>
      <c r="L922" s="173"/>
      <c r="M922" s="173"/>
      <c r="N922" s="173"/>
      <c r="O922" s="173"/>
      <c r="P922" s="173"/>
    </row>
    <row r="923" spans="1:16" ht="11.25" customHeight="1">
      <c r="A923" s="207"/>
      <c r="B923" s="208"/>
      <c r="C923" s="173"/>
      <c r="D923" s="173"/>
      <c r="E923" s="173"/>
      <c r="F923" s="173"/>
      <c r="G923" s="173"/>
      <c r="H923" s="173"/>
      <c r="I923" s="173"/>
      <c r="J923" s="173"/>
      <c r="K923" s="173"/>
      <c r="L923" s="173"/>
      <c r="M923" s="173"/>
      <c r="N923" s="173"/>
      <c r="O923" s="173"/>
      <c r="P923" s="173"/>
    </row>
    <row r="924" spans="1:16" ht="11.25" customHeight="1">
      <c r="A924" s="207"/>
      <c r="B924" s="208"/>
      <c r="C924" s="173"/>
      <c r="D924" s="173"/>
      <c r="E924" s="173"/>
      <c r="F924" s="173"/>
      <c r="G924" s="173"/>
      <c r="H924" s="173"/>
      <c r="I924" s="173"/>
      <c r="J924" s="173"/>
      <c r="K924" s="173"/>
      <c r="L924" s="173"/>
      <c r="M924" s="173"/>
      <c r="N924" s="173"/>
      <c r="O924" s="173"/>
      <c r="P924" s="173"/>
    </row>
    <row r="925" spans="1:16" ht="11.25" customHeight="1">
      <c r="A925" s="207"/>
      <c r="B925" s="208"/>
      <c r="C925" s="173"/>
      <c r="D925" s="173"/>
      <c r="E925" s="173"/>
      <c r="F925" s="173"/>
      <c r="G925" s="173"/>
      <c r="H925" s="173"/>
      <c r="I925" s="173"/>
      <c r="J925" s="173"/>
      <c r="K925" s="173"/>
      <c r="L925" s="173"/>
      <c r="M925" s="173"/>
      <c r="N925" s="173"/>
      <c r="O925" s="173"/>
      <c r="P925" s="173"/>
    </row>
    <row r="926" spans="1:16" ht="11.25" customHeight="1">
      <c r="A926" s="207"/>
      <c r="B926" s="208"/>
      <c r="C926" s="173"/>
      <c r="D926" s="173"/>
      <c r="E926" s="173"/>
      <c r="F926" s="173"/>
      <c r="G926" s="173"/>
      <c r="H926" s="173"/>
      <c r="I926" s="173"/>
      <c r="J926" s="173"/>
      <c r="K926" s="173"/>
      <c r="L926" s="173"/>
      <c r="M926" s="173"/>
      <c r="N926" s="173"/>
      <c r="O926" s="173"/>
      <c r="P926" s="173"/>
    </row>
    <row r="927" spans="1:16" ht="11.25" customHeight="1">
      <c r="A927" s="207"/>
      <c r="B927" s="208"/>
      <c r="C927" s="173"/>
      <c r="D927" s="173"/>
      <c r="E927" s="173"/>
      <c r="F927" s="173"/>
      <c r="G927" s="173"/>
      <c r="H927" s="173"/>
      <c r="I927" s="173"/>
      <c r="J927" s="173"/>
      <c r="K927" s="173"/>
      <c r="L927" s="173"/>
      <c r="M927" s="173"/>
      <c r="N927" s="173"/>
      <c r="O927" s="173"/>
      <c r="P927" s="173"/>
    </row>
    <row r="928" spans="1:16" ht="11.25" customHeight="1">
      <c r="A928" s="207"/>
      <c r="B928" s="208"/>
      <c r="C928" s="173"/>
      <c r="D928" s="173"/>
      <c r="E928" s="173"/>
      <c r="F928" s="173"/>
      <c r="G928" s="173"/>
      <c r="H928" s="173"/>
      <c r="I928" s="173"/>
      <c r="J928" s="173"/>
      <c r="K928" s="173"/>
      <c r="L928" s="173"/>
      <c r="M928" s="173"/>
      <c r="N928" s="173"/>
      <c r="O928" s="173"/>
      <c r="P928" s="173"/>
    </row>
    <row r="929" spans="1:16" ht="11.25" customHeight="1">
      <c r="A929" s="207"/>
      <c r="B929" s="208"/>
      <c r="C929" s="173"/>
      <c r="D929" s="173"/>
      <c r="E929" s="173"/>
      <c r="F929" s="173"/>
      <c r="G929" s="173"/>
      <c r="H929" s="173"/>
      <c r="I929" s="173"/>
      <c r="J929" s="173"/>
      <c r="K929" s="173"/>
      <c r="L929" s="173"/>
      <c r="M929" s="173"/>
      <c r="N929" s="173"/>
      <c r="O929" s="173"/>
      <c r="P929" s="173"/>
    </row>
    <row r="930" spans="1:16" ht="11.25" customHeight="1">
      <c r="A930" s="207"/>
      <c r="B930" s="208"/>
      <c r="C930" s="173"/>
      <c r="D930" s="173"/>
      <c r="E930" s="173"/>
      <c r="F930" s="173"/>
      <c r="G930" s="173"/>
      <c r="H930" s="173"/>
      <c r="I930" s="173"/>
      <c r="J930" s="173"/>
      <c r="K930" s="173"/>
      <c r="L930" s="173"/>
      <c r="M930" s="173"/>
      <c r="N930" s="173"/>
      <c r="O930" s="173"/>
      <c r="P930" s="173"/>
    </row>
    <row r="931" spans="1:16" ht="11.25" customHeight="1">
      <c r="A931" s="207"/>
      <c r="B931" s="208"/>
      <c r="C931" s="173"/>
      <c r="D931" s="173"/>
      <c r="E931" s="173"/>
      <c r="F931" s="173"/>
      <c r="G931" s="173"/>
      <c r="H931" s="173"/>
      <c r="I931" s="173"/>
      <c r="J931" s="173"/>
      <c r="K931" s="173"/>
      <c r="L931" s="173"/>
      <c r="M931" s="173"/>
      <c r="N931" s="173"/>
      <c r="O931" s="173"/>
      <c r="P931" s="173"/>
    </row>
    <row r="932" spans="1:16" ht="11.25" customHeight="1">
      <c r="A932" s="207"/>
      <c r="B932" s="208"/>
      <c r="C932" s="173"/>
      <c r="D932" s="173"/>
      <c r="E932" s="173"/>
      <c r="F932" s="173"/>
      <c r="G932" s="173"/>
      <c r="H932" s="173"/>
      <c r="I932" s="173"/>
      <c r="J932" s="173"/>
      <c r="K932" s="173"/>
      <c r="L932" s="173"/>
      <c r="M932" s="173"/>
      <c r="N932" s="173"/>
      <c r="O932" s="173"/>
      <c r="P932" s="173"/>
    </row>
    <row r="933" spans="1:16" ht="11.25" customHeight="1">
      <c r="A933" s="207"/>
      <c r="B933" s="208"/>
      <c r="C933" s="173"/>
      <c r="D933" s="173"/>
      <c r="E933" s="173"/>
      <c r="F933" s="173"/>
      <c r="G933" s="173"/>
      <c r="H933" s="173"/>
      <c r="I933" s="173"/>
      <c r="J933" s="173"/>
      <c r="K933" s="173"/>
      <c r="L933" s="173"/>
      <c r="M933" s="173"/>
      <c r="N933" s="173"/>
      <c r="O933" s="173"/>
      <c r="P933" s="173"/>
    </row>
    <row r="934" spans="1:16" ht="11.25" customHeight="1">
      <c r="A934" s="207"/>
      <c r="B934" s="208"/>
      <c r="C934" s="173"/>
      <c r="D934" s="173"/>
      <c r="E934" s="173"/>
      <c r="F934" s="173"/>
      <c r="G934" s="173"/>
      <c r="H934" s="173"/>
      <c r="I934" s="173"/>
      <c r="J934" s="173"/>
      <c r="K934" s="173"/>
      <c r="L934" s="173"/>
      <c r="M934" s="173"/>
      <c r="N934" s="173"/>
      <c r="O934" s="173"/>
      <c r="P934" s="173"/>
    </row>
    <row r="935" spans="1:16" ht="11.25" customHeight="1">
      <c r="A935" s="207"/>
      <c r="B935" s="208"/>
      <c r="C935" s="173"/>
      <c r="D935" s="173"/>
      <c r="E935" s="173"/>
      <c r="F935" s="173"/>
      <c r="G935" s="173"/>
      <c r="H935" s="173"/>
      <c r="I935" s="173"/>
      <c r="J935" s="173"/>
      <c r="K935" s="173"/>
      <c r="L935" s="173"/>
      <c r="M935" s="173"/>
      <c r="N935" s="173"/>
      <c r="O935" s="173"/>
      <c r="P935" s="173"/>
    </row>
    <row r="936" spans="1:16" ht="11.25" customHeight="1">
      <c r="A936" s="207"/>
      <c r="B936" s="208"/>
      <c r="C936" s="173"/>
      <c r="D936" s="173"/>
      <c r="E936" s="173"/>
      <c r="F936" s="173"/>
      <c r="G936" s="173"/>
      <c r="H936" s="173"/>
      <c r="I936" s="173"/>
      <c r="J936" s="173"/>
      <c r="K936" s="173"/>
      <c r="L936" s="173"/>
      <c r="M936" s="173"/>
      <c r="N936" s="173"/>
      <c r="O936" s="173"/>
      <c r="P936" s="173"/>
    </row>
    <row r="937" spans="1:16" ht="11.25" customHeight="1">
      <c r="A937" s="207"/>
      <c r="B937" s="208"/>
      <c r="C937" s="173"/>
      <c r="D937" s="173"/>
      <c r="E937" s="173"/>
      <c r="F937" s="173"/>
      <c r="G937" s="173"/>
      <c r="H937" s="173"/>
      <c r="I937" s="173"/>
      <c r="J937" s="173"/>
      <c r="K937" s="173"/>
      <c r="L937" s="173"/>
      <c r="M937" s="173"/>
      <c r="N937" s="173"/>
      <c r="O937" s="173"/>
      <c r="P937" s="173"/>
    </row>
    <row r="938" spans="1:16" ht="11.25" customHeight="1">
      <c r="A938" s="207"/>
      <c r="B938" s="208"/>
      <c r="C938" s="173"/>
      <c r="D938" s="173"/>
      <c r="E938" s="173"/>
      <c r="F938" s="173"/>
      <c r="G938" s="173"/>
      <c r="H938" s="173"/>
      <c r="I938" s="173"/>
      <c r="J938" s="173"/>
      <c r="K938" s="173"/>
      <c r="L938" s="173"/>
      <c r="M938" s="173"/>
      <c r="N938" s="173"/>
      <c r="O938" s="173"/>
      <c r="P938" s="173"/>
    </row>
    <row r="939" spans="1:16" ht="11.25" customHeight="1">
      <c r="A939" s="207"/>
      <c r="B939" s="208"/>
      <c r="C939" s="173"/>
      <c r="D939" s="173"/>
      <c r="E939" s="173"/>
      <c r="F939" s="173"/>
      <c r="G939" s="173"/>
      <c r="H939" s="173"/>
      <c r="I939" s="173"/>
      <c r="J939" s="173"/>
      <c r="K939" s="173"/>
      <c r="L939" s="173"/>
      <c r="M939" s="173"/>
      <c r="N939" s="173"/>
      <c r="O939" s="173"/>
      <c r="P939" s="173"/>
    </row>
    <row r="940" spans="1:16" ht="11.25" customHeight="1">
      <c r="A940" s="207"/>
      <c r="B940" s="208"/>
      <c r="C940" s="173"/>
      <c r="D940" s="173"/>
      <c r="E940" s="173"/>
      <c r="F940" s="173"/>
      <c r="G940" s="173"/>
      <c r="H940" s="173"/>
      <c r="I940" s="173"/>
      <c r="J940" s="173"/>
      <c r="K940" s="173"/>
      <c r="L940" s="173"/>
      <c r="M940" s="173"/>
      <c r="N940" s="173"/>
      <c r="O940" s="173"/>
      <c r="P940" s="173"/>
    </row>
    <row r="941" spans="1:16" ht="11.25" customHeight="1">
      <c r="A941" s="207"/>
      <c r="B941" s="208"/>
      <c r="C941" s="173"/>
      <c r="D941" s="173"/>
      <c r="E941" s="173"/>
      <c r="F941" s="173"/>
      <c r="G941" s="173"/>
      <c r="H941" s="173"/>
      <c r="I941" s="173"/>
      <c r="J941" s="173"/>
      <c r="K941" s="173"/>
      <c r="L941" s="173"/>
      <c r="M941" s="173"/>
      <c r="N941" s="173"/>
      <c r="O941" s="173"/>
      <c r="P941" s="173"/>
    </row>
    <row r="942" spans="1:16" ht="11.25" customHeight="1">
      <c r="A942" s="207"/>
      <c r="B942" s="208"/>
      <c r="C942" s="173"/>
      <c r="D942" s="173"/>
      <c r="E942" s="173"/>
      <c r="F942" s="173"/>
      <c r="G942" s="173"/>
      <c r="H942" s="173"/>
      <c r="I942" s="173"/>
      <c r="J942" s="173"/>
      <c r="K942" s="173"/>
      <c r="L942" s="173"/>
      <c r="M942" s="173"/>
      <c r="N942" s="173"/>
      <c r="O942" s="173"/>
      <c r="P942" s="173"/>
    </row>
    <row r="943" spans="1:16" ht="11.25" customHeight="1">
      <c r="A943" s="207"/>
      <c r="B943" s="208"/>
      <c r="C943" s="173"/>
      <c r="D943" s="173"/>
      <c r="E943" s="173"/>
      <c r="F943" s="173"/>
      <c r="G943" s="173"/>
      <c r="H943" s="173"/>
      <c r="I943" s="173"/>
      <c r="J943" s="173"/>
      <c r="K943" s="173"/>
      <c r="L943" s="173"/>
      <c r="M943" s="173"/>
      <c r="N943" s="173"/>
      <c r="O943" s="173"/>
      <c r="P943" s="173"/>
    </row>
    <row r="944" spans="1:16" ht="11.25" customHeight="1">
      <c r="A944" s="207"/>
      <c r="B944" s="208"/>
      <c r="C944" s="173"/>
      <c r="D944" s="173"/>
      <c r="E944" s="173"/>
      <c r="F944" s="173"/>
      <c r="G944" s="173"/>
      <c r="H944" s="173"/>
      <c r="I944" s="173"/>
      <c r="J944" s="173"/>
      <c r="K944" s="173"/>
      <c r="L944" s="173"/>
      <c r="M944" s="173"/>
      <c r="N944" s="173"/>
      <c r="O944" s="173"/>
      <c r="P944" s="173"/>
    </row>
    <row r="945" spans="1:16" ht="11.25" customHeight="1">
      <c r="A945" s="207"/>
      <c r="B945" s="208"/>
      <c r="C945" s="173"/>
      <c r="D945" s="173"/>
      <c r="E945" s="173"/>
      <c r="F945" s="173"/>
      <c r="G945" s="173"/>
      <c r="H945" s="173"/>
      <c r="I945" s="173"/>
      <c r="J945" s="173"/>
      <c r="K945" s="173"/>
      <c r="L945" s="173"/>
      <c r="M945" s="173"/>
      <c r="N945" s="173"/>
      <c r="O945" s="173"/>
      <c r="P945" s="173"/>
    </row>
    <row r="946" spans="1:16" ht="11.25" customHeight="1">
      <c r="A946" s="207"/>
      <c r="B946" s="208"/>
      <c r="C946" s="173"/>
      <c r="D946" s="173"/>
      <c r="E946" s="173"/>
      <c r="F946" s="173"/>
      <c r="G946" s="173"/>
      <c r="H946" s="173"/>
      <c r="I946" s="173"/>
      <c r="J946" s="173"/>
      <c r="K946" s="173"/>
      <c r="L946" s="173"/>
      <c r="M946" s="173"/>
      <c r="N946" s="173"/>
      <c r="O946" s="173"/>
      <c r="P946" s="173"/>
    </row>
    <row r="947" spans="1:16" ht="11.25" customHeight="1">
      <c r="A947" s="207"/>
      <c r="B947" s="208"/>
      <c r="C947" s="173"/>
      <c r="D947" s="173"/>
      <c r="E947" s="173"/>
      <c r="F947" s="173"/>
      <c r="G947" s="173"/>
      <c r="H947" s="173"/>
      <c r="I947" s="173"/>
      <c r="J947" s="173"/>
      <c r="K947" s="173"/>
      <c r="L947" s="173"/>
      <c r="M947" s="173"/>
      <c r="N947" s="173"/>
      <c r="O947" s="173"/>
      <c r="P947" s="173"/>
    </row>
    <row r="948" spans="1:16" ht="11.25" customHeight="1">
      <c r="A948" s="207"/>
      <c r="B948" s="208"/>
      <c r="C948" s="173"/>
      <c r="D948" s="173"/>
      <c r="E948" s="173"/>
      <c r="F948" s="173"/>
      <c r="G948" s="173"/>
      <c r="H948" s="173"/>
      <c r="I948" s="173"/>
      <c r="J948" s="173"/>
      <c r="K948" s="173"/>
      <c r="L948" s="173"/>
      <c r="M948" s="173"/>
      <c r="N948" s="173"/>
      <c r="O948" s="173"/>
      <c r="P948" s="173"/>
    </row>
    <row r="949" spans="1:16" ht="11.25" customHeight="1">
      <c r="A949" s="207"/>
      <c r="B949" s="208"/>
      <c r="C949" s="173"/>
      <c r="D949" s="173"/>
      <c r="E949" s="173"/>
      <c r="F949" s="173"/>
      <c r="G949" s="173"/>
      <c r="H949" s="173"/>
      <c r="I949" s="173"/>
      <c r="J949" s="173"/>
      <c r="K949" s="173"/>
      <c r="L949" s="173"/>
      <c r="M949" s="173"/>
      <c r="N949" s="173"/>
      <c r="O949" s="173"/>
      <c r="P949" s="173"/>
    </row>
    <row r="950" spans="1:16" ht="11.25" customHeight="1">
      <c r="A950" s="207"/>
      <c r="B950" s="208"/>
      <c r="C950" s="173"/>
      <c r="D950" s="173"/>
      <c r="E950" s="173"/>
      <c r="F950" s="173"/>
      <c r="G950" s="173"/>
      <c r="H950" s="173"/>
      <c r="I950" s="173"/>
      <c r="J950" s="173"/>
      <c r="K950" s="173"/>
      <c r="L950" s="173"/>
      <c r="M950" s="173"/>
      <c r="N950" s="173"/>
      <c r="O950" s="173"/>
      <c r="P950" s="173"/>
    </row>
    <row r="951" spans="1:16" ht="11.25" customHeight="1">
      <c r="A951" s="207"/>
      <c r="B951" s="208"/>
      <c r="C951" s="173"/>
      <c r="D951" s="173"/>
      <c r="E951" s="173"/>
      <c r="F951" s="173"/>
      <c r="G951" s="173"/>
      <c r="H951" s="173"/>
      <c r="I951" s="173"/>
      <c r="J951" s="173"/>
      <c r="K951" s="173"/>
      <c r="L951" s="173"/>
      <c r="M951" s="173"/>
      <c r="N951" s="173"/>
      <c r="O951" s="173"/>
      <c r="P951" s="173"/>
    </row>
    <row r="952" spans="1:16" ht="11.25" customHeight="1">
      <c r="A952" s="207"/>
      <c r="B952" s="208"/>
      <c r="C952" s="173"/>
      <c r="D952" s="173"/>
      <c r="E952" s="173"/>
      <c r="F952" s="173"/>
      <c r="G952" s="173"/>
      <c r="H952" s="173"/>
      <c r="I952" s="173"/>
      <c r="J952" s="173"/>
      <c r="K952" s="173"/>
      <c r="L952" s="173"/>
      <c r="M952" s="173"/>
      <c r="N952" s="173"/>
      <c r="O952" s="173"/>
      <c r="P952" s="173"/>
    </row>
    <row r="953" spans="1:16" ht="11.25" customHeight="1">
      <c r="A953" s="207"/>
      <c r="B953" s="208"/>
      <c r="C953" s="173"/>
      <c r="D953" s="173"/>
      <c r="E953" s="173"/>
      <c r="F953" s="173"/>
      <c r="G953" s="173"/>
      <c r="H953" s="173"/>
      <c r="I953" s="173"/>
      <c r="J953" s="173"/>
      <c r="K953" s="173"/>
      <c r="L953" s="173"/>
      <c r="M953" s="173"/>
      <c r="N953" s="173"/>
      <c r="O953" s="173"/>
      <c r="P953" s="173"/>
    </row>
    <row r="954" spans="1:16" ht="11.25" customHeight="1">
      <c r="A954" s="207"/>
      <c r="B954" s="208"/>
      <c r="C954" s="173"/>
      <c r="D954" s="173"/>
      <c r="E954" s="173"/>
      <c r="F954" s="173"/>
      <c r="G954" s="173"/>
      <c r="H954" s="173"/>
      <c r="I954" s="173"/>
      <c r="J954" s="173"/>
      <c r="K954" s="173"/>
      <c r="L954" s="173"/>
      <c r="M954" s="173"/>
      <c r="N954" s="173"/>
      <c r="O954" s="173"/>
      <c r="P954" s="173"/>
    </row>
    <row r="955" spans="1:16" ht="11.25" customHeight="1">
      <c r="A955" s="207"/>
      <c r="B955" s="208"/>
      <c r="C955" s="173"/>
      <c r="D955" s="173"/>
      <c r="E955" s="173"/>
      <c r="F955" s="173"/>
      <c r="G955" s="173"/>
      <c r="H955" s="173"/>
      <c r="I955" s="173"/>
      <c r="J955" s="173"/>
      <c r="K955" s="173"/>
      <c r="L955" s="173"/>
      <c r="M955" s="173"/>
      <c r="N955" s="173"/>
      <c r="O955" s="173"/>
      <c r="P955" s="173"/>
    </row>
    <row r="956" spans="1:16" ht="11.25" customHeight="1">
      <c r="A956" s="207"/>
      <c r="B956" s="208"/>
      <c r="C956" s="173"/>
      <c r="D956" s="173"/>
      <c r="E956" s="173"/>
      <c r="F956" s="173"/>
      <c r="G956" s="173"/>
      <c r="H956" s="173"/>
      <c r="I956" s="173"/>
      <c r="J956" s="173"/>
      <c r="K956" s="173"/>
      <c r="L956" s="173"/>
      <c r="M956" s="173"/>
      <c r="N956" s="173"/>
      <c r="O956" s="173"/>
      <c r="P956" s="173"/>
    </row>
    <row r="957" spans="1:16" ht="11.25" customHeight="1">
      <c r="A957" s="207"/>
      <c r="B957" s="208"/>
      <c r="C957" s="173"/>
      <c r="D957" s="173"/>
      <c r="E957" s="173"/>
      <c r="F957" s="173"/>
      <c r="G957" s="173"/>
      <c r="H957" s="173"/>
      <c r="I957" s="173"/>
      <c r="J957" s="173"/>
      <c r="K957" s="173"/>
      <c r="L957" s="173"/>
      <c r="M957" s="173"/>
      <c r="N957" s="173"/>
      <c r="O957" s="173"/>
      <c r="P957" s="173"/>
    </row>
    <row r="958" spans="1:16" ht="11.25" customHeight="1">
      <c r="A958" s="207"/>
      <c r="B958" s="208"/>
      <c r="C958" s="173"/>
      <c r="D958" s="173"/>
      <c r="E958" s="173"/>
      <c r="F958" s="173"/>
      <c r="G958" s="173"/>
      <c r="H958" s="173"/>
      <c r="I958" s="173"/>
      <c r="J958" s="173"/>
      <c r="K958" s="173"/>
      <c r="L958" s="173"/>
      <c r="M958" s="173"/>
      <c r="N958" s="173"/>
      <c r="O958" s="173"/>
      <c r="P958" s="173"/>
    </row>
    <row r="959" spans="1:16" ht="11.25" customHeight="1">
      <c r="A959" s="207"/>
      <c r="B959" s="208"/>
      <c r="C959" s="173"/>
      <c r="D959" s="173"/>
      <c r="E959" s="173"/>
      <c r="F959" s="173"/>
      <c r="G959" s="173"/>
      <c r="H959" s="173"/>
      <c r="I959" s="173"/>
      <c r="J959" s="173"/>
      <c r="K959" s="173"/>
      <c r="L959" s="173"/>
      <c r="M959" s="173"/>
      <c r="N959" s="173"/>
      <c r="O959" s="173"/>
      <c r="P959" s="173"/>
    </row>
    <row r="960" spans="1:16" ht="11.25" customHeight="1">
      <c r="A960" s="207"/>
      <c r="B960" s="208"/>
      <c r="C960" s="173"/>
      <c r="D960" s="173"/>
      <c r="E960" s="173"/>
      <c r="F960" s="173"/>
      <c r="G960" s="173"/>
      <c r="H960" s="173"/>
      <c r="I960" s="173"/>
      <c r="J960" s="173"/>
      <c r="K960" s="173"/>
      <c r="L960" s="173"/>
      <c r="M960" s="173"/>
      <c r="N960" s="173"/>
      <c r="O960" s="173"/>
      <c r="P960" s="173"/>
    </row>
    <row r="961" spans="1:16" ht="11.25" customHeight="1">
      <c r="A961" s="207"/>
      <c r="B961" s="208"/>
      <c r="C961" s="173"/>
      <c r="D961" s="173"/>
      <c r="E961" s="173"/>
      <c r="F961" s="173"/>
      <c r="G961" s="173"/>
      <c r="H961" s="173"/>
      <c r="I961" s="173"/>
      <c r="J961" s="173"/>
      <c r="K961" s="173"/>
      <c r="L961" s="173"/>
      <c r="M961" s="173"/>
      <c r="N961" s="173"/>
      <c r="O961" s="173"/>
      <c r="P961" s="173"/>
    </row>
    <row r="962" spans="1:16" ht="11.25" customHeight="1">
      <c r="A962" s="207"/>
      <c r="B962" s="208"/>
      <c r="C962" s="173"/>
      <c r="D962" s="173"/>
      <c r="E962" s="173"/>
      <c r="F962" s="173"/>
      <c r="G962" s="173"/>
      <c r="H962" s="173"/>
      <c r="I962" s="173"/>
      <c r="J962" s="173"/>
      <c r="K962" s="173"/>
      <c r="L962" s="173"/>
      <c r="M962" s="173"/>
      <c r="N962" s="173"/>
      <c r="O962" s="173"/>
      <c r="P962" s="173"/>
    </row>
    <row r="963" spans="1:16" ht="11.25" customHeight="1">
      <c r="A963" s="207"/>
      <c r="B963" s="208"/>
      <c r="C963" s="173"/>
      <c r="D963" s="173"/>
      <c r="E963" s="173"/>
      <c r="F963" s="173"/>
      <c r="G963" s="173"/>
      <c r="H963" s="173"/>
      <c r="I963" s="173"/>
      <c r="J963" s="173"/>
      <c r="K963" s="173"/>
      <c r="L963" s="173"/>
      <c r="M963" s="173"/>
      <c r="N963" s="173"/>
      <c r="O963" s="173"/>
      <c r="P963" s="173"/>
    </row>
    <row r="964" spans="1:16" ht="11.25" customHeight="1">
      <c r="A964" s="207"/>
      <c r="B964" s="208"/>
      <c r="C964" s="173"/>
      <c r="D964" s="173"/>
      <c r="E964" s="173"/>
      <c r="F964" s="173"/>
      <c r="G964" s="173"/>
      <c r="H964" s="173"/>
      <c r="I964" s="173"/>
      <c r="J964" s="173"/>
      <c r="K964" s="173"/>
      <c r="L964" s="173"/>
      <c r="M964" s="173"/>
      <c r="N964" s="173"/>
      <c r="O964" s="173"/>
      <c r="P964" s="173"/>
    </row>
    <row r="965" spans="1:16" ht="11.25" customHeight="1">
      <c r="A965" s="207"/>
      <c r="B965" s="208"/>
      <c r="C965" s="173"/>
      <c r="D965" s="173"/>
      <c r="E965" s="173"/>
      <c r="F965" s="173"/>
      <c r="G965" s="173"/>
      <c r="H965" s="173"/>
      <c r="I965" s="173"/>
      <c r="J965" s="173"/>
      <c r="K965" s="173"/>
      <c r="L965" s="173"/>
      <c r="M965" s="173"/>
      <c r="N965" s="173"/>
      <c r="O965" s="173"/>
      <c r="P965" s="173"/>
    </row>
    <row r="966" spans="1:16" ht="11.25" customHeight="1">
      <c r="A966" s="207"/>
      <c r="B966" s="208"/>
      <c r="C966" s="173"/>
      <c r="D966" s="173"/>
      <c r="E966" s="173"/>
      <c r="F966" s="173"/>
      <c r="G966" s="173"/>
      <c r="H966" s="173"/>
      <c r="I966" s="173"/>
      <c r="J966" s="173"/>
      <c r="K966" s="173"/>
      <c r="L966" s="173"/>
      <c r="M966" s="173"/>
      <c r="N966" s="173"/>
      <c r="O966" s="173"/>
      <c r="P966" s="173"/>
    </row>
    <row r="967" spans="1:16" ht="11.25" customHeight="1">
      <c r="A967" s="207"/>
      <c r="B967" s="208"/>
      <c r="C967" s="173"/>
      <c r="D967" s="173"/>
      <c r="E967" s="173"/>
      <c r="F967" s="173"/>
      <c r="G967" s="173"/>
      <c r="H967" s="173"/>
      <c r="I967" s="173"/>
      <c r="J967" s="173"/>
      <c r="K967" s="173"/>
      <c r="L967" s="173"/>
      <c r="M967" s="173"/>
      <c r="N967" s="173"/>
      <c r="O967" s="173"/>
      <c r="P967" s="173"/>
    </row>
    <row r="968" spans="1:16" ht="11.25" customHeight="1">
      <c r="A968" s="207"/>
      <c r="B968" s="208"/>
      <c r="C968" s="173"/>
      <c r="D968" s="173"/>
      <c r="E968" s="173"/>
      <c r="F968" s="173"/>
      <c r="G968" s="173"/>
      <c r="H968" s="173"/>
      <c r="I968" s="173"/>
      <c r="J968" s="173"/>
      <c r="K968" s="173"/>
      <c r="L968" s="173"/>
      <c r="M968" s="173"/>
      <c r="N968" s="173"/>
      <c r="O968" s="173"/>
      <c r="P968" s="173"/>
    </row>
  </sheetData>
  <autoFilter ref="A1:H80" xr:uid="{00000000-0009-0000-0000-000008000000}"/>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43"/>
  <sheetViews>
    <sheetView tabSelected="1" topLeftCell="K1" workbookViewId="0">
      <selection activeCell="E38" sqref="E38:F38"/>
    </sheetView>
  </sheetViews>
  <sheetFormatPr baseColWidth="10" defaultColWidth="14.5" defaultRowHeight="15.75" customHeight="1"/>
  <cols>
    <col min="1" max="1" width="46.5" customWidth="1"/>
    <col min="2" max="2" width="32.5" customWidth="1"/>
    <col min="4" max="4" width="34.83203125" customWidth="1"/>
    <col min="5" max="6" width="14.5" customWidth="1"/>
    <col min="7" max="7" width="55.6640625" customWidth="1"/>
    <col min="8" max="8" width="155.5" customWidth="1"/>
    <col min="9" max="9" width="10.33203125" customWidth="1"/>
    <col min="10" max="10" width="26.5" customWidth="1"/>
    <col min="11" max="11" width="155.5" customWidth="1"/>
    <col min="12" max="12" width="34.83203125" customWidth="1"/>
    <col min="13" max="13" width="55.6640625" customWidth="1"/>
  </cols>
  <sheetData>
    <row r="1" spans="1:15" ht="15.75" customHeight="1">
      <c r="A1" s="209" t="s">
        <v>27</v>
      </c>
      <c r="B1" s="209" t="s">
        <v>1790</v>
      </c>
      <c r="C1" s="210" t="s">
        <v>3220</v>
      </c>
      <c r="D1" s="211" t="s">
        <v>2259</v>
      </c>
      <c r="E1" s="212" t="s">
        <v>24</v>
      </c>
      <c r="F1" s="212" t="s">
        <v>26</v>
      </c>
      <c r="G1" s="210" t="s">
        <v>3222</v>
      </c>
      <c r="H1" s="210" t="s">
        <v>3223</v>
      </c>
      <c r="I1" s="1" t="s">
        <v>27</v>
      </c>
      <c r="J1" s="209" t="s">
        <v>3224</v>
      </c>
      <c r="K1" s="209" t="s">
        <v>1777</v>
      </c>
      <c r="L1" s="1" t="s">
        <v>1775</v>
      </c>
      <c r="M1" s="209" t="s">
        <v>22</v>
      </c>
      <c r="N1" s="1"/>
      <c r="O1" s="1"/>
    </row>
    <row r="2" spans="1:15" ht="15.75" customHeight="1">
      <c r="A2" s="210" t="s">
        <v>3143</v>
      </c>
      <c r="B2" s="213"/>
      <c r="C2" s="214" t="s">
        <v>3225</v>
      </c>
      <c r="D2" s="214" t="s">
        <v>30</v>
      </c>
      <c r="E2" s="215">
        <v>31.768319000000002</v>
      </c>
      <c r="F2" s="215">
        <v>35.213709999999999</v>
      </c>
      <c r="G2" s="214" t="s">
        <v>3227</v>
      </c>
      <c r="H2" s="214" t="s">
        <v>3228</v>
      </c>
      <c r="J2" s="215" t="s">
        <v>3147</v>
      </c>
      <c r="K2" s="215" t="s">
        <v>3149</v>
      </c>
      <c r="L2" s="212" t="s">
        <v>176</v>
      </c>
      <c r="M2" s="215" t="s">
        <v>3148</v>
      </c>
    </row>
    <row r="3" spans="1:15" ht="15.75" customHeight="1">
      <c r="A3" s="216" t="s">
        <v>3229</v>
      </c>
      <c r="B3" s="217" t="s">
        <v>3231</v>
      </c>
      <c r="C3" s="217" t="s">
        <v>3232</v>
      </c>
      <c r="D3" s="217" t="s">
        <v>3233</v>
      </c>
      <c r="E3" s="218">
        <v>31.531175999999999</v>
      </c>
      <c r="F3" s="218">
        <v>34.914462999999998</v>
      </c>
      <c r="G3" s="214" t="s">
        <v>3234</v>
      </c>
      <c r="H3" s="214" t="s">
        <v>3235</v>
      </c>
      <c r="I3" s="219">
        <v>19384</v>
      </c>
      <c r="J3" s="220" t="s">
        <v>1985</v>
      </c>
      <c r="K3" s="215" t="s">
        <v>2001</v>
      </c>
      <c r="L3" s="215" t="s">
        <v>32</v>
      </c>
      <c r="M3" s="215" t="s">
        <v>1996</v>
      </c>
    </row>
    <row r="4" spans="1:15" ht="15.75" customHeight="1">
      <c r="A4" s="216" t="s">
        <v>3237</v>
      </c>
      <c r="B4" s="217" t="s">
        <v>3238</v>
      </c>
      <c r="C4" s="217" t="s">
        <v>3239</v>
      </c>
      <c r="D4" s="217" t="s">
        <v>3240</v>
      </c>
      <c r="E4" s="220">
        <v>32.029972999999998</v>
      </c>
      <c r="F4" s="220">
        <v>35.018973000000003</v>
      </c>
      <c r="G4" s="214" t="s">
        <v>3241</v>
      </c>
      <c r="H4" s="214" t="s">
        <v>3242</v>
      </c>
      <c r="I4" s="219">
        <v>19387</v>
      </c>
      <c r="J4" s="220" t="s">
        <v>3243</v>
      </c>
      <c r="K4" s="215" t="s">
        <v>3244</v>
      </c>
      <c r="L4" s="220" t="s">
        <v>3245</v>
      </c>
      <c r="M4" s="215" t="s">
        <v>3246</v>
      </c>
    </row>
    <row r="5" spans="1:15" ht="15.75" customHeight="1">
      <c r="A5" s="216" t="s">
        <v>3247</v>
      </c>
      <c r="B5" s="217" t="s">
        <v>3248</v>
      </c>
      <c r="C5" s="217" t="s">
        <v>3249</v>
      </c>
      <c r="D5" s="217" t="s">
        <v>3250</v>
      </c>
      <c r="E5" s="220">
        <v>31.887429999999998</v>
      </c>
      <c r="F5" s="220">
        <v>35.045319999999997</v>
      </c>
      <c r="G5" s="214" t="s">
        <v>3251</v>
      </c>
      <c r="H5" s="214" t="s">
        <v>3252</v>
      </c>
      <c r="I5" s="219">
        <v>19497</v>
      </c>
      <c r="J5" s="220" t="s">
        <v>3253</v>
      </c>
      <c r="K5" s="215" t="s">
        <v>2048</v>
      </c>
      <c r="L5" s="220" t="s">
        <v>3254</v>
      </c>
      <c r="M5" s="215" t="s">
        <v>3255</v>
      </c>
    </row>
    <row r="6" spans="1:15" ht="15.75" customHeight="1">
      <c r="A6" s="221">
        <v>19700</v>
      </c>
      <c r="B6" s="217" t="s">
        <v>3256</v>
      </c>
      <c r="C6" s="217" t="s">
        <v>1970</v>
      </c>
      <c r="D6" s="217" t="s">
        <v>3258</v>
      </c>
      <c r="E6" s="220">
        <v>31.833024000000002</v>
      </c>
      <c r="F6" s="220">
        <v>35.180546</v>
      </c>
      <c r="G6" s="214" t="s">
        <v>3259</v>
      </c>
      <c r="H6" s="214" t="s">
        <v>3260</v>
      </c>
      <c r="I6" s="219">
        <v>19552</v>
      </c>
      <c r="J6" s="220" t="s">
        <v>1971</v>
      </c>
      <c r="K6" s="215" t="s">
        <v>3261</v>
      </c>
      <c r="L6" s="220" t="s">
        <v>1950</v>
      </c>
      <c r="M6" s="215" t="s">
        <v>2109</v>
      </c>
    </row>
    <row r="7" spans="1:15" ht="15.75" customHeight="1">
      <c r="A7" s="221">
        <v>19701</v>
      </c>
      <c r="B7" s="217" t="s">
        <v>3262</v>
      </c>
      <c r="C7" s="217" t="s">
        <v>3263</v>
      </c>
      <c r="D7" s="217" t="s">
        <v>3264</v>
      </c>
      <c r="E7" s="218">
        <v>31.57733</v>
      </c>
      <c r="F7" s="218">
        <v>35.014173999999997</v>
      </c>
      <c r="G7" s="214" t="s">
        <v>3265</v>
      </c>
      <c r="H7" s="214" t="s">
        <v>3266</v>
      </c>
      <c r="I7" s="219">
        <v>19583</v>
      </c>
      <c r="J7" s="220" t="s">
        <v>3267</v>
      </c>
      <c r="K7" s="215" t="s">
        <v>3268</v>
      </c>
      <c r="L7" s="220" t="s">
        <v>3269</v>
      </c>
      <c r="M7" s="215" t="s">
        <v>3270</v>
      </c>
    </row>
    <row r="8" spans="1:15" ht="15.75" customHeight="1">
      <c r="A8" s="216" t="s">
        <v>3150</v>
      </c>
      <c r="B8" s="217" t="s">
        <v>3271</v>
      </c>
      <c r="C8" s="217" t="s">
        <v>3272</v>
      </c>
      <c r="D8" s="217" t="s">
        <v>3273</v>
      </c>
      <c r="E8" s="222"/>
      <c r="F8" s="222"/>
      <c r="G8" s="213"/>
      <c r="H8" s="214" t="s">
        <v>3275</v>
      </c>
      <c r="J8" s="220" t="s">
        <v>3153</v>
      </c>
      <c r="K8" s="215" t="s">
        <v>3155</v>
      </c>
      <c r="L8" s="220" t="s">
        <v>3154</v>
      </c>
      <c r="M8" s="213"/>
    </row>
    <row r="9" spans="1:15" ht="15.75" customHeight="1">
      <c r="A9" s="216" t="s">
        <v>3277</v>
      </c>
      <c r="B9" s="217" t="s">
        <v>3271</v>
      </c>
      <c r="C9" s="217" t="s">
        <v>3278</v>
      </c>
      <c r="D9" s="217" t="s">
        <v>3279</v>
      </c>
      <c r="E9" s="220">
        <v>32.799889700000001</v>
      </c>
      <c r="F9" s="220">
        <v>35.1671263</v>
      </c>
      <c r="G9" s="214" t="s">
        <v>3281</v>
      </c>
      <c r="H9" s="214" t="s">
        <v>3282</v>
      </c>
      <c r="I9" s="219">
        <v>19602</v>
      </c>
      <c r="J9" s="220" t="s">
        <v>3283</v>
      </c>
      <c r="K9" s="215" t="s">
        <v>3284</v>
      </c>
      <c r="L9" s="220" t="s">
        <v>3285</v>
      </c>
      <c r="M9" s="215" t="s">
        <v>815</v>
      </c>
    </row>
    <row r="10" spans="1:15" ht="15.75" customHeight="1">
      <c r="A10" s="221">
        <v>19368</v>
      </c>
      <c r="B10" s="217" t="s">
        <v>3271</v>
      </c>
      <c r="C10" s="217" t="s">
        <v>3286</v>
      </c>
      <c r="D10" s="217" t="s">
        <v>3287</v>
      </c>
      <c r="E10" s="220">
        <v>31.453869000000001</v>
      </c>
      <c r="F10" s="220">
        <v>34.912170000000003</v>
      </c>
      <c r="G10" s="214" t="s">
        <v>3288</v>
      </c>
      <c r="H10" s="214" t="s">
        <v>3289</v>
      </c>
      <c r="I10" s="219">
        <v>19603</v>
      </c>
      <c r="J10" s="220" t="s">
        <v>2164</v>
      </c>
      <c r="K10" s="215" t="s">
        <v>3290</v>
      </c>
      <c r="L10" s="220" t="s">
        <v>3291</v>
      </c>
      <c r="M10" s="215" t="s">
        <v>3292</v>
      </c>
    </row>
    <row r="11" spans="1:15" ht="15.75" customHeight="1">
      <c r="A11" s="216" t="s">
        <v>133</v>
      </c>
      <c r="B11" s="217" t="s">
        <v>3271</v>
      </c>
      <c r="C11" s="217" t="s">
        <v>3293</v>
      </c>
      <c r="D11" s="217" t="s">
        <v>3294</v>
      </c>
      <c r="E11" s="220">
        <v>32.321038999999999</v>
      </c>
      <c r="F11" s="220">
        <v>34.983429999999998</v>
      </c>
      <c r="G11" s="214" t="s">
        <v>3295</v>
      </c>
      <c r="H11" s="214" t="s">
        <v>3296</v>
      </c>
      <c r="J11" s="220" t="s">
        <v>3156</v>
      </c>
      <c r="K11" s="215" t="s">
        <v>3160</v>
      </c>
      <c r="L11" s="220" t="s">
        <v>3157</v>
      </c>
      <c r="M11" s="215" t="s">
        <v>3158</v>
      </c>
    </row>
    <row r="12" spans="1:15" ht="15.75" customHeight="1">
      <c r="A12" s="216" t="s">
        <v>133</v>
      </c>
      <c r="B12" s="214" t="s">
        <v>3271</v>
      </c>
      <c r="C12" s="214" t="s">
        <v>3297</v>
      </c>
      <c r="D12" s="214" t="s">
        <v>3298</v>
      </c>
      <c r="E12" s="215">
        <v>31.87989</v>
      </c>
      <c r="F12" s="215">
        <v>35.124096999999999</v>
      </c>
      <c r="G12" s="213"/>
      <c r="H12" s="214" t="s">
        <v>3300</v>
      </c>
      <c r="J12" s="215" t="s">
        <v>3161</v>
      </c>
      <c r="K12" s="215" t="s">
        <v>3164</v>
      </c>
      <c r="L12" s="220" t="s">
        <v>3162</v>
      </c>
      <c r="M12" s="213"/>
    </row>
    <row r="13" spans="1:15" ht="15.75" customHeight="1">
      <c r="A13" s="221">
        <v>19642</v>
      </c>
      <c r="B13" s="217" t="s">
        <v>3271</v>
      </c>
      <c r="C13" s="217" t="s">
        <v>1945</v>
      </c>
      <c r="D13" s="217" t="s">
        <v>3250</v>
      </c>
      <c r="E13" s="220">
        <v>31.887429999999998</v>
      </c>
      <c r="F13" s="220">
        <v>35.045319999999997</v>
      </c>
      <c r="G13" s="214" t="s">
        <v>3301</v>
      </c>
      <c r="H13" s="214" t="s">
        <v>3302</v>
      </c>
      <c r="I13" s="219">
        <v>19642</v>
      </c>
      <c r="J13" s="220" t="s">
        <v>1946</v>
      </c>
      <c r="K13" s="215" t="s">
        <v>3303</v>
      </c>
      <c r="L13" s="215" t="s">
        <v>3304</v>
      </c>
      <c r="M13" s="215" t="s">
        <v>3305</v>
      </c>
    </row>
    <row r="14" spans="1:15" ht="15.75" customHeight="1">
      <c r="A14" s="216" t="s">
        <v>3306</v>
      </c>
      <c r="B14" s="217" t="s">
        <v>3307</v>
      </c>
      <c r="C14" s="217" t="s">
        <v>3308</v>
      </c>
      <c r="D14" s="217" t="s">
        <v>47</v>
      </c>
      <c r="E14" s="218">
        <v>31.977142000000001</v>
      </c>
      <c r="F14" s="218">
        <v>34.953834999999998</v>
      </c>
      <c r="G14" s="214" t="s">
        <v>3309</v>
      </c>
      <c r="H14" s="214" t="s">
        <v>3310</v>
      </c>
      <c r="I14" s="219">
        <v>19646</v>
      </c>
      <c r="J14" s="220" t="s">
        <v>3311</v>
      </c>
      <c r="K14" s="215" t="s">
        <v>3312</v>
      </c>
      <c r="L14" s="220" t="s">
        <v>1950</v>
      </c>
      <c r="M14" s="215" t="s">
        <v>2196</v>
      </c>
    </row>
    <row r="15" spans="1:15" ht="15.75" customHeight="1">
      <c r="A15" s="216" t="s">
        <v>3313</v>
      </c>
      <c r="B15" s="217" t="s">
        <v>3271</v>
      </c>
      <c r="C15" s="217" t="s">
        <v>3314</v>
      </c>
      <c r="D15" s="217" t="s">
        <v>3315</v>
      </c>
      <c r="E15" s="220">
        <v>31.688888899999998</v>
      </c>
      <c r="F15" s="220">
        <v>35.169722200000002</v>
      </c>
      <c r="G15" s="214" t="s">
        <v>3316</v>
      </c>
      <c r="H15" s="214" t="s">
        <v>3317</v>
      </c>
      <c r="I15" s="219">
        <v>19711</v>
      </c>
      <c r="J15" s="220" t="s">
        <v>3318</v>
      </c>
      <c r="K15" s="215" t="s">
        <v>3319</v>
      </c>
      <c r="L15" s="220" t="s">
        <v>48</v>
      </c>
      <c r="M15" s="215" t="s">
        <v>2219</v>
      </c>
    </row>
    <row r="16" spans="1:15" ht="15.75" customHeight="1">
      <c r="A16" s="216" t="s">
        <v>3320</v>
      </c>
      <c r="B16" s="217" t="s">
        <v>3271</v>
      </c>
      <c r="C16" s="217" t="s">
        <v>3321</v>
      </c>
      <c r="D16" s="217" t="s">
        <v>3322</v>
      </c>
      <c r="E16" s="218">
        <v>31.255736200000001</v>
      </c>
      <c r="F16" s="218">
        <v>34.807163600000003</v>
      </c>
      <c r="G16" s="214" t="s">
        <v>3324</v>
      </c>
      <c r="H16" s="214" t="s">
        <v>3325</v>
      </c>
      <c r="I16" s="219">
        <v>19712</v>
      </c>
      <c r="J16" s="220" t="s">
        <v>3326</v>
      </c>
      <c r="K16" s="215" t="s">
        <v>3327</v>
      </c>
      <c r="L16" s="220" t="s">
        <v>3328</v>
      </c>
      <c r="M16" s="215" t="s">
        <v>3329</v>
      </c>
    </row>
    <row r="17" spans="1:13" ht="15.75" customHeight="1">
      <c r="A17" s="216" t="s">
        <v>3330</v>
      </c>
      <c r="B17" s="217" t="s">
        <v>3331</v>
      </c>
      <c r="C17" s="217" t="s">
        <v>3332</v>
      </c>
      <c r="D17" s="217" t="s">
        <v>3264</v>
      </c>
      <c r="E17" s="220">
        <v>31.57733</v>
      </c>
      <c r="F17" s="220">
        <v>35.014173999999997</v>
      </c>
      <c r="G17" s="214" t="s">
        <v>3333</v>
      </c>
      <c r="H17" s="223" t="s">
        <v>3334</v>
      </c>
      <c r="I17" s="219">
        <v>19714</v>
      </c>
      <c r="J17" s="220" t="s">
        <v>3335</v>
      </c>
      <c r="K17" s="224" t="s">
        <v>3336</v>
      </c>
      <c r="L17" s="220" t="s">
        <v>2281</v>
      </c>
      <c r="M17" s="215" t="s">
        <v>3337</v>
      </c>
    </row>
    <row r="18" spans="1:13" ht="15.75" customHeight="1">
      <c r="A18" s="216" t="s">
        <v>3330</v>
      </c>
      <c r="B18" s="217" t="s">
        <v>3338</v>
      </c>
      <c r="C18" s="217" t="s">
        <v>3339</v>
      </c>
      <c r="D18" s="217" t="s">
        <v>3340</v>
      </c>
      <c r="E18" s="220">
        <v>31.532568999999999</v>
      </c>
      <c r="F18" s="220">
        <v>35.099826</v>
      </c>
      <c r="G18" s="214" t="s">
        <v>3341</v>
      </c>
      <c r="H18" s="223" t="s">
        <v>3342</v>
      </c>
      <c r="I18" s="219">
        <v>19714</v>
      </c>
      <c r="J18" s="220" t="s">
        <v>3343</v>
      </c>
      <c r="K18" s="224" t="s">
        <v>3344</v>
      </c>
      <c r="L18" s="220" t="s">
        <v>3154</v>
      </c>
      <c r="M18" s="215" t="s">
        <v>3345</v>
      </c>
    </row>
    <row r="19" spans="1:13" ht="15.75" customHeight="1">
      <c r="A19" s="216" t="s">
        <v>3346</v>
      </c>
      <c r="B19" s="217" t="s">
        <v>3271</v>
      </c>
      <c r="C19" s="217" t="s">
        <v>3347</v>
      </c>
      <c r="D19" s="217" t="s">
        <v>3322</v>
      </c>
      <c r="E19" s="220">
        <v>31.255736200000001</v>
      </c>
      <c r="F19" s="220">
        <v>34.807163600000003</v>
      </c>
      <c r="G19" s="214" t="s">
        <v>3348</v>
      </c>
      <c r="H19" s="214" t="s">
        <v>3349</v>
      </c>
      <c r="I19" s="219">
        <v>19717</v>
      </c>
      <c r="J19" s="220" t="s">
        <v>3350</v>
      </c>
      <c r="K19" s="215" t="s">
        <v>3351</v>
      </c>
      <c r="L19" s="220" t="s">
        <v>1198</v>
      </c>
      <c r="M19" s="215" t="s">
        <v>3353</v>
      </c>
    </row>
    <row r="20" spans="1:13" ht="15.75" customHeight="1">
      <c r="A20" s="221">
        <v>19726</v>
      </c>
      <c r="B20" s="217" t="s">
        <v>3354</v>
      </c>
      <c r="C20" s="217" t="s">
        <v>3281</v>
      </c>
      <c r="D20" s="217" t="s">
        <v>2259</v>
      </c>
      <c r="E20" s="220">
        <v>31.522561</v>
      </c>
      <c r="F20" s="220">
        <v>34.453592999999998</v>
      </c>
      <c r="G20" s="214" t="s">
        <v>3355</v>
      </c>
      <c r="H20" s="214" t="s">
        <v>3356</v>
      </c>
      <c r="I20" s="219">
        <v>19756</v>
      </c>
      <c r="J20" s="220" t="s">
        <v>815</v>
      </c>
      <c r="K20" s="215" t="s">
        <v>2285</v>
      </c>
      <c r="L20" s="220" t="s">
        <v>2281</v>
      </c>
      <c r="M20" s="215" t="s">
        <v>2283</v>
      </c>
    </row>
    <row r="21" spans="1:13" ht="15.75" customHeight="1">
      <c r="A21" s="216" t="s">
        <v>3358</v>
      </c>
      <c r="B21" s="217" t="s">
        <v>3359</v>
      </c>
      <c r="C21" s="217" t="s">
        <v>3360</v>
      </c>
      <c r="D21" s="217" t="s">
        <v>3361</v>
      </c>
      <c r="E21" s="218">
        <v>31.705382100000001</v>
      </c>
      <c r="F21" s="218">
        <v>35.202442499999997</v>
      </c>
      <c r="G21" s="214" t="s">
        <v>3362</v>
      </c>
      <c r="H21" s="214" t="s">
        <v>3363</v>
      </c>
      <c r="I21" s="219">
        <v>19811</v>
      </c>
      <c r="J21" s="220" t="s">
        <v>3364</v>
      </c>
      <c r="K21" s="215" t="s">
        <v>3365</v>
      </c>
      <c r="L21" s="220" t="s">
        <v>176</v>
      </c>
      <c r="M21" s="215" t="s">
        <v>3366</v>
      </c>
    </row>
    <row r="22" spans="1:13" ht="15.75" customHeight="1">
      <c r="A22" s="221">
        <v>19759</v>
      </c>
      <c r="B22" s="217" t="s">
        <v>3367</v>
      </c>
      <c r="C22" s="217" t="s">
        <v>3368</v>
      </c>
      <c r="D22" s="217" t="s">
        <v>2378</v>
      </c>
      <c r="E22" s="220">
        <v>31.296779999999899</v>
      </c>
      <c r="F22" s="220">
        <v>34.243482</v>
      </c>
      <c r="G22" s="214" t="s">
        <v>3369</v>
      </c>
      <c r="H22" s="214" t="s">
        <v>3370</v>
      </c>
      <c r="I22" s="219">
        <v>19816</v>
      </c>
      <c r="J22" s="220" t="s">
        <v>3371</v>
      </c>
      <c r="K22" s="215" t="s">
        <v>3372</v>
      </c>
      <c r="L22" s="220" t="s">
        <v>593</v>
      </c>
      <c r="M22" s="215" t="s">
        <v>2373</v>
      </c>
    </row>
    <row r="23" spans="1:13" ht="15.75" customHeight="1">
      <c r="A23" s="216" t="s">
        <v>3374</v>
      </c>
      <c r="B23" s="217" t="s">
        <v>3375</v>
      </c>
      <c r="C23" s="217" t="s">
        <v>3376</v>
      </c>
      <c r="D23" s="217" t="s">
        <v>3377</v>
      </c>
      <c r="E23" s="220">
        <v>32.177101</v>
      </c>
      <c r="F23" s="220">
        <v>35.055956999999999</v>
      </c>
      <c r="G23" s="214" t="s">
        <v>3378</v>
      </c>
      <c r="H23" s="214" t="s">
        <v>3379</v>
      </c>
      <c r="I23" s="219">
        <v>19904</v>
      </c>
      <c r="J23" s="220" t="s">
        <v>3380</v>
      </c>
      <c r="K23" s="215" t="s">
        <v>3381</v>
      </c>
      <c r="L23" s="220" t="s">
        <v>1865</v>
      </c>
      <c r="M23" s="215" t="s">
        <v>2497</v>
      </c>
    </row>
    <row r="24" spans="1:13" ht="15.75" customHeight="1">
      <c r="A24" s="221">
        <v>20004</v>
      </c>
      <c r="B24" s="217" t="s">
        <v>3383</v>
      </c>
      <c r="C24" s="217" t="s">
        <v>3384</v>
      </c>
      <c r="D24" s="217" t="s">
        <v>2296</v>
      </c>
      <c r="E24" s="220">
        <v>31.349976999999999</v>
      </c>
      <c r="F24" s="220">
        <v>34.299681999999997</v>
      </c>
      <c r="G24" s="214" t="s">
        <v>3385</v>
      </c>
      <c r="H24" s="214" t="s">
        <v>3386</v>
      </c>
      <c r="I24" s="219">
        <v>19915</v>
      </c>
      <c r="J24" s="220" t="s">
        <v>3387</v>
      </c>
      <c r="K24" s="215" t="s">
        <v>3388</v>
      </c>
      <c r="L24" s="220" t="s">
        <v>2061</v>
      </c>
      <c r="M24" s="215" t="s">
        <v>3390</v>
      </c>
    </row>
    <row r="25" spans="1:13" ht="15.75" customHeight="1">
      <c r="A25" s="221">
        <v>19763</v>
      </c>
      <c r="B25" s="217" t="s">
        <v>3391</v>
      </c>
      <c r="C25" s="217" t="s">
        <v>3392</v>
      </c>
      <c r="D25" s="217" t="s">
        <v>3393</v>
      </c>
      <c r="E25" s="218">
        <v>31.889281</v>
      </c>
      <c r="F25" s="218">
        <v>35.169812999999998</v>
      </c>
      <c r="G25" s="214" t="s">
        <v>3394</v>
      </c>
      <c r="H25" s="214" t="s">
        <v>3395</v>
      </c>
      <c r="I25" s="219">
        <v>19938</v>
      </c>
      <c r="J25" s="220" t="s">
        <v>2594</v>
      </c>
      <c r="K25" s="215" t="s">
        <v>2599</v>
      </c>
      <c r="L25" s="220" t="s">
        <v>2297</v>
      </c>
      <c r="M25" s="215" t="s">
        <v>2597</v>
      </c>
    </row>
    <row r="26" spans="1:13" ht="15.75" customHeight="1">
      <c r="A26" s="216" t="s">
        <v>3396</v>
      </c>
      <c r="B26" s="217" t="s">
        <v>3397</v>
      </c>
      <c r="C26" s="217" t="s">
        <v>3398</v>
      </c>
      <c r="D26" s="217" t="s">
        <v>2259</v>
      </c>
      <c r="E26" s="222"/>
      <c r="F26" s="222"/>
      <c r="G26" s="214" t="s">
        <v>3399</v>
      </c>
      <c r="H26" s="214" t="s">
        <v>3400</v>
      </c>
      <c r="I26" s="219">
        <v>19950</v>
      </c>
      <c r="J26" s="220" t="s">
        <v>3401</v>
      </c>
      <c r="K26" s="215" t="s">
        <v>3402</v>
      </c>
      <c r="L26" s="220" t="s">
        <v>3403</v>
      </c>
      <c r="M26" s="215" t="s">
        <v>3404</v>
      </c>
    </row>
    <row r="27" spans="1:13" ht="15.75" customHeight="1">
      <c r="A27" s="216" t="s">
        <v>3405</v>
      </c>
      <c r="B27" s="217" t="s">
        <v>3391</v>
      </c>
      <c r="C27" s="217" t="s">
        <v>3392</v>
      </c>
      <c r="D27" s="217" t="s">
        <v>3406</v>
      </c>
      <c r="E27" s="225">
        <v>31.491147999999999</v>
      </c>
      <c r="F27" s="225">
        <v>34.943641999999997</v>
      </c>
      <c r="G27" s="214" t="s">
        <v>3408</v>
      </c>
      <c r="H27" s="214" t="s">
        <v>3409</v>
      </c>
      <c r="I27" s="219">
        <v>19966</v>
      </c>
      <c r="J27" s="220" t="s">
        <v>2594</v>
      </c>
      <c r="K27" s="215" t="s">
        <v>2664</v>
      </c>
      <c r="L27" s="220" t="s">
        <v>176</v>
      </c>
      <c r="M27" s="215" t="s">
        <v>2662</v>
      </c>
    </row>
    <row r="28" spans="1:13" ht="15.75" customHeight="1">
      <c r="A28" s="221">
        <v>19764</v>
      </c>
      <c r="B28" s="217" t="s">
        <v>3410</v>
      </c>
      <c r="C28" s="217" t="s">
        <v>3411</v>
      </c>
      <c r="D28" s="217" t="s">
        <v>3412</v>
      </c>
      <c r="E28" s="220">
        <v>31.869937</v>
      </c>
      <c r="F28" s="220">
        <v>35.065201999999999</v>
      </c>
      <c r="G28" s="214" t="s">
        <v>3413</v>
      </c>
      <c r="H28" s="214" t="s">
        <v>3414</v>
      </c>
      <c r="I28" s="219">
        <v>19969</v>
      </c>
      <c r="J28" s="220" t="s">
        <v>3415</v>
      </c>
      <c r="K28" s="215" t="s">
        <v>3416</v>
      </c>
      <c r="L28" s="220" t="s">
        <v>3417</v>
      </c>
      <c r="M28" s="215" t="s">
        <v>3418</v>
      </c>
    </row>
    <row r="29" spans="1:13" ht="15.75" customHeight="1">
      <c r="A29" s="221">
        <v>19826</v>
      </c>
      <c r="B29" s="217" t="s">
        <v>3419</v>
      </c>
      <c r="C29" s="217" t="s">
        <v>3420</v>
      </c>
      <c r="D29" s="217" t="s">
        <v>2212</v>
      </c>
      <c r="E29" s="220">
        <v>30.5833333</v>
      </c>
      <c r="F29" s="220">
        <v>34.484166700000003</v>
      </c>
      <c r="G29" s="214" t="s">
        <v>3421</v>
      </c>
      <c r="H29" s="213"/>
      <c r="I29" s="219">
        <v>20062</v>
      </c>
      <c r="J29" s="220" t="s">
        <v>3422</v>
      </c>
      <c r="K29" s="213"/>
      <c r="L29" s="220" t="s">
        <v>3423</v>
      </c>
      <c r="M29" s="215" t="s">
        <v>3424</v>
      </c>
    </row>
    <row r="30" spans="1:13" ht="15.75" customHeight="1">
      <c r="A30" s="216" t="s">
        <v>3425</v>
      </c>
      <c r="B30" s="217" t="s">
        <v>3426</v>
      </c>
      <c r="C30" s="217" t="s">
        <v>3427</v>
      </c>
      <c r="D30" s="217" t="s">
        <v>2259</v>
      </c>
      <c r="E30" s="220">
        <v>31.522561</v>
      </c>
      <c r="F30" s="220">
        <v>34.453592999999998</v>
      </c>
      <c r="G30" s="214" t="s">
        <v>3428</v>
      </c>
      <c r="H30" s="214" t="s">
        <v>3429</v>
      </c>
      <c r="I30" s="219">
        <v>20148</v>
      </c>
      <c r="J30" s="220" t="s">
        <v>3430</v>
      </c>
      <c r="K30" s="215" t="s">
        <v>3431</v>
      </c>
      <c r="L30" s="220" t="s">
        <v>2213</v>
      </c>
      <c r="M30" s="215" t="s">
        <v>3432</v>
      </c>
    </row>
    <row r="31" spans="1:13" ht="15.75" customHeight="1">
      <c r="A31" s="216" t="s">
        <v>411</v>
      </c>
      <c r="B31" s="217" t="s">
        <v>3433</v>
      </c>
      <c r="C31" s="217" t="s">
        <v>3434</v>
      </c>
      <c r="D31" s="217" t="s">
        <v>2378</v>
      </c>
      <c r="E31" s="220">
        <v>31.296779999999899</v>
      </c>
      <c r="F31" s="220">
        <v>34.243482</v>
      </c>
      <c r="G31" s="214" t="s">
        <v>3435</v>
      </c>
      <c r="H31" s="214" t="s">
        <v>3436</v>
      </c>
      <c r="I31" s="219">
        <v>20330</v>
      </c>
      <c r="J31" s="220" t="s">
        <v>3437</v>
      </c>
      <c r="K31" s="215" t="s">
        <v>3438</v>
      </c>
      <c r="L31" s="220" t="s">
        <v>176</v>
      </c>
      <c r="M31" s="215" t="s">
        <v>3439</v>
      </c>
    </row>
    <row r="32" spans="1:13" ht="15.75" customHeight="1">
      <c r="A32" s="216" t="s">
        <v>3440</v>
      </c>
      <c r="B32" s="217" t="s">
        <v>3441</v>
      </c>
      <c r="C32" s="217" t="s">
        <v>3442</v>
      </c>
      <c r="D32" s="217" t="s">
        <v>3444</v>
      </c>
      <c r="E32" s="220">
        <v>31.349976999999999</v>
      </c>
      <c r="F32" s="220">
        <v>34.299681999999997</v>
      </c>
      <c r="G32" s="214" t="s">
        <v>3445</v>
      </c>
      <c r="H32" s="214" t="s">
        <v>3446</v>
      </c>
      <c r="I32" s="219">
        <v>20332</v>
      </c>
      <c r="J32" s="220" t="s">
        <v>3447</v>
      </c>
      <c r="K32" s="215" t="s">
        <v>3448</v>
      </c>
      <c r="L32" s="220" t="s">
        <v>1865</v>
      </c>
      <c r="M32" s="215" t="s">
        <v>3449</v>
      </c>
    </row>
    <row r="33" spans="1:13" ht="15.75" customHeight="1">
      <c r="A33" s="216" t="s">
        <v>3450</v>
      </c>
      <c r="B33" s="217" t="s">
        <v>3451</v>
      </c>
      <c r="C33" s="217" t="s">
        <v>3452</v>
      </c>
      <c r="D33" s="217" t="s">
        <v>129</v>
      </c>
      <c r="E33" s="220">
        <v>30.885983</v>
      </c>
      <c r="F33" s="220">
        <v>34.422569000000003</v>
      </c>
      <c r="G33" s="214" t="s">
        <v>3453</v>
      </c>
      <c r="H33" s="214" t="s">
        <v>3454</v>
      </c>
      <c r="I33" s="219">
        <v>20354</v>
      </c>
      <c r="J33" s="220" t="s">
        <v>3455</v>
      </c>
      <c r="K33" s="215" t="s">
        <v>3456</v>
      </c>
      <c r="L33" s="220" t="s">
        <v>3457</v>
      </c>
      <c r="M33" s="215" t="s">
        <v>2946</v>
      </c>
    </row>
    <row r="34" spans="1:13" ht="15.75" customHeight="1">
      <c r="A34" s="216" t="s">
        <v>3458</v>
      </c>
      <c r="B34" s="217" t="s">
        <v>3459</v>
      </c>
      <c r="C34" s="217" t="s">
        <v>3460</v>
      </c>
      <c r="D34" s="217" t="s">
        <v>3461</v>
      </c>
      <c r="E34" s="220">
        <v>32.990997999999998</v>
      </c>
      <c r="F34" s="220">
        <v>35.689864999999998</v>
      </c>
      <c r="G34" s="214" t="s">
        <v>3462</v>
      </c>
      <c r="H34" s="214" t="s">
        <v>3463</v>
      </c>
      <c r="I34" s="219">
        <v>20384</v>
      </c>
      <c r="J34" s="220" t="s">
        <v>3464</v>
      </c>
      <c r="K34" s="215" t="s">
        <v>3465</v>
      </c>
      <c r="L34" s="220" t="s">
        <v>131</v>
      </c>
      <c r="M34" s="215" t="s">
        <v>3466</v>
      </c>
    </row>
    <row r="35" spans="1:13" ht="15.75" customHeight="1">
      <c r="A35" s="216" t="s">
        <v>3467</v>
      </c>
      <c r="B35" s="217" t="s">
        <v>3468</v>
      </c>
      <c r="C35" s="217" t="s">
        <v>3469</v>
      </c>
      <c r="D35" s="217" t="s">
        <v>3470</v>
      </c>
      <c r="E35" s="218">
        <v>32.2655514</v>
      </c>
      <c r="F35" s="218">
        <v>35.539960600000001</v>
      </c>
      <c r="G35" s="214" t="s">
        <v>3471</v>
      </c>
      <c r="H35" s="214" t="s">
        <v>3472</v>
      </c>
      <c r="I35" s="219">
        <v>20389</v>
      </c>
      <c r="J35" s="220" t="s">
        <v>3473</v>
      </c>
      <c r="K35" s="215" t="s">
        <v>3474</v>
      </c>
      <c r="L35" s="220" t="s">
        <v>3475</v>
      </c>
      <c r="M35" s="215" t="s">
        <v>3476</v>
      </c>
    </row>
    <row r="36" spans="1:13" ht="15.75" customHeight="1">
      <c r="A36" s="221">
        <v>20131</v>
      </c>
      <c r="B36" s="217" t="s">
        <v>3477</v>
      </c>
      <c r="C36" s="217" t="s">
        <v>3478</v>
      </c>
      <c r="D36" s="217" t="s">
        <v>129</v>
      </c>
      <c r="E36" s="220">
        <v>30.885983</v>
      </c>
      <c r="F36" s="220">
        <v>34.422569000000003</v>
      </c>
      <c r="G36" s="214" t="s">
        <v>3479</v>
      </c>
      <c r="H36" s="214" t="s">
        <v>3480</v>
      </c>
      <c r="I36" s="219">
        <v>20395</v>
      </c>
      <c r="J36" s="220" t="s">
        <v>3481</v>
      </c>
      <c r="K36" s="215" t="s">
        <v>3482</v>
      </c>
      <c r="L36" s="220" t="s">
        <v>3483</v>
      </c>
      <c r="M36" s="215" t="s">
        <v>2969</v>
      </c>
    </row>
    <row r="37" spans="1:13" ht="15.75" customHeight="1">
      <c r="A37" s="221">
        <v>20405</v>
      </c>
      <c r="B37" s="217" t="s">
        <v>3484</v>
      </c>
      <c r="C37" s="217" t="s">
        <v>3485</v>
      </c>
      <c r="D37" s="217" t="s">
        <v>3486</v>
      </c>
      <c r="E37" s="220">
        <v>32.723787000000002</v>
      </c>
      <c r="F37" s="220">
        <v>35.565241999999998</v>
      </c>
      <c r="G37" s="214" t="s">
        <v>3488</v>
      </c>
      <c r="H37" s="214" t="s">
        <v>3489</v>
      </c>
      <c r="I37" s="219">
        <v>20434</v>
      </c>
      <c r="J37" s="220" t="s">
        <v>3490</v>
      </c>
      <c r="K37" s="215" t="s">
        <v>3491</v>
      </c>
      <c r="L37" s="220" t="s">
        <v>131</v>
      </c>
      <c r="M37" s="215" t="s">
        <v>3492</v>
      </c>
    </row>
    <row r="38" spans="1:13" ht="15.75" customHeight="1">
      <c r="A38" s="216" t="s">
        <v>3493</v>
      </c>
      <c r="B38" s="217" t="s">
        <v>3494</v>
      </c>
      <c r="C38" s="217" t="s">
        <v>3495</v>
      </c>
      <c r="D38" s="217" t="s">
        <v>3496</v>
      </c>
      <c r="E38" s="222">
        <v>30.666667</v>
      </c>
      <c r="F38" s="222">
        <v>34.369999999999997</v>
      </c>
      <c r="G38" s="213"/>
      <c r="H38" s="213"/>
      <c r="I38" s="219">
        <v>20697</v>
      </c>
      <c r="J38" s="220" t="s">
        <v>3013</v>
      </c>
      <c r="K38" s="213"/>
      <c r="L38" s="220" t="s">
        <v>1042</v>
      </c>
      <c r="M38" s="213"/>
    </row>
    <row r="39" spans="1:13" ht="15.75" customHeight="1">
      <c r="A39" s="221">
        <v>20768</v>
      </c>
      <c r="B39" s="217" t="s">
        <v>3497</v>
      </c>
      <c r="C39" s="217" t="s">
        <v>3498</v>
      </c>
      <c r="D39" s="217" t="s">
        <v>3499</v>
      </c>
      <c r="E39" s="218">
        <v>31.3243516</v>
      </c>
      <c r="F39" s="218">
        <v>34.945467000000001</v>
      </c>
      <c r="G39" s="214" t="s">
        <v>3500</v>
      </c>
      <c r="H39" s="214" t="s">
        <v>3501</v>
      </c>
      <c r="I39" s="219">
        <v>20709</v>
      </c>
      <c r="J39" s="220" t="s">
        <v>3502</v>
      </c>
      <c r="K39" s="215" t="s">
        <v>3503</v>
      </c>
      <c r="L39" s="220" t="s">
        <v>3504</v>
      </c>
      <c r="M39" s="215" t="s">
        <v>3505</v>
      </c>
    </row>
    <row r="40" spans="1:13" ht="15.75" customHeight="1">
      <c r="A40" s="216" t="s">
        <v>3506</v>
      </c>
      <c r="B40" s="217" t="s">
        <v>3507</v>
      </c>
      <c r="C40" s="217" t="s">
        <v>3508</v>
      </c>
      <c r="D40" s="217" t="s">
        <v>3509</v>
      </c>
      <c r="E40" s="218">
        <v>30.098611099999999</v>
      </c>
      <c r="F40" s="218">
        <v>35.116388899999997</v>
      </c>
      <c r="G40" s="214" t="s">
        <v>3510</v>
      </c>
      <c r="H40" s="214" t="s">
        <v>3511</v>
      </c>
      <c r="I40" s="219">
        <v>20711</v>
      </c>
      <c r="J40" s="220" t="s">
        <v>3512</v>
      </c>
      <c r="K40" s="215" t="s">
        <v>3513</v>
      </c>
      <c r="L40" s="220" t="s">
        <v>3514</v>
      </c>
      <c r="M40" s="215" t="s">
        <v>3515</v>
      </c>
    </row>
    <row r="41" spans="1:13" ht="15.75" customHeight="1">
      <c r="A41" s="216" t="s">
        <v>3516</v>
      </c>
      <c r="B41" s="217" t="s">
        <v>3517</v>
      </c>
      <c r="C41" s="217" t="s">
        <v>3518</v>
      </c>
      <c r="D41" s="217" t="s">
        <v>3519</v>
      </c>
      <c r="E41" s="220">
        <v>31.708425999999999</v>
      </c>
      <c r="F41" s="220">
        <v>35.133425000000003</v>
      </c>
      <c r="G41" s="214" t="s">
        <v>3521</v>
      </c>
      <c r="H41" s="214" t="s">
        <v>3522</v>
      </c>
      <c r="I41" s="219">
        <v>20723</v>
      </c>
      <c r="J41" s="220" t="s">
        <v>3523</v>
      </c>
      <c r="K41" s="215" t="s">
        <v>3524</v>
      </c>
      <c r="L41" s="220" t="s">
        <v>3525</v>
      </c>
      <c r="M41" s="215" t="s">
        <v>3526</v>
      </c>
    </row>
    <row r="42" spans="1:13" ht="15.75" customHeight="1">
      <c r="A42" s="221">
        <v>20738</v>
      </c>
      <c r="B42" s="217" t="s">
        <v>3527</v>
      </c>
      <c r="C42" s="217" t="s">
        <v>3528</v>
      </c>
      <c r="D42" s="217" t="s">
        <v>3529</v>
      </c>
      <c r="E42" s="220">
        <v>32.196015000000003</v>
      </c>
      <c r="F42" s="220">
        <v>34.981513</v>
      </c>
      <c r="G42" s="214" t="s">
        <v>3530</v>
      </c>
      <c r="H42" s="214" t="s">
        <v>3531</v>
      </c>
      <c r="I42" s="219">
        <v>20738</v>
      </c>
      <c r="J42" s="220" t="s">
        <v>3532</v>
      </c>
      <c r="K42" s="215" t="s">
        <v>3166</v>
      </c>
      <c r="L42" s="220" t="s">
        <v>3533</v>
      </c>
      <c r="M42" s="215" t="s">
        <v>3534</v>
      </c>
    </row>
    <row r="43" spans="1:13" ht="15.75" customHeight="1">
      <c r="K43" s="215" t="s">
        <v>3166</v>
      </c>
      <c r="L43" s="220" t="s">
        <v>3165</v>
      </c>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D1000"/>
  <sheetViews>
    <sheetView workbookViewId="0">
      <pane ySplit="1" topLeftCell="A2" activePane="bottomLeft" state="frozen"/>
      <selection pane="bottomLeft" activeCell="B3" sqref="B3"/>
    </sheetView>
  </sheetViews>
  <sheetFormatPr baseColWidth="10" defaultColWidth="14.5" defaultRowHeight="15.75" customHeight="1"/>
  <cols>
    <col min="1" max="26" width="14.5" customWidth="1"/>
  </cols>
  <sheetData>
    <row r="1" spans="1:4" ht="13">
      <c r="A1" s="226" t="s">
        <v>136</v>
      </c>
      <c r="B1" s="226" t="s">
        <v>153</v>
      </c>
      <c r="C1" s="226" t="s">
        <v>154</v>
      </c>
      <c r="D1" s="226" t="s">
        <v>155</v>
      </c>
    </row>
    <row r="2" spans="1:4" ht="13">
      <c r="A2" s="227" t="s">
        <v>32</v>
      </c>
      <c r="B2" s="227" t="s">
        <v>160</v>
      </c>
      <c r="C2" s="227" t="s">
        <v>161</v>
      </c>
    </row>
    <row r="3" spans="1:4" ht="13">
      <c r="A3" s="227" t="s">
        <v>38</v>
      </c>
      <c r="B3" s="227" t="s">
        <v>162</v>
      </c>
      <c r="C3" s="227" t="s">
        <v>163</v>
      </c>
    </row>
    <row r="4" spans="1:4" ht="13">
      <c r="A4" s="227" t="s">
        <v>43</v>
      </c>
      <c r="B4" s="227" t="s">
        <v>164</v>
      </c>
      <c r="C4" s="227" t="s">
        <v>165</v>
      </c>
    </row>
    <row r="5" spans="1:4" ht="13">
      <c r="A5" s="227" t="s">
        <v>48</v>
      </c>
      <c r="B5" s="227" t="s">
        <v>166</v>
      </c>
      <c r="C5" s="227" t="s">
        <v>167</v>
      </c>
    </row>
    <row r="6" spans="1:4" ht="13">
      <c r="A6" s="227" t="s">
        <v>58</v>
      </c>
      <c r="B6" s="227" t="s">
        <v>168</v>
      </c>
      <c r="C6" s="227" t="s">
        <v>169</v>
      </c>
    </row>
    <row r="7" spans="1:4" ht="13">
      <c r="A7" s="227" t="s">
        <v>32</v>
      </c>
      <c r="B7" s="227" t="s">
        <v>160</v>
      </c>
      <c r="C7" s="227" t="s">
        <v>161</v>
      </c>
    </row>
    <row r="8" spans="1:4" ht="13">
      <c r="A8" s="227" t="s">
        <v>67</v>
      </c>
      <c r="B8" s="227" t="s">
        <v>171</v>
      </c>
      <c r="C8" s="227" t="s">
        <v>172</v>
      </c>
    </row>
    <row r="9" spans="1:4" ht="13">
      <c r="A9" s="227" t="s">
        <v>43</v>
      </c>
      <c r="B9" s="227" t="s">
        <v>164</v>
      </c>
      <c r="C9" s="227" t="s">
        <v>165</v>
      </c>
    </row>
    <row r="10" spans="1:4" ht="13">
      <c r="A10" s="227" t="s">
        <v>78</v>
      </c>
      <c r="B10" s="227" t="s">
        <v>177</v>
      </c>
      <c r="C10" s="227" t="s">
        <v>178</v>
      </c>
    </row>
    <row r="11" spans="1:4" ht="13">
      <c r="A11" s="227" t="s">
        <v>91</v>
      </c>
      <c r="B11" s="227" t="s">
        <v>179</v>
      </c>
      <c r="C11" s="227" t="s">
        <v>180</v>
      </c>
    </row>
    <row r="12" spans="1:4" ht="13">
      <c r="A12" s="227" t="s">
        <v>101</v>
      </c>
      <c r="B12" s="227" t="s">
        <v>181</v>
      </c>
      <c r="C12" s="227" t="s">
        <v>182</v>
      </c>
    </row>
    <row r="13" spans="1:4" ht="13">
      <c r="A13" s="227" t="s">
        <v>183</v>
      </c>
      <c r="B13" s="227" t="s">
        <v>184</v>
      </c>
      <c r="C13" s="227" t="s">
        <v>185</v>
      </c>
    </row>
    <row r="14" spans="1:4" ht="13">
      <c r="A14" s="227" t="s">
        <v>119</v>
      </c>
      <c r="B14" s="227" t="s">
        <v>186</v>
      </c>
      <c r="C14" s="227" t="s">
        <v>187</v>
      </c>
    </row>
    <row r="15" spans="1:4" ht="13">
      <c r="A15" s="227" t="s">
        <v>131</v>
      </c>
      <c r="B15" s="227" t="s">
        <v>189</v>
      </c>
      <c r="C15" s="227" t="s">
        <v>190</v>
      </c>
    </row>
    <row r="16" spans="1:4" ht="13">
      <c r="A16" s="227" t="s">
        <v>141</v>
      </c>
      <c r="B16" s="227" t="s">
        <v>194</v>
      </c>
      <c r="C16" s="227" t="s">
        <v>196</v>
      </c>
    </row>
    <row r="17" spans="1:4" ht="13">
      <c r="A17" s="227" t="s">
        <v>38</v>
      </c>
      <c r="B17" s="227" t="s">
        <v>162</v>
      </c>
      <c r="C17" s="227" t="s">
        <v>163</v>
      </c>
    </row>
    <row r="18" spans="1:4" ht="13">
      <c r="A18" s="227" t="s">
        <v>148</v>
      </c>
      <c r="B18" s="227" t="s">
        <v>197</v>
      </c>
      <c r="C18" s="227" t="s">
        <v>198</v>
      </c>
    </row>
    <row r="19" spans="1:4" ht="13">
      <c r="A19" s="227" t="s">
        <v>152</v>
      </c>
      <c r="B19" s="227" t="s">
        <v>199</v>
      </c>
      <c r="C19" s="227" t="s">
        <v>200</v>
      </c>
    </row>
    <row r="20" spans="1:4" ht="13">
      <c r="A20" s="227" t="s">
        <v>201</v>
      </c>
      <c r="D20" s="227" t="s">
        <v>202</v>
      </c>
    </row>
    <row r="21" spans="1:4" ht="13">
      <c r="A21" s="227" t="s">
        <v>203</v>
      </c>
      <c r="B21" s="227" t="s">
        <v>204</v>
      </c>
      <c r="C21" s="227" t="s">
        <v>205</v>
      </c>
    </row>
    <row r="22" spans="1:4" ht="13">
      <c r="A22" s="227" t="s">
        <v>207</v>
      </c>
      <c r="D22" s="227" t="s">
        <v>202</v>
      </c>
    </row>
    <row r="23" spans="1:4" ht="13">
      <c r="A23" s="227" t="s">
        <v>203</v>
      </c>
      <c r="B23" s="227" t="s">
        <v>204</v>
      </c>
      <c r="C23" s="227" t="s">
        <v>205</v>
      </c>
    </row>
    <row r="24" spans="1:4" ht="12" customHeight="1">
      <c r="A24" s="227" t="s">
        <v>210</v>
      </c>
      <c r="B24" s="227" t="s">
        <v>211</v>
      </c>
      <c r="C24" s="227" t="s">
        <v>213</v>
      </c>
    </row>
    <row r="25" spans="1:4" ht="12" customHeight="1">
      <c r="A25" s="227" t="s">
        <v>215</v>
      </c>
      <c r="B25" s="227" t="s">
        <v>216</v>
      </c>
      <c r="C25" s="227" t="s">
        <v>218</v>
      </c>
    </row>
    <row r="26" spans="1:4" ht="12" customHeight="1">
      <c r="A26" s="227" t="s">
        <v>32</v>
      </c>
      <c r="B26" s="227" t="s">
        <v>160</v>
      </c>
      <c r="C26" s="227" t="s">
        <v>161</v>
      </c>
    </row>
    <row r="27" spans="1:4" ht="12" customHeight="1">
      <c r="A27" s="227" t="s">
        <v>222</v>
      </c>
      <c r="B27" s="227" t="s">
        <v>224</v>
      </c>
      <c r="C27" s="227" t="s">
        <v>226</v>
      </c>
    </row>
    <row r="28" spans="1:4" ht="12" customHeight="1">
      <c r="A28" s="227" t="s">
        <v>230</v>
      </c>
      <c r="D28" s="227" t="s">
        <v>202</v>
      </c>
    </row>
    <row r="29" spans="1:4" ht="12" customHeight="1">
      <c r="A29" s="227" t="s">
        <v>232</v>
      </c>
      <c r="B29" s="227" t="s">
        <v>235</v>
      </c>
      <c r="C29" s="227" t="s">
        <v>236</v>
      </c>
    </row>
    <row r="30" spans="1:4" ht="12" customHeight="1">
      <c r="A30" s="227" t="s">
        <v>16</v>
      </c>
      <c r="B30" s="227" t="s">
        <v>238</v>
      </c>
      <c r="C30" s="227" t="s">
        <v>239</v>
      </c>
    </row>
    <row r="31" spans="1:4" ht="12" customHeight="1">
      <c r="A31" s="227" t="s">
        <v>240</v>
      </c>
      <c r="D31" s="227" t="s">
        <v>202</v>
      </c>
    </row>
    <row r="32" spans="1:4" ht="12" customHeight="1">
      <c r="A32" s="227" t="s">
        <v>244</v>
      </c>
      <c r="B32" s="227" t="s">
        <v>245</v>
      </c>
      <c r="C32" s="227" t="s">
        <v>247</v>
      </c>
    </row>
    <row r="33" spans="1:4" ht="12" customHeight="1">
      <c r="A33" s="227" t="s">
        <v>32</v>
      </c>
      <c r="B33" s="227" t="s">
        <v>160</v>
      </c>
      <c r="C33" s="227" t="s">
        <v>161</v>
      </c>
    </row>
    <row r="34" spans="1:4" ht="12" customHeight="1">
      <c r="A34" s="227" t="s">
        <v>252</v>
      </c>
      <c r="B34" s="227" t="s">
        <v>254</v>
      </c>
      <c r="C34" s="227" t="s">
        <v>255</v>
      </c>
    </row>
    <row r="35" spans="1:4" ht="12" customHeight="1">
      <c r="A35" s="227" t="s">
        <v>256</v>
      </c>
      <c r="B35" s="227" t="s">
        <v>257</v>
      </c>
      <c r="C35" s="227" t="s">
        <v>259</v>
      </c>
    </row>
    <row r="36" spans="1:4" ht="12" customHeight="1">
      <c r="A36" s="227" t="s">
        <v>262</v>
      </c>
      <c r="D36" s="227" t="s">
        <v>202</v>
      </c>
    </row>
    <row r="37" spans="1:4" ht="12" customHeight="1">
      <c r="A37" s="227" t="s">
        <v>264</v>
      </c>
      <c r="D37" s="227" t="s">
        <v>202</v>
      </c>
    </row>
    <row r="38" spans="1:4" ht="12" customHeight="1">
      <c r="A38" s="227" t="s">
        <v>265</v>
      </c>
      <c r="B38" s="227" t="s">
        <v>266</v>
      </c>
      <c r="C38" s="227" t="s">
        <v>267</v>
      </c>
    </row>
    <row r="39" spans="1:4" ht="12" customHeight="1">
      <c r="A39" s="227" t="s">
        <v>268</v>
      </c>
      <c r="B39" s="227" t="s">
        <v>204</v>
      </c>
      <c r="C39" s="227" t="s">
        <v>205</v>
      </c>
    </row>
    <row r="40" spans="1:4" ht="12" customHeight="1">
      <c r="A40" s="227" t="s">
        <v>269</v>
      </c>
      <c r="B40" s="227" t="s">
        <v>224</v>
      </c>
      <c r="C40" s="227" t="s">
        <v>226</v>
      </c>
    </row>
    <row r="41" spans="1:4" ht="12" customHeight="1">
      <c r="A41" s="227" t="s">
        <v>270</v>
      </c>
      <c r="B41" s="227" t="s">
        <v>271</v>
      </c>
      <c r="C41" s="227" t="s">
        <v>272</v>
      </c>
    </row>
    <row r="42" spans="1:4" ht="12" customHeight="1">
      <c r="A42" s="227" t="s">
        <v>274</v>
      </c>
      <c r="D42" s="227" t="s">
        <v>202</v>
      </c>
    </row>
    <row r="43" spans="1:4" ht="12" customHeight="1">
      <c r="A43" s="227" t="s">
        <v>276</v>
      </c>
      <c r="B43" s="227" t="s">
        <v>277</v>
      </c>
      <c r="C43" s="227" t="s">
        <v>279</v>
      </c>
    </row>
    <row r="44" spans="1:4" ht="12" customHeight="1">
      <c r="A44" s="227" t="s">
        <v>281</v>
      </c>
      <c r="B44" s="227" t="s">
        <v>283</v>
      </c>
      <c r="C44" s="227" t="s">
        <v>284</v>
      </c>
    </row>
    <row r="45" spans="1:4" ht="12" customHeight="1">
      <c r="A45" s="227" t="s">
        <v>286</v>
      </c>
      <c r="B45" s="227" t="s">
        <v>287</v>
      </c>
      <c r="C45" s="227" t="s">
        <v>288</v>
      </c>
    </row>
    <row r="46" spans="1:4" ht="12" customHeight="1">
      <c r="A46" s="227" t="s">
        <v>290</v>
      </c>
      <c r="B46" s="227" t="s">
        <v>291</v>
      </c>
      <c r="C46" s="227" t="s">
        <v>292</v>
      </c>
    </row>
    <row r="47" spans="1:4" ht="12" customHeight="1">
      <c r="A47" s="227" t="s">
        <v>256</v>
      </c>
      <c r="B47" s="227" t="s">
        <v>257</v>
      </c>
      <c r="C47" s="227" t="s">
        <v>259</v>
      </c>
    </row>
    <row r="48" spans="1:4" ht="12" customHeight="1">
      <c r="A48" s="227" t="s">
        <v>297</v>
      </c>
      <c r="B48" s="227" t="s">
        <v>298</v>
      </c>
      <c r="C48" s="227" t="s">
        <v>299</v>
      </c>
    </row>
    <row r="49" spans="1:4" ht="12" customHeight="1">
      <c r="A49" s="227" t="s">
        <v>301</v>
      </c>
      <c r="B49" s="227" t="s">
        <v>303</v>
      </c>
      <c r="C49" s="227" t="s">
        <v>304</v>
      </c>
    </row>
    <row r="50" spans="1:4" ht="12" customHeight="1">
      <c r="A50" s="227" t="s">
        <v>305</v>
      </c>
      <c r="B50" s="227" t="s">
        <v>306</v>
      </c>
      <c r="C50" s="227" t="s">
        <v>307</v>
      </c>
    </row>
    <row r="51" spans="1:4" ht="12" customHeight="1">
      <c r="A51" s="227" t="s">
        <v>131</v>
      </c>
      <c r="B51" s="227" t="s">
        <v>189</v>
      </c>
      <c r="C51" s="227" t="s">
        <v>190</v>
      </c>
    </row>
    <row r="52" spans="1:4" ht="12" customHeight="1">
      <c r="A52" s="227" t="s">
        <v>265</v>
      </c>
      <c r="B52" s="227" t="s">
        <v>266</v>
      </c>
      <c r="C52" s="227" t="s">
        <v>267</v>
      </c>
    </row>
    <row r="53" spans="1:4" ht="12" customHeight="1">
      <c r="A53" s="227" t="s">
        <v>131</v>
      </c>
      <c r="B53" s="227" t="s">
        <v>189</v>
      </c>
      <c r="C53" s="227" t="s">
        <v>190</v>
      </c>
    </row>
    <row r="54" spans="1:4" ht="12" customHeight="1">
      <c r="A54" s="227" t="s">
        <v>316</v>
      </c>
      <c r="B54" s="227" t="s">
        <v>317</v>
      </c>
      <c r="C54" s="227" t="s">
        <v>318</v>
      </c>
    </row>
    <row r="55" spans="1:4" ht="12" customHeight="1">
      <c r="A55" s="227" t="s">
        <v>135</v>
      </c>
      <c r="B55" s="227" t="s">
        <v>320</v>
      </c>
      <c r="C55" s="227" t="s">
        <v>321</v>
      </c>
    </row>
    <row r="56" spans="1:4" ht="12" customHeight="1">
      <c r="A56" s="227" t="s">
        <v>316</v>
      </c>
      <c r="B56" s="227" t="s">
        <v>317</v>
      </c>
      <c r="C56" s="227" t="s">
        <v>318</v>
      </c>
    </row>
    <row r="57" spans="1:4" ht="12" customHeight="1">
      <c r="A57" s="227" t="s">
        <v>326</v>
      </c>
      <c r="B57" s="227" t="s">
        <v>327</v>
      </c>
      <c r="C57" s="227" t="s">
        <v>329</v>
      </c>
    </row>
    <row r="58" spans="1:4" ht="12" customHeight="1">
      <c r="A58" s="227" t="s">
        <v>281</v>
      </c>
      <c r="B58" s="227" t="s">
        <v>283</v>
      </c>
      <c r="C58" s="227" t="s">
        <v>284</v>
      </c>
    </row>
    <row r="59" spans="1:4" ht="12" customHeight="1">
      <c r="A59" s="227" t="s">
        <v>332</v>
      </c>
      <c r="D59" s="227" t="s">
        <v>202</v>
      </c>
    </row>
    <row r="60" spans="1:4" ht="12" customHeight="1">
      <c r="A60" s="227" t="s">
        <v>336</v>
      </c>
      <c r="D60" s="227" t="s">
        <v>202</v>
      </c>
    </row>
    <row r="61" spans="1:4" ht="12" customHeight="1">
      <c r="A61" s="227" t="s">
        <v>337</v>
      </c>
      <c r="D61" s="227" t="s">
        <v>202</v>
      </c>
    </row>
    <row r="62" spans="1:4" ht="12" customHeight="1">
      <c r="A62" s="227" t="s">
        <v>201</v>
      </c>
      <c r="D62" s="227" t="s">
        <v>202</v>
      </c>
    </row>
    <row r="63" spans="1:4" ht="12" customHeight="1">
      <c r="A63" s="227" t="s">
        <v>338</v>
      </c>
      <c r="B63" s="227" t="s">
        <v>339</v>
      </c>
      <c r="C63" s="227" t="s">
        <v>340</v>
      </c>
    </row>
    <row r="64" spans="1:4" ht="12" customHeight="1">
      <c r="A64" s="227" t="s">
        <v>342</v>
      </c>
      <c r="B64" s="227" t="s">
        <v>343</v>
      </c>
      <c r="C64" s="227" t="s">
        <v>344</v>
      </c>
    </row>
    <row r="65" spans="1:4" ht="12" customHeight="1">
      <c r="A65" s="227" t="s">
        <v>345</v>
      </c>
      <c r="D65" s="227" t="s">
        <v>202</v>
      </c>
    </row>
    <row r="66" spans="1:4" ht="12" customHeight="1">
      <c r="A66" s="227" t="s">
        <v>347</v>
      </c>
      <c r="B66" s="227" t="s">
        <v>348</v>
      </c>
      <c r="C66" s="227" t="s">
        <v>349</v>
      </c>
    </row>
    <row r="67" spans="1:4" ht="12" customHeight="1">
      <c r="A67" s="227" t="s">
        <v>350</v>
      </c>
      <c r="B67" s="227" t="s">
        <v>351</v>
      </c>
      <c r="C67" s="227" t="s">
        <v>352</v>
      </c>
    </row>
    <row r="68" spans="1:4" ht="12" customHeight="1">
      <c r="A68" s="227" t="s">
        <v>353</v>
      </c>
      <c r="B68" s="227" t="s">
        <v>354</v>
      </c>
      <c r="C68" s="227" t="s">
        <v>355</v>
      </c>
    </row>
    <row r="69" spans="1:4" ht="12" customHeight="1">
      <c r="A69" s="227" t="s">
        <v>357</v>
      </c>
      <c r="B69" s="227" t="s">
        <v>358</v>
      </c>
      <c r="C69" s="227" t="s">
        <v>359</v>
      </c>
    </row>
    <row r="70" spans="1:4" ht="12" customHeight="1">
      <c r="A70" s="227" t="s">
        <v>362</v>
      </c>
      <c r="B70" s="227" t="s">
        <v>364</v>
      </c>
      <c r="C70" s="227" t="s">
        <v>365</v>
      </c>
    </row>
    <row r="71" spans="1:4" ht="12" customHeight="1">
      <c r="A71" s="227" t="s">
        <v>366</v>
      </c>
      <c r="B71" s="227" t="s">
        <v>367</v>
      </c>
      <c r="C71" s="227" t="s">
        <v>368</v>
      </c>
    </row>
    <row r="72" spans="1:4" ht="12" customHeight="1">
      <c r="A72" s="227" t="s">
        <v>370</v>
      </c>
      <c r="B72" s="227" t="s">
        <v>372</v>
      </c>
      <c r="C72" s="227" t="s">
        <v>374</v>
      </c>
    </row>
    <row r="73" spans="1:4" ht="12" customHeight="1">
      <c r="A73" s="227" t="s">
        <v>345</v>
      </c>
      <c r="D73" s="227" t="s">
        <v>202</v>
      </c>
    </row>
    <row r="74" spans="1:4" ht="13"/>
    <row r="75" spans="1:4" ht="13"/>
    <row r="76" spans="1:4" ht="13"/>
    <row r="77" spans="1:4" ht="13"/>
    <row r="78" spans="1:4" ht="13"/>
    <row r="79" spans="1:4" ht="13"/>
    <row r="80" spans="1:4" ht="13"/>
    <row r="81" ht="13"/>
    <row r="82" ht="13"/>
    <row r="83" ht="13"/>
    <row r="84" ht="13"/>
    <row r="85" ht="13"/>
    <row r="86" ht="13"/>
    <row r="87" ht="13"/>
    <row r="88" ht="13"/>
    <row r="89" ht="13"/>
    <row r="90" ht="13"/>
    <row r="91" ht="13"/>
    <row r="92" ht="13"/>
    <row r="93" ht="13"/>
    <row r="94" ht="13"/>
    <row r="95" ht="13"/>
    <row r="96" ht="13"/>
    <row r="97" ht="13"/>
    <row r="98" ht="13"/>
    <row r="99" ht="13"/>
    <row r="100" ht="13"/>
    <row r="101" ht="13"/>
    <row r="102" ht="13"/>
    <row r="103" ht="13"/>
    <row r="104" ht="13"/>
    <row r="105" ht="13"/>
    <row r="106" ht="13"/>
    <row r="107" ht="13"/>
    <row r="108" ht="13"/>
    <row r="109" ht="13"/>
    <row r="110" ht="13"/>
    <row r="111" ht="13"/>
    <row r="112" ht="13"/>
    <row r="113" ht="13"/>
    <row r="114" ht="13"/>
    <row r="115" ht="13"/>
    <row r="116" ht="13"/>
    <row r="117" ht="13"/>
    <row r="118" ht="13"/>
    <row r="119" ht="13"/>
    <row r="120" ht="13"/>
    <row r="121" ht="13"/>
    <row r="122" ht="13"/>
    <row r="123" ht="13"/>
    <row r="124" ht="13"/>
    <row r="125" ht="13"/>
    <row r="126" ht="13"/>
    <row r="127" ht="13"/>
    <row r="128" ht="13"/>
    <row r="129" ht="13"/>
    <row r="130" ht="13"/>
    <row r="131" ht="13"/>
    <row r="132" ht="13"/>
    <row r="133" ht="13"/>
    <row r="134" ht="13"/>
    <row r="135" ht="13"/>
    <row r="136" ht="13"/>
    <row r="137" ht="13"/>
    <row r="138" ht="13"/>
    <row r="139" ht="13"/>
    <row r="140" ht="13"/>
    <row r="141" ht="13"/>
    <row r="142" ht="13"/>
    <row r="143" ht="13"/>
    <row r="144" ht="13"/>
    <row r="145" ht="13"/>
    <row r="146" ht="13"/>
    <row r="147" ht="13"/>
    <row r="148" ht="13"/>
    <row r="149" ht="13"/>
    <row r="150" ht="13"/>
    <row r="151" ht="13"/>
    <row r="152" ht="13"/>
    <row r="153" ht="13"/>
    <row r="154" ht="13"/>
    <row r="155" ht="13"/>
    <row r="156" ht="13"/>
    <row r="157" ht="13"/>
    <row r="158" ht="13"/>
    <row r="159" ht="13"/>
    <row r="160" ht="13"/>
    <row r="161" ht="13"/>
    <row r="162" ht="13"/>
    <row r="163" ht="13"/>
    <row r="164" ht="13"/>
    <row r="165" ht="13"/>
    <row r="166" ht="13"/>
    <row r="167" ht="13"/>
    <row r="168" ht="13"/>
    <row r="169" ht="13"/>
    <row r="170" ht="13"/>
    <row r="171" ht="13"/>
    <row r="172" ht="13"/>
    <row r="173" ht="13"/>
    <row r="174" ht="13"/>
    <row r="175" ht="13"/>
    <row r="176" ht="13"/>
    <row r="177" ht="13"/>
    <row r="178" ht="13"/>
    <row r="179" ht="13"/>
    <row r="180" ht="13"/>
    <row r="181" ht="13"/>
    <row r="182" ht="13"/>
    <row r="183" ht="13"/>
    <row r="184" ht="13"/>
    <row r="185" ht="13"/>
    <row r="186" ht="13"/>
    <row r="187" ht="13"/>
    <row r="188" ht="13"/>
    <row r="189" ht="13"/>
    <row r="190" ht="13"/>
    <row r="191" ht="13"/>
    <row r="192" ht="13"/>
    <row r="193" ht="13"/>
    <row r="194" ht="13"/>
    <row r="195" ht="13"/>
    <row r="196" ht="13"/>
    <row r="197" ht="13"/>
    <row r="198" ht="13"/>
    <row r="199" ht="13"/>
    <row r="200" ht="13"/>
    <row r="201" ht="13"/>
    <row r="202" ht="13"/>
    <row r="203" ht="13"/>
    <row r="204" ht="13"/>
    <row r="205" ht="13"/>
    <row r="206" ht="13"/>
    <row r="207" ht="13"/>
    <row r="208" ht="13"/>
    <row r="209" ht="13"/>
    <row r="210" ht="13"/>
    <row r="211" ht="13"/>
    <row r="212" ht="13"/>
    <row r="213" ht="13"/>
    <row r="214" ht="13"/>
    <row r="215" ht="13"/>
    <row r="216" ht="13"/>
    <row r="217" ht="13"/>
    <row r="218" ht="13"/>
    <row r="219" ht="13"/>
    <row r="220" ht="13"/>
    <row r="221" ht="13"/>
    <row r="222" ht="13"/>
    <row r="223" ht="13"/>
    <row r="224" ht="13"/>
    <row r="225" ht="13"/>
    <row r="226" ht="13"/>
    <row r="227" ht="13"/>
    <row r="228" ht="13"/>
    <row r="229" ht="13"/>
    <row r="230" ht="13"/>
    <row r="231" ht="13"/>
    <row r="232" ht="13"/>
    <row r="233" ht="13"/>
    <row r="234" ht="13"/>
    <row r="235" ht="13"/>
    <row r="236" ht="13"/>
    <row r="237" ht="13"/>
    <row r="238" ht="13"/>
    <row r="239" ht="13"/>
    <row r="240" ht="13"/>
    <row r="241" ht="13"/>
    <row r="242" ht="13"/>
    <row r="243" ht="13"/>
    <row r="244" ht="13"/>
    <row r="245" ht="13"/>
    <row r="246" ht="13"/>
    <row r="247" ht="13"/>
    <row r="248" ht="13"/>
    <row r="249" ht="13"/>
    <row r="250" ht="13"/>
    <row r="251" ht="13"/>
    <row r="252" ht="13"/>
    <row r="253" ht="13"/>
    <row r="254" ht="13"/>
    <row r="255" ht="13"/>
    <row r="256" ht="13"/>
    <row r="257" ht="13"/>
    <row r="258" ht="13"/>
    <row r="259" ht="13"/>
    <row r="260" ht="13"/>
    <row r="261" ht="13"/>
    <row r="262" ht="13"/>
    <row r="263" ht="13"/>
    <row r="264" ht="13"/>
    <row r="265" ht="13"/>
    <row r="266" ht="13"/>
    <row r="267" ht="13"/>
    <row r="268" ht="13"/>
    <row r="269" ht="13"/>
    <row r="270" ht="13"/>
    <row r="271" ht="13"/>
    <row r="272" ht="13"/>
    <row r="273" ht="13"/>
    <row r="274" ht="13"/>
    <row r="275" ht="13"/>
    <row r="276" ht="13"/>
    <row r="277" ht="13"/>
    <row r="278" ht="13"/>
    <row r="279" ht="13"/>
    <row r="280" ht="13"/>
    <row r="281" ht="13"/>
    <row r="282" ht="13"/>
    <row r="283" ht="13"/>
    <row r="284" ht="13"/>
    <row r="285" ht="13"/>
    <row r="286" ht="13"/>
    <row r="287" ht="13"/>
    <row r="288" ht="13"/>
    <row r="289" ht="13"/>
    <row r="290" ht="13"/>
    <row r="291" ht="13"/>
    <row r="292" ht="13"/>
    <row r="293" ht="13"/>
    <row r="294" ht="13"/>
    <row r="295" ht="13"/>
    <row r="296" ht="13"/>
    <row r="297" ht="13"/>
    <row r="298" ht="13"/>
    <row r="299" ht="13"/>
    <row r="300" ht="13"/>
    <row r="301" ht="13"/>
    <row r="302" ht="13"/>
    <row r="303" ht="13"/>
    <row r="304" ht="13"/>
    <row r="305" ht="13"/>
    <row r="306" ht="13"/>
    <row r="307" ht="13"/>
    <row r="308" ht="13"/>
    <row r="309" ht="13"/>
    <row r="310" ht="13"/>
    <row r="311" ht="13"/>
    <row r="312" ht="13"/>
    <row r="313" ht="13"/>
    <row r="314" ht="13"/>
    <row r="315" ht="13"/>
    <row r="316" ht="13"/>
    <row r="317" ht="13"/>
    <row r="318" ht="13"/>
    <row r="319" ht="13"/>
    <row r="320" ht="13"/>
    <row r="321" ht="13"/>
    <row r="322" ht="13"/>
    <row r="323" ht="13"/>
    <row r="324" ht="13"/>
    <row r="325" ht="13"/>
    <row r="326" ht="13"/>
    <row r="327" ht="13"/>
    <row r="328" ht="13"/>
    <row r="329" ht="13"/>
    <row r="330" ht="13"/>
    <row r="331" ht="13"/>
    <row r="332" ht="13"/>
    <row r="333" ht="13"/>
    <row r="334" ht="13"/>
    <row r="335" ht="13"/>
    <row r="336" ht="13"/>
    <row r="337" ht="13"/>
    <row r="338" ht="13"/>
    <row r="339" ht="13"/>
    <row r="340" ht="13"/>
    <row r="341" ht="13"/>
    <row r="342" ht="13"/>
    <row r="343" ht="13"/>
    <row r="344" ht="13"/>
    <row r="345" ht="13"/>
    <row r="346" ht="13"/>
    <row r="347" ht="13"/>
    <row r="348" ht="13"/>
    <row r="349" ht="13"/>
    <row r="350" ht="13"/>
    <row r="351" ht="13"/>
    <row r="352" ht="13"/>
    <row r="353" ht="13"/>
    <row r="354" ht="13"/>
    <row r="355" ht="13"/>
    <row r="356" ht="13"/>
    <row r="357" ht="13"/>
    <row r="358" ht="13"/>
    <row r="359" ht="13"/>
    <row r="360" ht="13"/>
    <row r="361" ht="13"/>
    <row r="362" ht="13"/>
    <row r="363" ht="13"/>
    <row r="364" ht="13"/>
    <row r="365" ht="13"/>
    <row r="366" ht="13"/>
    <row r="367" ht="13"/>
    <row r="368" ht="13"/>
    <row r="369" ht="13"/>
    <row r="370" ht="13"/>
    <row r="371" ht="13"/>
    <row r="372" ht="13"/>
    <row r="373" ht="13"/>
    <row r="374" ht="13"/>
    <row r="375" ht="13"/>
    <row r="376" ht="13"/>
    <row r="377" ht="13"/>
    <row r="378" ht="13"/>
    <row r="379" ht="13"/>
    <row r="380" ht="13"/>
    <row r="381" ht="13"/>
    <row r="382" ht="13"/>
    <row r="383" ht="13"/>
    <row r="384" ht="13"/>
    <row r="385" ht="13"/>
    <row r="386" ht="13"/>
    <row r="387" ht="13"/>
    <row r="388" ht="13"/>
    <row r="389" ht="13"/>
    <row r="390" ht="13"/>
    <row r="391" ht="13"/>
    <row r="392" ht="13"/>
    <row r="393" ht="13"/>
    <row r="394" ht="13"/>
    <row r="395" ht="13"/>
    <row r="396" ht="13"/>
    <row r="397" ht="13"/>
    <row r="398" ht="13"/>
    <row r="399" ht="13"/>
    <row r="400" ht="13"/>
    <row r="401" ht="13"/>
    <row r="402" ht="13"/>
    <row r="403" ht="13"/>
    <row r="404" ht="13"/>
    <row r="405" ht="13"/>
    <row r="406" ht="13"/>
    <row r="407" ht="13"/>
    <row r="408" ht="13"/>
    <row r="409" ht="13"/>
    <row r="410" ht="13"/>
    <row r="411" ht="13"/>
    <row r="412" ht="13"/>
    <row r="413" ht="13"/>
    <row r="414" ht="13"/>
    <row r="415" ht="13"/>
    <row r="416" ht="13"/>
    <row r="417" ht="13"/>
    <row r="418" ht="13"/>
    <row r="419" ht="13"/>
    <row r="420" ht="13"/>
    <row r="421" ht="13"/>
    <row r="422" ht="13"/>
    <row r="423" ht="13"/>
    <row r="424" ht="13"/>
    <row r="425" ht="13"/>
    <row r="426" ht="13"/>
    <row r="427" ht="13"/>
    <row r="428" ht="13"/>
    <row r="429" ht="13"/>
    <row r="430" ht="13"/>
    <row r="431" ht="13"/>
    <row r="432" ht="13"/>
    <row r="433" ht="13"/>
    <row r="434" ht="13"/>
    <row r="435" ht="13"/>
    <row r="436" ht="13"/>
    <row r="437" ht="13"/>
    <row r="438" ht="13"/>
    <row r="439" ht="13"/>
    <row r="440" ht="13"/>
    <row r="441" ht="13"/>
    <row r="442" ht="13"/>
    <row r="443" ht="13"/>
    <row r="444" ht="13"/>
    <row r="445" ht="13"/>
    <row r="446" ht="13"/>
    <row r="447" ht="13"/>
    <row r="448" ht="13"/>
    <row r="449" ht="13"/>
    <row r="450" ht="13"/>
    <row r="451" ht="13"/>
    <row r="452" ht="13"/>
    <row r="453" ht="13"/>
    <row r="454" ht="13"/>
    <row r="455" ht="13"/>
    <row r="456" ht="13"/>
    <row r="457" ht="13"/>
    <row r="458" ht="13"/>
    <row r="459" ht="13"/>
    <row r="460" ht="13"/>
    <row r="461" ht="13"/>
    <row r="462" ht="13"/>
    <row r="463" ht="13"/>
    <row r="464" ht="13"/>
    <row r="465" ht="13"/>
    <row r="466" ht="13"/>
    <row r="467" ht="13"/>
    <row r="468" ht="13"/>
    <row r="469" ht="13"/>
    <row r="470" ht="13"/>
    <row r="471" ht="13"/>
    <row r="472" ht="13"/>
    <row r="473" ht="13"/>
    <row r="474" ht="13"/>
    <row r="475" ht="13"/>
    <row r="476" ht="13"/>
    <row r="477" ht="13"/>
    <row r="478" ht="13"/>
    <row r="479" ht="13"/>
    <row r="480" ht="13"/>
    <row r="481" ht="13"/>
    <row r="482" ht="13"/>
    <row r="483" ht="13"/>
    <row r="484" ht="13"/>
    <row r="485" ht="13"/>
    <row r="486" ht="13"/>
    <row r="487" ht="13"/>
    <row r="488" ht="13"/>
    <row r="489" ht="13"/>
    <row r="490" ht="13"/>
    <row r="491" ht="13"/>
    <row r="492" ht="13"/>
    <row r="493" ht="13"/>
    <row r="494" ht="13"/>
    <row r="495" ht="13"/>
    <row r="496" ht="13"/>
    <row r="497" ht="13"/>
    <row r="498" ht="13"/>
    <row r="499" ht="13"/>
    <row r="500" ht="13"/>
    <row r="501" ht="13"/>
    <row r="502" ht="13"/>
    <row r="503" ht="13"/>
    <row r="504" ht="13"/>
    <row r="505" ht="13"/>
    <row r="506" ht="13"/>
    <row r="507" ht="13"/>
    <row r="508" ht="13"/>
    <row r="509" ht="13"/>
    <row r="510" ht="13"/>
    <row r="511" ht="13"/>
    <row r="512" ht="13"/>
    <row r="513" ht="13"/>
    <row r="514" ht="13"/>
    <row r="515" ht="13"/>
    <row r="516" ht="13"/>
    <row r="517" ht="13"/>
    <row r="518" ht="13"/>
    <row r="519" ht="13"/>
    <row r="520" ht="13"/>
    <row r="521" ht="13"/>
    <row r="522" ht="13"/>
    <row r="523" ht="13"/>
    <row r="524" ht="13"/>
    <row r="525" ht="13"/>
    <row r="526" ht="13"/>
    <row r="527" ht="13"/>
    <row r="528" ht="13"/>
    <row r="529" ht="13"/>
    <row r="530" ht="13"/>
    <row r="531" ht="13"/>
    <row r="532" ht="13"/>
    <row r="533" ht="13"/>
    <row r="534" ht="13"/>
    <row r="535" ht="13"/>
    <row r="536" ht="13"/>
    <row r="537" ht="13"/>
    <row r="538" ht="13"/>
    <row r="539" ht="13"/>
    <row r="540" ht="13"/>
    <row r="541" ht="13"/>
    <row r="542" ht="13"/>
    <row r="543" ht="13"/>
    <row r="544" ht="13"/>
    <row r="545" ht="13"/>
    <row r="546" ht="13"/>
    <row r="547" ht="13"/>
    <row r="548" ht="13"/>
    <row r="549" ht="13"/>
    <row r="550" ht="13"/>
    <row r="551" ht="13"/>
    <row r="552" ht="13"/>
    <row r="553" ht="13"/>
    <row r="554" ht="13"/>
    <row r="555" ht="13"/>
    <row r="556" ht="13"/>
    <row r="557" ht="13"/>
    <row r="558" ht="13"/>
    <row r="559" ht="13"/>
    <row r="560" ht="13"/>
    <row r="561" ht="13"/>
    <row r="562" ht="13"/>
    <row r="563" ht="13"/>
    <row r="564" ht="13"/>
    <row r="565" ht="13"/>
    <row r="566" ht="13"/>
    <row r="567" ht="13"/>
    <row r="568" ht="13"/>
    <row r="569" ht="13"/>
    <row r="570" ht="13"/>
    <row r="571" ht="13"/>
    <row r="572" ht="13"/>
    <row r="573" ht="13"/>
    <row r="574" ht="13"/>
    <row r="575" ht="13"/>
    <row r="576" ht="13"/>
    <row r="577" ht="13"/>
    <row r="578" ht="13"/>
    <row r="579" ht="13"/>
    <row r="580" ht="13"/>
    <row r="581" ht="13"/>
    <row r="582" ht="13"/>
    <row r="583" ht="13"/>
    <row r="584" ht="13"/>
    <row r="585" ht="13"/>
    <row r="586" ht="13"/>
    <row r="587" ht="13"/>
    <row r="588" ht="13"/>
    <row r="589" ht="13"/>
    <row r="590" ht="13"/>
    <row r="591" ht="13"/>
    <row r="592" ht="13"/>
    <row r="593" ht="13"/>
    <row r="594" ht="13"/>
    <row r="595" ht="13"/>
    <row r="596" ht="13"/>
    <row r="597" ht="13"/>
    <row r="598" ht="13"/>
    <row r="599" ht="13"/>
    <row r="600" ht="13"/>
    <row r="601" ht="13"/>
    <row r="602" ht="13"/>
    <row r="603" ht="13"/>
    <row r="604" ht="13"/>
    <row r="605" ht="13"/>
    <row r="606" ht="13"/>
    <row r="607" ht="13"/>
    <row r="608" ht="13"/>
    <row r="609" ht="13"/>
    <row r="610" ht="13"/>
    <row r="611" ht="13"/>
    <row r="612" ht="13"/>
    <row r="613" ht="13"/>
    <row r="614" ht="13"/>
    <row r="615" ht="13"/>
    <row r="616" ht="13"/>
    <row r="617" ht="13"/>
    <row r="618" ht="13"/>
    <row r="619" ht="13"/>
    <row r="620" ht="13"/>
    <row r="621" ht="13"/>
    <row r="622" ht="13"/>
    <row r="623" ht="13"/>
    <row r="624" ht="13"/>
    <row r="625" ht="13"/>
    <row r="626" ht="13"/>
    <row r="627" ht="13"/>
    <row r="628" ht="13"/>
    <row r="629" ht="13"/>
    <row r="630" ht="13"/>
    <row r="631" ht="13"/>
    <row r="632" ht="13"/>
    <row r="633" ht="13"/>
    <row r="634" ht="13"/>
    <row r="635" ht="13"/>
    <row r="636" ht="13"/>
    <row r="637" ht="13"/>
    <row r="638" ht="13"/>
    <row r="639" ht="13"/>
    <row r="640" ht="13"/>
    <row r="641" ht="13"/>
    <row r="642" ht="13"/>
    <row r="643" ht="13"/>
    <row r="644" ht="13"/>
    <row r="645" ht="13"/>
    <row r="646" ht="13"/>
    <row r="647" ht="13"/>
    <row r="648" ht="13"/>
    <row r="649" ht="13"/>
    <row r="650" ht="13"/>
    <row r="651" ht="13"/>
    <row r="652" ht="13"/>
    <row r="653" ht="13"/>
    <row r="654" ht="13"/>
    <row r="655" ht="13"/>
    <row r="656" ht="13"/>
    <row r="657" ht="13"/>
    <row r="658" ht="13"/>
    <row r="659" ht="13"/>
    <row r="660" ht="13"/>
    <row r="661" ht="13"/>
    <row r="662" ht="13"/>
    <row r="663" ht="13"/>
    <row r="664" ht="13"/>
    <row r="665" ht="13"/>
    <row r="666" ht="13"/>
    <row r="667" ht="13"/>
    <row r="668" ht="13"/>
    <row r="669" ht="13"/>
    <row r="670" ht="13"/>
    <row r="671" ht="13"/>
    <row r="672" ht="13"/>
    <row r="673" ht="13"/>
    <row r="674" ht="13"/>
    <row r="675" ht="13"/>
    <row r="676" ht="13"/>
    <row r="677" ht="13"/>
    <row r="678" ht="13"/>
    <row r="679" ht="13"/>
    <row r="680" ht="13"/>
    <row r="681" ht="13"/>
    <row r="682" ht="13"/>
    <row r="683" ht="13"/>
    <row r="684" ht="13"/>
    <row r="685" ht="13"/>
    <row r="686" ht="13"/>
    <row r="687" ht="13"/>
    <row r="688" ht="13"/>
    <row r="689" ht="13"/>
    <row r="690" ht="13"/>
    <row r="691" ht="13"/>
    <row r="692" ht="13"/>
    <row r="693" ht="13"/>
    <row r="694" ht="13"/>
    <row r="695" ht="13"/>
    <row r="696" ht="13"/>
    <row r="697" ht="13"/>
    <row r="698" ht="13"/>
    <row r="699" ht="13"/>
    <row r="700" ht="13"/>
    <row r="701" ht="13"/>
    <row r="702" ht="13"/>
    <row r="703" ht="13"/>
    <row r="704" ht="13"/>
    <row r="705" ht="13"/>
    <row r="706" ht="13"/>
    <row r="707" ht="13"/>
    <row r="708" ht="13"/>
    <row r="709" ht="13"/>
    <row r="710" ht="13"/>
    <row r="711" ht="13"/>
    <row r="712" ht="13"/>
    <row r="713" ht="13"/>
    <row r="714" ht="13"/>
    <row r="715" ht="13"/>
    <row r="716" ht="13"/>
    <row r="717" ht="13"/>
    <row r="718" ht="13"/>
    <row r="719" ht="13"/>
    <row r="720" ht="13"/>
    <row r="721" ht="13"/>
    <row r="722" ht="13"/>
    <row r="723" ht="13"/>
    <row r="724" ht="13"/>
    <row r="725" ht="13"/>
    <row r="726" ht="13"/>
    <row r="727" ht="13"/>
    <row r="728" ht="13"/>
    <row r="729" ht="13"/>
    <row r="730" ht="13"/>
    <row r="731" ht="13"/>
    <row r="732" ht="13"/>
    <row r="733" ht="13"/>
    <row r="734" ht="13"/>
    <row r="735" ht="13"/>
    <row r="736" ht="13"/>
    <row r="737" ht="13"/>
    <row r="738" ht="13"/>
    <row r="739" ht="13"/>
    <row r="740" ht="13"/>
    <row r="741" ht="13"/>
    <row r="742" ht="13"/>
    <row r="743" ht="13"/>
    <row r="744" ht="13"/>
    <row r="745" ht="13"/>
    <row r="746" ht="13"/>
    <row r="747" ht="13"/>
    <row r="748" ht="13"/>
    <row r="749" ht="13"/>
    <row r="750" ht="13"/>
    <row r="751" ht="13"/>
    <row r="752" ht="13"/>
    <row r="753" ht="13"/>
    <row r="754" ht="13"/>
    <row r="755" ht="13"/>
    <row r="756" ht="13"/>
    <row r="757" ht="13"/>
    <row r="758" ht="13"/>
    <row r="759" ht="13"/>
    <row r="760" ht="13"/>
    <row r="761" ht="13"/>
    <row r="762" ht="13"/>
    <row r="763" ht="13"/>
    <row r="764" ht="13"/>
    <row r="765" ht="13"/>
    <row r="766" ht="13"/>
    <row r="767" ht="13"/>
    <row r="768" ht="13"/>
    <row r="769" ht="13"/>
    <row r="770" ht="13"/>
    <row r="771" ht="13"/>
    <row r="772" ht="13"/>
    <row r="773" ht="13"/>
    <row r="774" ht="13"/>
    <row r="775" ht="13"/>
    <row r="776" ht="13"/>
    <row r="777" ht="13"/>
    <row r="778" ht="13"/>
    <row r="779" ht="13"/>
    <row r="780" ht="13"/>
    <row r="781" ht="13"/>
    <row r="782" ht="13"/>
    <row r="783" ht="13"/>
    <row r="784" ht="13"/>
    <row r="785" ht="13"/>
    <row r="786" ht="13"/>
    <row r="787" ht="13"/>
    <row r="788" ht="13"/>
    <row r="789" ht="13"/>
    <row r="790" ht="13"/>
    <row r="791" ht="13"/>
    <row r="792" ht="13"/>
    <row r="793" ht="13"/>
    <row r="794" ht="13"/>
    <row r="795" ht="13"/>
    <row r="796" ht="13"/>
    <row r="797" ht="13"/>
    <row r="798" ht="13"/>
    <row r="799" ht="13"/>
    <row r="800" ht="13"/>
    <row r="801" ht="13"/>
    <row r="802" ht="13"/>
    <row r="803" ht="13"/>
    <row r="804" ht="13"/>
    <row r="805" ht="13"/>
    <row r="806" ht="13"/>
    <row r="807" ht="13"/>
    <row r="808" ht="13"/>
    <row r="809" ht="13"/>
    <row r="810" ht="13"/>
    <row r="811" ht="13"/>
    <row r="812" ht="13"/>
    <row r="813" ht="13"/>
    <row r="814" ht="13"/>
    <row r="815" ht="13"/>
    <row r="816" ht="13"/>
    <row r="817" ht="13"/>
    <row r="818" ht="13"/>
    <row r="819" ht="13"/>
    <row r="820" ht="13"/>
    <row r="821" ht="13"/>
    <row r="822" ht="13"/>
    <row r="823" ht="13"/>
    <row r="824" ht="13"/>
    <row r="825" ht="13"/>
    <row r="826" ht="13"/>
    <row r="827" ht="13"/>
    <row r="828" ht="13"/>
    <row r="829" ht="13"/>
    <row r="830" ht="13"/>
    <row r="831" ht="13"/>
    <row r="832" ht="13"/>
    <row r="833" ht="13"/>
    <row r="834" ht="13"/>
    <row r="835" ht="13"/>
    <row r="836" ht="13"/>
    <row r="837" ht="13"/>
    <row r="838" ht="13"/>
    <row r="839" ht="13"/>
    <row r="840" ht="13"/>
    <row r="841" ht="13"/>
    <row r="842" ht="13"/>
    <row r="843" ht="13"/>
    <row r="844" ht="13"/>
    <row r="845" ht="13"/>
    <row r="846" ht="13"/>
    <row r="847" ht="13"/>
    <row r="848" ht="13"/>
    <row r="849" ht="13"/>
    <row r="850" ht="13"/>
    <row r="851" ht="13"/>
    <row r="852" ht="13"/>
    <row r="853" ht="13"/>
    <row r="854" ht="13"/>
    <row r="855" ht="13"/>
    <row r="856" ht="13"/>
    <row r="857" ht="13"/>
    <row r="858" ht="13"/>
    <row r="859" ht="13"/>
    <row r="860" ht="13"/>
    <row r="861" ht="13"/>
    <row r="862" ht="13"/>
    <row r="863" ht="13"/>
    <row r="864" ht="13"/>
    <row r="865" ht="13"/>
    <row r="866" ht="13"/>
    <row r="867" ht="13"/>
    <row r="868" ht="13"/>
    <row r="869" ht="13"/>
    <row r="870" ht="13"/>
    <row r="871" ht="13"/>
    <row r="872" ht="13"/>
    <row r="873" ht="13"/>
    <row r="874" ht="13"/>
    <row r="875" ht="13"/>
    <row r="876" ht="13"/>
    <row r="877" ht="13"/>
    <row r="878" ht="13"/>
    <row r="879" ht="13"/>
    <row r="880" ht="13"/>
    <row r="881" ht="13"/>
    <row r="882" ht="13"/>
    <row r="883" ht="13"/>
    <row r="884" ht="13"/>
    <row r="885" ht="13"/>
    <row r="886" ht="13"/>
    <row r="887" ht="13"/>
    <row r="888" ht="13"/>
    <row r="889" ht="13"/>
    <row r="890" ht="13"/>
    <row r="891" ht="13"/>
    <row r="892" ht="13"/>
    <row r="893" ht="13"/>
    <row r="894" ht="13"/>
    <row r="895" ht="13"/>
    <row r="896" ht="13"/>
    <row r="897" ht="13"/>
    <row r="898" ht="13"/>
    <row r="899" ht="13"/>
    <row r="900" ht="13"/>
    <row r="901" ht="13"/>
    <row r="902" ht="13"/>
    <row r="903" ht="13"/>
    <row r="904" ht="13"/>
    <row r="905" ht="13"/>
    <row r="906" ht="13"/>
    <row r="907" ht="13"/>
    <row r="908" ht="13"/>
    <row r="909" ht="13"/>
    <row r="910" ht="13"/>
    <row r="911" ht="13"/>
    <row r="912" ht="13"/>
    <row r="913" ht="13"/>
    <row r="914" ht="13"/>
    <row r="915" ht="13"/>
    <row r="916" ht="13"/>
    <row r="917" ht="13"/>
    <row r="918" ht="13"/>
    <row r="919" ht="13"/>
    <row r="920" ht="13"/>
    <row r="921" ht="13"/>
    <row r="922" ht="13"/>
    <row r="923" ht="13"/>
    <row r="924" ht="13"/>
    <row r="925" ht="13"/>
    <row r="926" ht="13"/>
    <row r="927" ht="13"/>
    <row r="928" ht="13"/>
    <row r="929" ht="13"/>
    <row r="930" ht="13"/>
    <row r="931" ht="13"/>
    <row r="932" ht="13"/>
    <row r="933" ht="13"/>
    <row r="934" ht="13"/>
    <row r="935" ht="13"/>
    <row r="936" ht="13"/>
    <row r="937" ht="13"/>
    <row r="938" ht="13"/>
    <row r="939" ht="13"/>
    <row r="940" ht="13"/>
    <row r="941" ht="13"/>
    <row r="942" ht="13"/>
    <row r="943" ht="13"/>
    <row r="944" ht="13"/>
    <row r="945" ht="13"/>
    <row r="946" ht="13"/>
    <row r="947" ht="13"/>
    <row r="948" ht="13"/>
    <row r="949" ht="13"/>
    <row r="950" ht="13"/>
    <row r="951" ht="13"/>
    <row r="952" ht="13"/>
    <row r="953" ht="13"/>
    <row r="954" ht="13"/>
    <row r="955" ht="13"/>
    <row r="956" ht="13"/>
    <row r="957" ht="13"/>
    <row r="958" ht="13"/>
    <row r="959" ht="13"/>
    <row r="960" ht="13"/>
    <row r="961" ht="13"/>
    <row r="962" ht="13"/>
    <row r="963" ht="13"/>
    <row r="964" ht="13"/>
    <row r="965" ht="13"/>
    <row r="966" ht="13"/>
    <row r="967" ht="13"/>
    <row r="968" ht="13"/>
    <row r="969" ht="13"/>
    <row r="970" ht="13"/>
    <row r="971" ht="13"/>
    <row r="972" ht="13"/>
    <row r="973" ht="13"/>
    <row r="974" ht="13"/>
    <row r="975" ht="13"/>
    <row r="976" ht="13"/>
    <row r="977" ht="13"/>
    <row r="978" ht="13"/>
    <row r="979" ht="13"/>
    <row r="980" ht="13"/>
    <row r="981" ht="13"/>
    <row r="982" ht="13"/>
    <row r="983" ht="13"/>
    <row r="984" ht="13"/>
    <row r="985" ht="13"/>
    <row r="986" ht="13"/>
    <row r="987" ht="13"/>
    <row r="988" ht="13"/>
    <row r="989" ht="13"/>
    <row r="990" ht="13"/>
    <row r="991" ht="13"/>
    <row r="992" ht="13"/>
    <row r="993" ht="13"/>
    <row r="994" ht="13"/>
    <row r="995" ht="13"/>
    <row r="996" ht="13"/>
    <row r="997" ht="13"/>
    <row r="998" ht="13"/>
    <row r="999" ht="13"/>
    <row r="1000" ht="13"/>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0"/>
  <sheetViews>
    <sheetView workbookViewId="0">
      <pane ySplit="1" topLeftCell="A2" activePane="bottomLeft" state="frozen"/>
      <selection pane="bottomLeft" activeCell="B3" sqref="B3"/>
    </sheetView>
  </sheetViews>
  <sheetFormatPr baseColWidth="10" defaultColWidth="14.5" defaultRowHeight="15.75" customHeight="1"/>
  <cols>
    <col min="1" max="1" width="16.5" customWidth="1"/>
    <col min="2" max="2" width="18.5" customWidth="1"/>
    <col min="3" max="3" width="14.5" customWidth="1"/>
    <col min="4" max="4" width="8.5" customWidth="1"/>
    <col min="5" max="5" width="29.33203125" customWidth="1"/>
    <col min="6" max="6" width="37.33203125" customWidth="1"/>
    <col min="7" max="7" width="32.5" customWidth="1"/>
    <col min="8" max="8" width="9" customWidth="1"/>
    <col min="9" max="9" width="11.5" customWidth="1"/>
    <col min="10" max="10" width="54.6640625" customWidth="1"/>
    <col min="11" max="11" width="62.83203125" customWidth="1"/>
    <col min="12" max="12" width="63.83203125" customWidth="1"/>
    <col min="13" max="13" width="20.1640625" customWidth="1"/>
    <col min="14" max="14" width="37.33203125" customWidth="1"/>
    <col min="15" max="15" width="61.5" customWidth="1"/>
    <col min="16" max="16" width="55.33203125" customWidth="1"/>
    <col min="17" max="17" width="9.5" customWidth="1"/>
    <col min="18" max="18" width="39.1640625" customWidth="1"/>
    <col min="19" max="26" width="14.5" customWidth="1"/>
  </cols>
  <sheetData>
    <row r="1" spans="1:26" ht="22.5" customHeight="1">
      <c r="A1" s="166" t="s">
        <v>27</v>
      </c>
      <c r="B1" s="228" t="s">
        <v>3582</v>
      </c>
      <c r="C1" s="229" t="s">
        <v>3584</v>
      </c>
      <c r="D1" s="230" t="s">
        <v>0</v>
      </c>
      <c r="E1" s="166" t="s">
        <v>1774</v>
      </c>
      <c r="F1" s="166" t="s">
        <v>1775</v>
      </c>
      <c r="G1" s="166" t="s">
        <v>22</v>
      </c>
      <c r="H1" s="166" t="s">
        <v>24</v>
      </c>
      <c r="I1" s="166" t="s">
        <v>26</v>
      </c>
      <c r="J1" s="166" t="s">
        <v>3051</v>
      </c>
      <c r="K1" s="166" t="s">
        <v>1803</v>
      </c>
      <c r="L1" s="166" t="s">
        <v>1806</v>
      </c>
      <c r="M1" s="166" t="s">
        <v>1808</v>
      </c>
      <c r="N1" s="166" t="s">
        <v>1810</v>
      </c>
      <c r="O1" s="166" t="s">
        <v>1812</v>
      </c>
      <c r="P1" s="166" t="s">
        <v>1814</v>
      </c>
      <c r="Q1" s="166" t="s">
        <v>1816</v>
      </c>
      <c r="R1" s="166" t="s">
        <v>3050</v>
      </c>
      <c r="S1" s="167"/>
      <c r="T1" s="167"/>
      <c r="U1" s="167"/>
      <c r="V1" s="167"/>
      <c r="W1" s="167"/>
      <c r="X1" s="167"/>
      <c r="Y1" s="167"/>
      <c r="Z1" s="167"/>
    </row>
    <row r="2" spans="1:26" ht="31.5" customHeight="1">
      <c r="A2" s="173"/>
      <c r="B2" s="168" t="s">
        <v>1955</v>
      </c>
      <c r="C2" s="169">
        <v>19384</v>
      </c>
      <c r="D2" s="231"/>
      <c r="E2" s="170" t="s">
        <v>1985</v>
      </c>
      <c r="F2" s="171" t="s">
        <v>32</v>
      </c>
      <c r="G2" s="171" t="s">
        <v>1996</v>
      </c>
      <c r="H2" s="172">
        <v>31.531175999999999</v>
      </c>
      <c r="I2" s="172">
        <v>34.914462999999998</v>
      </c>
      <c r="J2" s="173"/>
      <c r="K2" s="173"/>
      <c r="L2" s="173"/>
      <c r="M2" s="173"/>
      <c r="N2" s="173"/>
      <c r="O2" s="173"/>
      <c r="P2" s="173"/>
      <c r="Q2" s="173"/>
      <c r="R2" s="171" t="s">
        <v>2001</v>
      </c>
      <c r="S2" s="173"/>
      <c r="T2" s="173"/>
      <c r="U2" s="173"/>
      <c r="V2" s="173"/>
      <c r="W2" s="173"/>
      <c r="X2" s="173"/>
      <c r="Y2" s="173"/>
      <c r="Z2" s="173"/>
    </row>
    <row r="3" spans="1:26" ht="42" customHeight="1">
      <c r="A3" s="179" t="s">
        <v>1896</v>
      </c>
      <c r="B3" s="178">
        <v>19387</v>
      </c>
      <c r="C3" s="232">
        <v>19387</v>
      </c>
      <c r="D3" s="233">
        <v>1953</v>
      </c>
      <c r="E3" s="179" t="s">
        <v>1895</v>
      </c>
      <c r="F3" s="179" t="s">
        <v>1898</v>
      </c>
      <c r="G3" s="179" t="s">
        <v>1899</v>
      </c>
      <c r="H3" s="179">
        <v>32.029972999999998</v>
      </c>
      <c r="I3" s="179">
        <v>35.018973000000003</v>
      </c>
      <c r="J3" s="179" t="s">
        <v>1901</v>
      </c>
      <c r="K3" s="179" t="s">
        <v>1903</v>
      </c>
      <c r="L3" s="179" t="s">
        <v>1905</v>
      </c>
      <c r="M3" s="179" t="s">
        <v>1855</v>
      </c>
      <c r="N3" s="179" t="s">
        <v>1907</v>
      </c>
      <c r="O3" s="179" t="s">
        <v>1909</v>
      </c>
      <c r="P3" s="179"/>
      <c r="Q3" s="173">
        <v>19387</v>
      </c>
      <c r="R3" s="173"/>
      <c r="S3" s="173"/>
      <c r="T3" s="173"/>
      <c r="U3" s="173"/>
      <c r="V3" s="173"/>
      <c r="W3" s="173"/>
      <c r="X3" s="173"/>
      <c r="Y3" s="173"/>
      <c r="Z3" s="173"/>
    </row>
    <row r="4" spans="1:26" ht="31.5" customHeight="1">
      <c r="A4" s="173"/>
      <c r="B4" s="168" t="s">
        <v>2010</v>
      </c>
      <c r="C4" s="232">
        <v>19387</v>
      </c>
      <c r="D4" s="231"/>
      <c r="E4" s="170" t="s">
        <v>3243</v>
      </c>
      <c r="F4" s="170" t="s">
        <v>3245</v>
      </c>
      <c r="G4" s="171" t="s">
        <v>3246</v>
      </c>
      <c r="H4" s="170">
        <v>32.029972999999998</v>
      </c>
      <c r="I4" s="170">
        <v>35.018973000000003</v>
      </c>
      <c r="J4" s="173"/>
      <c r="K4" s="173"/>
      <c r="L4" s="173"/>
      <c r="M4" s="173"/>
      <c r="N4" s="173"/>
      <c r="O4" s="173"/>
      <c r="P4" s="173"/>
      <c r="Q4" s="173"/>
      <c r="R4" s="171" t="s">
        <v>3244</v>
      </c>
      <c r="S4" s="173"/>
      <c r="T4" s="173"/>
      <c r="U4" s="173"/>
      <c r="V4" s="173"/>
      <c r="W4" s="173"/>
      <c r="X4" s="173"/>
      <c r="Y4" s="173"/>
      <c r="Z4" s="173"/>
    </row>
    <row r="5" spans="1:26" ht="21" customHeight="1">
      <c r="A5" s="179" t="s">
        <v>1912</v>
      </c>
      <c r="B5" s="178" t="s">
        <v>1921</v>
      </c>
      <c r="C5" s="234">
        <v>19497</v>
      </c>
      <c r="D5" s="233">
        <v>1953</v>
      </c>
      <c r="E5" s="179" t="s">
        <v>1911</v>
      </c>
      <c r="F5" s="179" t="s">
        <v>1914</v>
      </c>
      <c r="G5" s="179" t="s">
        <v>1915</v>
      </c>
      <c r="H5" s="192"/>
      <c r="I5" s="192"/>
      <c r="J5" s="179"/>
      <c r="K5" s="179" t="s">
        <v>1851</v>
      </c>
      <c r="L5" s="179" t="s">
        <v>1833</v>
      </c>
      <c r="M5" s="179" t="s">
        <v>1855</v>
      </c>
      <c r="N5" s="179"/>
      <c r="O5" s="179" t="s">
        <v>1919</v>
      </c>
      <c r="P5" s="179"/>
      <c r="Q5" s="173" t="s">
        <v>1921</v>
      </c>
      <c r="R5" s="173"/>
      <c r="S5" s="173"/>
      <c r="T5" s="173"/>
      <c r="U5" s="173"/>
      <c r="V5" s="173"/>
      <c r="W5" s="173"/>
      <c r="X5" s="173"/>
      <c r="Y5" s="173"/>
      <c r="Z5" s="173"/>
    </row>
    <row r="6" spans="1:26" ht="42" customHeight="1">
      <c r="A6" s="173"/>
      <c r="B6" s="168" t="s">
        <v>3592</v>
      </c>
      <c r="C6" s="234">
        <v>19497</v>
      </c>
      <c r="D6" s="231"/>
      <c r="E6" s="170" t="s">
        <v>3253</v>
      </c>
      <c r="F6" s="170" t="s">
        <v>3254</v>
      </c>
      <c r="G6" s="171" t="s">
        <v>3255</v>
      </c>
      <c r="H6" s="170">
        <v>31.887429999999998</v>
      </c>
      <c r="I6" s="170">
        <v>35.045319999999997</v>
      </c>
      <c r="J6" s="173"/>
      <c r="K6" s="173"/>
      <c r="L6" s="173"/>
      <c r="M6" s="173"/>
      <c r="N6" s="173"/>
      <c r="O6" s="173"/>
      <c r="P6" s="173"/>
      <c r="Q6" s="173"/>
      <c r="R6" s="171" t="s">
        <v>2048</v>
      </c>
      <c r="S6" s="173"/>
      <c r="T6" s="173"/>
      <c r="U6" s="173"/>
      <c r="V6" s="173"/>
      <c r="W6" s="173"/>
      <c r="X6" s="173"/>
      <c r="Y6" s="173"/>
      <c r="Z6" s="173"/>
    </row>
    <row r="7" spans="1:26" ht="52.5" customHeight="1">
      <c r="A7" s="179" t="s">
        <v>1972</v>
      </c>
      <c r="B7" s="178">
        <v>19552</v>
      </c>
      <c r="C7" s="232">
        <v>19552</v>
      </c>
      <c r="D7" s="233">
        <v>1953</v>
      </c>
      <c r="E7" s="179" t="s">
        <v>1971</v>
      </c>
      <c r="F7" s="179" t="s">
        <v>1974</v>
      </c>
      <c r="G7" s="179" t="s">
        <v>1975</v>
      </c>
      <c r="H7" s="179">
        <v>31.832854999999999</v>
      </c>
      <c r="I7" s="179">
        <v>35.181851000000002</v>
      </c>
      <c r="J7" s="179" t="s">
        <v>1977</v>
      </c>
      <c r="K7" s="179" t="s">
        <v>1980</v>
      </c>
      <c r="L7" s="179" t="s">
        <v>1982</v>
      </c>
      <c r="M7" s="179" t="s">
        <v>1984</v>
      </c>
      <c r="N7" s="179" t="s">
        <v>1840</v>
      </c>
      <c r="O7" s="179" t="s">
        <v>1987</v>
      </c>
      <c r="P7" s="179"/>
      <c r="Q7" s="173">
        <v>19552</v>
      </c>
      <c r="R7" s="173"/>
      <c r="S7" s="173"/>
      <c r="T7" s="173"/>
      <c r="U7" s="173"/>
      <c r="V7" s="173"/>
      <c r="W7" s="173"/>
      <c r="X7" s="173"/>
      <c r="Y7" s="173"/>
      <c r="Z7" s="173"/>
    </row>
    <row r="8" spans="1:26" ht="31.5" customHeight="1">
      <c r="A8" s="173"/>
      <c r="B8" s="168" t="s">
        <v>2103</v>
      </c>
      <c r="C8" s="232">
        <v>19552</v>
      </c>
      <c r="D8" s="231"/>
      <c r="E8" s="170" t="s">
        <v>1971</v>
      </c>
      <c r="F8" s="170" t="s">
        <v>1950</v>
      </c>
      <c r="G8" s="171" t="s">
        <v>2109</v>
      </c>
      <c r="H8" s="170">
        <v>31.833024000000002</v>
      </c>
      <c r="I8" s="170">
        <v>35.180546</v>
      </c>
      <c r="J8" s="173"/>
      <c r="K8" s="173"/>
      <c r="L8" s="173"/>
      <c r="M8" s="173"/>
      <c r="N8" s="173"/>
      <c r="O8" s="173"/>
      <c r="P8" s="173"/>
      <c r="Q8" s="173"/>
      <c r="R8" s="171" t="s">
        <v>3261</v>
      </c>
      <c r="S8" s="173"/>
      <c r="T8" s="173"/>
      <c r="U8" s="173"/>
      <c r="V8" s="173"/>
      <c r="W8" s="173"/>
      <c r="X8" s="173"/>
      <c r="Y8" s="173"/>
      <c r="Z8" s="173"/>
    </row>
    <row r="9" spans="1:26" ht="21" customHeight="1">
      <c r="A9" s="179" t="s">
        <v>1880</v>
      </c>
      <c r="B9" s="178" t="s">
        <v>2128</v>
      </c>
      <c r="C9" s="234">
        <v>19583</v>
      </c>
      <c r="D9" s="233">
        <v>1953</v>
      </c>
      <c r="E9" s="179" t="s">
        <v>1879</v>
      </c>
      <c r="F9" s="179" t="s">
        <v>1882</v>
      </c>
      <c r="G9" s="179" t="s">
        <v>1883</v>
      </c>
      <c r="H9" s="179">
        <v>31.598421999999999</v>
      </c>
      <c r="I9" s="179">
        <v>35.026375000000002</v>
      </c>
      <c r="J9" s="179" t="s">
        <v>1885</v>
      </c>
      <c r="K9" s="179" t="s">
        <v>1887</v>
      </c>
      <c r="L9" s="179" t="s">
        <v>1833</v>
      </c>
      <c r="M9" s="179" t="s">
        <v>1889</v>
      </c>
      <c r="N9" s="179" t="s">
        <v>1891</v>
      </c>
      <c r="O9" s="179" t="s">
        <v>1833</v>
      </c>
      <c r="P9" s="179"/>
      <c r="Q9" s="173" t="s">
        <v>1893</v>
      </c>
      <c r="R9" s="173"/>
      <c r="S9" s="173"/>
      <c r="T9" s="173"/>
      <c r="U9" s="173"/>
      <c r="V9" s="173"/>
      <c r="W9" s="173"/>
      <c r="X9" s="173"/>
      <c r="Y9" s="173"/>
      <c r="Z9" s="173"/>
    </row>
    <row r="10" spans="1:26" ht="31.5" customHeight="1">
      <c r="A10" s="173"/>
      <c r="B10" s="168" t="s">
        <v>3595</v>
      </c>
      <c r="C10" s="234">
        <v>19583</v>
      </c>
      <c r="D10" s="231"/>
      <c r="E10" s="170" t="s">
        <v>3267</v>
      </c>
      <c r="F10" s="170" t="s">
        <v>3269</v>
      </c>
      <c r="G10" s="171" t="s">
        <v>3270</v>
      </c>
      <c r="H10" s="172">
        <v>31.57733</v>
      </c>
      <c r="I10" s="172">
        <v>35.014173999999997</v>
      </c>
      <c r="J10" s="173"/>
      <c r="K10" s="173"/>
      <c r="L10" s="173"/>
      <c r="M10" s="173"/>
      <c r="N10" s="173"/>
      <c r="O10" s="173"/>
      <c r="P10" s="173"/>
      <c r="Q10" s="173"/>
      <c r="R10" s="171" t="s">
        <v>3268</v>
      </c>
      <c r="S10" s="173"/>
      <c r="T10" s="173"/>
      <c r="U10" s="173"/>
      <c r="V10" s="173"/>
      <c r="W10" s="173"/>
      <c r="X10" s="173"/>
      <c r="Y10" s="173"/>
      <c r="Z10" s="173"/>
    </row>
    <row r="11" spans="1:26" ht="21" customHeight="1">
      <c r="A11" s="179" t="s">
        <v>2018</v>
      </c>
      <c r="B11" s="178" t="s">
        <v>2030</v>
      </c>
      <c r="C11" s="232">
        <v>19602</v>
      </c>
      <c r="D11" s="233">
        <v>1953</v>
      </c>
      <c r="E11" s="179" t="s">
        <v>2017</v>
      </c>
      <c r="F11" s="179" t="s">
        <v>2020</v>
      </c>
      <c r="G11" s="179" t="s">
        <v>2021</v>
      </c>
      <c r="H11" s="179">
        <v>30.724444399999999</v>
      </c>
      <c r="I11" s="179">
        <v>35.590277800000003</v>
      </c>
      <c r="J11" s="179" t="s">
        <v>2023</v>
      </c>
      <c r="K11" s="179" t="s">
        <v>1851</v>
      </c>
      <c r="L11" s="179" t="s">
        <v>2027</v>
      </c>
      <c r="M11" s="179">
        <v>101</v>
      </c>
      <c r="N11" s="179" t="s">
        <v>1840</v>
      </c>
      <c r="O11" s="179" t="s">
        <v>2029</v>
      </c>
      <c r="P11" s="179"/>
      <c r="Q11" s="173" t="s">
        <v>2030</v>
      </c>
      <c r="R11" s="173"/>
      <c r="S11" s="173"/>
      <c r="T11" s="173"/>
      <c r="U11" s="173"/>
      <c r="V11" s="173"/>
      <c r="W11" s="173"/>
      <c r="X11" s="173"/>
      <c r="Y11" s="173"/>
      <c r="Z11" s="173"/>
    </row>
    <row r="12" spans="1:26" ht="21" customHeight="1">
      <c r="A12" s="173"/>
      <c r="B12" s="168" t="s">
        <v>3598</v>
      </c>
      <c r="C12" s="232">
        <v>19602</v>
      </c>
      <c r="D12" s="231"/>
      <c r="E12" s="170" t="s">
        <v>3283</v>
      </c>
      <c r="F12" s="170" t="s">
        <v>3285</v>
      </c>
      <c r="G12" s="171" t="s">
        <v>815</v>
      </c>
      <c r="H12" s="170">
        <v>32.799889700000001</v>
      </c>
      <c r="I12" s="170">
        <v>35.1671263</v>
      </c>
      <c r="J12" s="173"/>
      <c r="K12" s="173"/>
      <c r="L12" s="173"/>
      <c r="M12" s="173"/>
      <c r="N12" s="173"/>
      <c r="O12" s="173"/>
      <c r="P12" s="173"/>
      <c r="Q12" s="173"/>
      <c r="R12" s="171" t="s">
        <v>3284</v>
      </c>
      <c r="S12" s="173"/>
      <c r="T12" s="173"/>
      <c r="U12" s="173"/>
      <c r="V12" s="173"/>
      <c r="W12" s="173"/>
      <c r="X12" s="173"/>
      <c r="Y12" s="173"/>
      <c r="Z12" s="173"/>
    </row>
    <row r="13" spans="1:26" ht="21" customHeight="1">
      <c r="A13" s="179" t="s">
        <v>2034</v>
      </c>
      <c r="B13" s="178">
        <v>19603</v>
      </c>
      <c r="C13" s="234">
        <v>19603</v>
      </c>
      <c r="D13" s="233">
        <v>1953</v>
      </c>
      <c r="E13" s="179" t="s">
        <v>2033</v>
      </c>
      <c r="F13" s="179" t="s">
        <v>2036</v>
      </c>
      <c r="G13" s="179" t="s">
        <v>2037</v>
      </c>
      <c r="H13" s="185">
        <v>31.912562999999999</v>
      </c>
      <c r="I13" s="185">
        <v>35.221716999999998</v>
      </c>
      <c r="J13" s="179" t="s">
        <v>2040</v>
      </c>
      <c r="K13" s="179" t="s">
        <v>1851</v>
      </c>
      <c r="L13" s="179" t="s">
        <v>1833</v>
      </c>
      <c r="M13" s="179">
        <v>101</v>
      </c>
      <c r="N13" s="179" t="s">
        <v>1840</v>
      </c>
      <c r="O13" s="179" t="s">
        <v>1833</v>
      </c>
      <c r="P13" s="179"/>
      <c r="Q13" s="173">
        <v>19603</v>
      </c>
      <c r="R13" s="173"/>
      <c r="S13" s="173"/>
      <c r="T13" s="173"/>
      <c r="U13" s="173"/>
      <c r="V13" s="173"/>
      <c r="W13" s="173"/>
      <c r="X13" s="173"/>
      <c r="Y13" s="173"/>
      <c r="Z13" s="173"/>
    </row>
    <row r="14" spans="1:26" ht="21" customHeight="1">
      <c r="A14" s="173"/>
      <c r="B14" s="168" t="s">
        <v>2163</v>
      </c>
      <c r="C14" s="234">
        <v>19603</v>
      </c>
      <c r="D14" s="231"/>
      <c r="E14" s="170" t="s">
        <v>2164</v>
      </c>
      <c r="F14" s="170" t="s">
        <v>3291</v>
      </c>
      <c r="G14" s="171" t="s">
        <v>3292</v>
      </c>
      <c r="H14" s="170">
        <v>31.453869000000001</v>
      </c>
      <c r="I14" s="170">
        <v>34.912170000000003</v>
      </c>
      <c r="J14" s="173"/>
      <c r="K14" s="173"/>
      <c r="L14" s="173"/>
      <c r="M14" s="173"/>
      <c r="N14" s="173"/>
      <c r="O14" s="173"/>
      <c r="P14" s="173"/>
      <c r="Q14" s="173"/>
      <c r="R14" s="171" t="s">
        <v>3290</v>
      </c>
      <c r="S14" s="173"/>
      <c r="T14" s="173"/>
      <c r="U14" s="173"/>
      <c r="V14" s="173"/>
      <c r="W14" s="173"/>
      <c r="X14" s="173"/>
      <c r="Y14" s="173"/>
      <c r="Z14" s="173"/>
    </row>
    <row r="15" spans="1:26" ht="12" customHeight="1">
      <c r="A15" s="179" t="s">
        <v>1947</v>
      </c>
      <c r="B15" s="178">
        <v>19642</v>
      </c>
      <c r="C15" s="232">
        <v>19642</v>
      </c>
      <c r="D15" s="233">
        <v>1953</v>
      </c>
      <c r="E15" s="179" t="s">
        <v>1946</v>
      </c>
      <c r="F15" s="179" t="s">
        <v>1949</v>
      </c>
      <c r="G15" s="179" t="s">
        <v>1950</v>
      </c>
      <c r="H15" s="179">
        <v>31.887429999999998</v>
      </c>
      <c r="I15" s="179">
        <v>35.045319999999997</v>
      </c>
      <c r="J15" s="179" t="s">
        <v>1952</v>
      </c>
      <c r="K15" s="179" t="s">
        <v>1851</v>
      </c>
      <c r="L15" s="179" t="s">
        <v>1833</v>
      </c>
      <c r="M15" s="179">
        <v>101</v>
      </c>
      <c r="N15" s="179" t="s">
        <v>1840</v>
      </c>
      <c r="O15" s="179" t="s">
        <v>1954</v>
      </c>
      <c r="P15" s="179"/>
      <c r="Q15" s="235">
        <v>3672067</v>
      </c>
      <c r="R15" s="173"/>
      <c r="S15" s="173"/>
      <c r="T15" s="173"/>
      <c r="U15" s="173"/>
      <c r="V15" s="173"/>
      <c r="W15" s="173"/>
      <c r="X15" s="173"/>
      <c r="Y15" s="173"/>
      <c r="Z15" s="173"/>
    </row>
    <row r="16" spans="1:26" ht="21" customHeight="1">
      <c r="A16" s="173"/>
      <c r="B16" s="168" t="s">
        <v>2181</v>
      </c>
      <c r="C16" s="232">
        <v>19642</v>
      </c>
      <c r="D16" s="231"/>
      <c r="E16" s="170" t="s">
        <v>1946</v>
      </c>
      <c r="F16" s="171" t="s">
        <v>3304</v>
      </c>
      <c r="G16" s="171" t="s">
        <v>3305</v>
      </c>
      <c r="H16" s="170">
        <v>31.887429999999998</v>
      </c>
      <c r="I16" s="170">
        <v>35.045319999999997</v>
      </c>
      <c r="J16" s="173"/>
      <c r="K16" s="173"/>
      <c r="L16" s="173"/>
      <c r="M16" s="173"/>
      <c r="N16" s="173"/>
      <c r="O16" s="173"/>
      <c r="P16" s="173"/>
      <c r="Q16" s="173"/>
      <c r="R16" s="171" t="s">
        <v>3303</v>
      </c>
      <c r="S16" s="173"/>
      <c r="T16" s="173"/>
      <c r="U16" s="173"/>
      <c r="V16" s="173"/>
      <c r="W16" s="173"/>
      <c r="X16" s="173"/>
      <c r="Y16" s="173"/>
      <c r="Z16" s="173"/>
    </row>
    <row r="17" spans="1:26" ht="63" customHeight="1">
      <c r="A17" s="179" t="s">
        <v>1993</v>
      </c>
      <c r="B17" s="178" t="s">
        <v>2015</v>
      </c>
      <c r="C17" s="234">
        <v>19646</v>
      </c>
      <c r="D17" s="233">
        <v>1953</v>
      </c>
      <c r="E17" s="179" t="s">
        <v>1991</v>
      </c>
      <c r="F17" s="179" t="s">
        <v>1995</v>
      </c>
      <c r="G17" s="179" t="s">
        <v>1997</v>
      </c>
      <c r="H17" s="179">
        <v>31.9957581</v>
      </c>
      <c r="I17" s="179">
        <v>34.948840300000001</v>
      </c>
      <c r="J17" s="179" t="s">
        <v>1999</v>
      </c>
      <c r="K17" s="179" t="s">
        <v>2002</v>
      </c>
      <c r="L17" s="179" t="s">
        <v>2004</v>
      </c>
      <c r="M17" s="179" t="s">
        <v>2005</v>
      </c>
      <c r="N17" s="179" t="s">
        <v>1891</v>
      </c>
      <c r="O17" s="179" t="s">
        <v>2007</v>
      </c>
      <c r="P17" s="179" t="s">
        <v>2011</v>
      </c>
      <c r="Q17" s="173" t="s">
        <v>2015</v>
      </c>
      <c r="R17" s="173"/>
      <c r="S17" s="173"/>
      <c r="T17" s="173"/>
      <c r="U17" s="173"/>
      <c r="V17" s="173"/>
      <c r="W17" s="173"/>
      <c r="X17" s="173"/>
      <c r="Y17" s="173"/>
      <c r="Z17" s="173"/>
    </row>
    <row r="18" spans="1:26" ht="42" customHeight="1">
      <c r="A18" s="173"/>
      <c r="B18" s="168" t="s">
        <v>3607</v>
      </c>
      <c r="C18" s="234">
        <v>19646</v>
      </c>
      <c r="D18" s="231"/>
      <c r="E18" s="170" t="s">
        <v>3311</v>
      </c>
      <c r="F18" s="170" t="s">
        <v>1950</v>
      </c>
      <c r="G18" s="171" t="s">
        <v>2196</v>
      </c>
      <c r="H18" s="172">
        <v>31.977142000000001</v>
      </c>
      <c r="I18" s="172">
        <v>34.953834999999998</v>
      </c>
      <c r="J18" s="173"/>
      <c r="K18" s="173"/>
      <c r="L18" s="173"/>
      <c r="M18" s="173"/>
      <c r="N18" s="173"/>
      <c r="O18" s="173"/>
      <c r="P18" s="173"/>
      <c r="Q18" s="173"/>
      <c r="R18" s="171" t="s">
        <v>3312</v>
      </c>
      <c r="S18" s="173"/>
      <c r="T18" s="173"/>
      <c r="U18" s="173"/>
      <c r="V18" s="173"/>
      <c r="W18" s="173"/>
      <c r="X18" s="173"/>
      <c r="Y18" s="173"/>
      <c r="Z18" s="173"/>
    </row>
    <row r="19" spans="1:26" ht="21" customHeight="1">
      <c r="A19" s="179" t="s">
        <v>1959</v>
      </c>
      <c r="B19" s="178">
        <v>19711</v>
      </c>
      <c r="C19" s="232">
        <v>19711</v>
      </c>
      <c r="D19" s="233">
        <v>1953</v>
      </c>
      <c r="E19" s="179" t="s">
        <v>1958</v>
      </c>
      <c r="F19" s="179" t="s">
        <v>1961</v>
      </c>
      <c r="G19" s="182" t="s">
        <v>593</v>
      </c>
      <c r="H19" s="179">
        <v>40.625931600000001</v>
      </c>
      <c r="I19" s="179">
        <v>-75.370457899999906</v>
      </c>
      <c r="J19" s="179" t="s">
        <v>1963</v>
      </c>
      <c r="K19" s="179" t="s">
        <v>1965</v>
      </c>
      <c r="L19" s="179" t="s">
        <v>1967</v>
      </c>
      <c r="M19" s="179">
        <v>101</v>
      </c>
      <c r="N19" s="179" t="s">
        <v>1840</v>
      </c>
      <c r="O19" s="179" t="s">
        <v>1969</v>
      </c>
      <c r="P19" s="179"/>
      <c r="Q19" s="173">
        <v>19711</v>
      </c>
      <c r="R19" s="173"/>
      <c r="S19" s="173"/>
      <c r="T19" s="173"/>
      <c r="U19" s="173"/>
      <c r="V19" s="173"/>
      <c r="W19" s="173"/>
      <c r="X19" s="173"/>
      <c r="Y19" s="173"/>
      <c r="Z19" s="173"/>
    </row>
    <row r="20" spans="1:26" ht="31.5" customHeight="1">
      <c r="A20" s="173"/>
      <c r="B20" s="168" t="s">
        <v>2214</v>
      </c>
      <c r="C20" s="232">
        <v>19711</v>
      </c>
      <c r="D20" s="231"/>
      <c r="E20" s="170" t="s">
        <v>3318</v>
      </c>
      <c r="F20" s="170" t="s">
        <v>48</v>
      </c>
      <c r="G20" s="171" t="s">
        <v>2219</v>
      </c>
      <c r="H20" s="170">
        <v>31.688888899999998</v>
      </c>
      <c r="I20" s="170">
        <v>35.169722200000002</v>
      </c>
      <c r="J20" s="173"/>
      <c r="K20" s="173"/>
      <c r="L20" s="173"/>
      <c r="M20" s="173"/>
      <c r="N20" s="173"/>
      <c r="O20" s="173"/>
      <c r="P20" s="173"/>
      <c r="Q20" s="173"/>
      <c r="R20" s="171" t="s">
        <v>3319</v>
      </c>
      <c r="S20" s="173"/>
      <c r="T20" s="173"/>
      <c r="U20" s="173"/>
      <c r="V20" s="173"/>
      <c r="W20" s="173"/>
      <c r="X20" s="173"/>
      <c r="Y20" s="173"/>
      <c r="Z20" s="173"/>
    </row>
    <row r="21" spans="1:26" ht="12" customHeight="1">
      <c r="A21" s="179" t="s">
        <v>1936</v>
      </c>
      <c r="B21" s="178">
        <v>19712</v>
      </c>
      <c r="C21" s="234">
        <v>19712</v>
      </c>
      <c r="D21" s="233">
        <v>1953</v>
      </c>
      <c r="E21" s="179" t="s">
        <v>1935</v>
      </c>
      <c r="F21" s="179" t="s">
        <v>1938</v>
      </c>
      <c r="G21" s="179" t="s">
        <v>1939</v>
      </c>
      <c r="H21" s="179">
        <v>31.649552</v>
      </c>
      <c r="I21" s="179">
        <v>35.064712</v>
      </c>
      <c r="J21" s="179" t="s">
        <v>1941</v>
      </c>
      <c r="K21" s="179" t="s">
        <v>1943</v>
      </c>
      <c r="L21" s="179" t="s">
        <v>1833</v>
      </c>
      <c r="M21" s="179">
        <v>101</v>
      </c>
      <c r="N21" s="179" t="s">
        <v>1840</v>
      </c>
      <c r="O21" s="179" t="s">
        <v>1833</v>
      </c>
      <c r="P21" s="179"/>
      <c r="Q21" s="173">
        <v>19712</v>
      </c>
      <c r="R21" s="173"/>
      <c r="S21" s="173"/>
      <c r="T21" s="173"/>
      <c r="U21" s="173"/>
      <c r="V21" s="173"/>
      <c r="W21" s="173"/>
      <c r="X21" s="173"/>
      <c r="Y21" s="173"/>
      <c r="Z21" s="173"/>
    </row>
    <row r="22" spans="1:26" ht="12" customHeight="1">
      <c r="A22" s="173"/>
      <c r="B22" s="168" t="s">
        <v>2221</v>
      </c>
      <c r="C22" s="234">
        <v>19712</v>
      </c>
      <c r="D22" s="231"/>
      <c r="E22" s="170" t="s">
        <v>3326</v>
      </c>
      <c r="F22" s="170" t="s">
        <v>3328</v>
      </c>
      <c r="G22" s="171" t="s">
        <v>3329</v>
      </c>
      <c r="H22" s="172">
        <v>31.255736200000001</v>
      </c>
      <c r="I22" s="172">
        <v>34.807163600000003</v>
      </c>
      <c r="J22" s="173"/>
      <c r="K22" s="173"/>
      <c r="L22" s="173"/>
      <c r="M22" s="173"/>
      <c r="N22" s="173"/>
      <c r="O22" s="173"/>
      <c r="P22" s="173"/>
      <c r="Q22" s="173"/>
      <c r="R22" s="171" t="s">
        <v>3327</v>
      </c>
      <c r="S22" s="173"/>
      <c r="T22" s="173"/>
      <c r="U22" s="173"/>
      <c r="V22" s="173"/>
      <c r="W22" s="173"/>
      <c r="X22" s="173"/>
      <c r="Y22" s="173"/>
      <c r="Z22" s="173"/>
    </row>
    <row r="23" spans="1:26" ht="31.5" customHeight="1">
      <c r="A23" s="179" t="s">
        <v>1828</v>
      </c>
      <c r="B23" s="178">
        <v>19714</v>
      </c>
      <c r="C23" s="232">
        <v>19714</v>
      </c>
      <c r="D23" s="233">
        <v>1953</v>
      </c>
      <c r="E23" s="179" t="s">
        <v>1827</v>
      </c>
      <c r="F23" s="173" t="s">
        <v>1830</v>
      </c>
      <c r="G23" s="179" t="s">
        <v>1831</v>
      </c>
      <c r="H23" s="192"/>
      <c r="I23" s="192"/>
      <c r="J23" s="179" t="s">
        <v>1833</v>
      </c>
      <c r="K23" s="179" t="s">
        <v>1835</v>
      </c>
      <c r="L23" s="179" t="s">
        <v>1838</v>
      </c>
      <c r="M23" s="179">
        <v>101</v>
      </c>
      <c r="N23" s="179" t="s">
        <v>1840</v>
      </c>
      <c r="O23" s="179" t="s">
        <v>1842</v>
      </c>
      <c r="P23" s="179"/>
      <c r="Q23" s="173">
        <v>19714</v>
      </c>
      <c r="R23" s="173"/>
      <c r="S23" s="173"/>
      <c r="T23" s="173"/>
      <c r="U23" s="173"/>
      <c r="V23" s="173"/>
      <c r="W23" s="173"/>
      <c r="X23" s="173"/>
      <c r="Y23" s="173"/>
      <c r="Z23" s="173"/>
    </row>
    <row r="24" spans="1:26" ht="21" customHeight="1">
      <c r="A24" s="173"/>
      <c r="B24" s="168" t="s">
        <v>2227</v>
      </c>
      <c r="C24" s="232">
        <v>19714</v>
      </c>
      <c r="D24" s="231"/>
      <c r="E24" s="170" t="s">
        <v>3343</v>
      </c>
      <c r="F24" s="170" t="s">
        <v>3154</v>
      </c>
      <c r="G24" s="171" t="s">
        <v>3345</v>
      </c>
      <c r="H24" s="170">
        <v>31.532568999999999</v>
      </c>
      <c r="I24" s="170">
        <v>35.099826</v>
      </c>
      <c r="J24" s="173"/>
      <c r="K24" s="173"/>
      <c r="L24" s="173"/>
      <c r="M24" s="173"/>
      <c r="N24" s="173"/>
      <c r="O24" s="173"/>
      <c r="P24" s="173"/>
      <c r="Q24" s="173"/>
      <c r="R24" s="171" t="s">
        <v>3344</v>
      </c>
      <c r="S24" s="173"/>
      <c r="T24" s="173"/>
      <c r="U24" s="173"/>
      <c r="V24" s="173"/>
      <c r="W24" s="173"/>
      <c r="X24" s="173"/>
      <c r="Y24" s="173"/>
      <c r="Z24" s="173"/>
    </row>
    <row r="25" spans="1:26" ht="12" customHeight="1">
      <c r="A25" s="179" t="s">
        <v>1828</v>
      </c>
      <c r="B25" s="178">
        <v>19714</v>
      </c>
      <c r="C25" s="234">
        <v>19714</v>
      </c>
      <c r="D25" s="233">
        <v>1953</v>
      </c>
      <c r="E25" s="179" t="s">
        <v>1873</v>
      </c>
      <c r="F25" s="179" t="s">
        <v>1875</v>
      </c>
      <c r="G25" s="179" t="s">
        <v>1831</v>
      </c>
      <c r="H25" s="192"/>
      <c r="I25" s="192"/>
      <c r="J25" s="179" t="s">
        <v>1877</v>
      </c>
      <c r="K25" s="179" t="s">
        <v>1851</v>
      </c>
      <c r="L25" s="179"/>
      <c r="M25" s="179">
        <v>101</v>
      </c>
      <c r="N25" s="179"/>
      <c r="O25" s="179"/>
      <c r="P25" s="179"/>
      <c r="Q25" s="173">
        <v>19714</v>
      </c>
      <c r="R25" s="173"/>
      <c r="S25" s="173"/>
      <c r="T25" s="173"/>
      <c r="U25" s="173"/>
      <c r="V25" s="173"/>
      <c r="W25" s="173"/>
      <c r="X25" s="173"/>
      <c r="Y25" s="173"/>
      <c r="Z25" s="173"/>
    </row>
    <row r="26" spans="1:26" ht="21" customHeight="1">
      <c r="A26" s="173"/>
      <c r="B26" s="168" t="s">
        <v>2227</v>
      </c>
      <c r="C26" s="234">
        <v>19714</v>
      </c>
      <c r="D26" s="231"/>
      <c r="E26" s="170" t="s">
        <v>3335</v>
      </c>
      <c r="F26" s="170" t="s">
        <v>2281</v>
      </c>
      <c r="G26" s="171" t="s">
        <v>3337</v>
      </c>
      <c r="H26" s="170">
        <v>31.57733</v>
      </c>
      <c r="I26" s="170">
        <v>35.014173999999997</v>
      </c>
      <c r="J26" s="173"/>
      <c r="K26" s="173"/>
      <c r="L26" s="173"/>
      <c r="M26" s="173"/>
      <c r="N26" s="173"/>
      <c r="O26" s="173"/>
      <c r="P26" s="173"/>
      <c r="Q26" s="173"/>
      <c r="R26" s="171" t="s">
        <v>3336</v>
      </c>
      <c r="S26" s="173"/>
      <c r="T26" s="173"/>
      <c r="U26" s="173"/>
      <c r="V26" s="173"/>
      <c r="W26" s="173"/>
      <c r="X26" s="173"/>
      <c r="Y26" s="173"/>
      <c r="Z26" s="173"/>
    </row>
    <row r="27" spans="1:26" ht="12" customHeight="1">
      <c r="A27" s="179" t="s">
        <v>1861</v>
      </c>
      <c r="B27" s="178">
        <v>19717</v>
      </c>
      <c r="C27" s="232">
        <v>19717</v>
      </c>
      <c r="D27" s="233">
        <v>1953</v>
      </c>
      <c r="E27" s="179" t="s">
        <v>1860</v>
      </c>
      <c r="F27" s="179" t="s">
        <v>1863</v>
      </c>
      <c r="G27" s="182" t="s">
        <v>1864</v>
      </c>
      <c r="H27" s="179">
        <v>40.625931600000001</v>
      </c>
      <c r="I27" s="179">
        <v>-75.370457899999906</v>
      </c>
      <c r="J27" s="179"/>
      <c r="K27" s="179" t="s">
        <v>1867</v>
      </c>
      <c r="L27" s="179" t="s">
        <v>1870</v>
      </c>
      <c r="M27" s="179">
        <v>101</v>
      </c>
      <c r="N27" s="179" t="s">
        <v>1840</v>
      </c>
      <c r="O27" s="179"/>
      <c r="P27" s="179"/>
      <c r="Q27" s="173">
        <v>19717</v>
      </c>
      <c r="R27" s="173"/>
      <c r="S27" s="173"/>
      <c r="T27" s="173"/>
      <c r="U27" s="173"/>
      <c r="V27" s="173"/>
      <c r="W27" s="173"/>
      <c r="X27" s="173"/>
      <c r="Y27" s="173"/>
      <c r="Z27" s="173"/>
    </row>
    <row r="28" spans="1:26" ht="12" customHeight="1">
      <c r="A28" s="173"/>
      <c r="B28" s="168" t="s">
        <v>2248</v>
      </c>
      <c r="C28" s="232">
        <v>19717</v>
      </c>
      <c r="D28" s="231"/>
      <c r="E28" s="170" t="s">
        <v>3350</v>
      </c>
      <c r="F28" s="170" t="s">
        <v>1198</v>
      </c>
      <c r="G28" s="171" t="s">
        <v>3353</v>
      </c>
      <c r="H28" s="170">
        <v>31.255736200000001</v>
      </c>
      <c r="I28" s="170">
        <v>34.807163600000003</v>
      </c>
      <c r="J28" s="173"/>
      <c r="K28" s="173"/>
      <c r="L28" s="173"/>
      <c r="M28" s="173"/>
      <c r="N28" s="173"/>
      <c r="O28" s="173"/>
      <c r="P28" s="173"/>
      <c r="Q28" s="173"/>
      <c r="R28" s="171" t="s">
        <v>3351</v>
      </c>
      <c r="S28" s="173"/>
      <c r="T28" s="173"/>
      <c r="U28" s="173"/>
      <c r="V28" s="173"/>
      <c r="W28" s="173"/>
      <c r="X28" s="173"/>
      <c r="Y28" s="173"/>
      <c r="Z28" s="173"/>
    </row>
    <row r="29" spans="1:26" ht="21" customHeight="1">
      <c r="A29" s="173"/>
      <c r="B29" s="168" t="s">
        <v>2279</v>
      </c>
      <c r="C29" s="169">
        <v>19756</v>
      </c>
      <c r="D29" s="231"/>
      <c r="E29" s="170" t="s">
        <v>815</v>
      </c>
      <c r="F29" s="170" t="s">
        <v>2281</v>
      </c>
      <c r="G29" s="171" t="s">
        <v>2283</v>
      </c>
      <c r="H29" s="170">
        <v>31.522561</v>
      </c>
      <c r="I29" s="170">
        <v>34.453592999999998</v>
      </c>
      <c r="J29" s="173"/>
      <c r="K29" s="173"/>
      <c r="L29" s="173"/>
      <c r="M29" s="173"/>
      <c r="N29" s="173"/>
      <c r="O29" s="173"/>
      <c r="P29" s="173"/>
      <c r="Q29" s="173"/>
      <c r="R29" s="171" t="s">
        <v>2285</v>
      </c>
      <c r="S29" s="173"/>
      <c r="T29" s="173"/>
      <c r="U29" s="173"/>
      <c r="V29" s="173"/>
      <c r="W29" s="173"/>
      <c r="X29" s="173"/>
      <c r="Y29" s="173"/>
      <c r="Z29" s="173"/>
    </row>
    <row r="30" spans="1:26" ht="31.5" customHeight="1">
      <c r="A30" s="179" t="s">
        <v>2075</v>
      </c>
      <c r="B30" s="178">
        <v>19811</v>
      </c>
      <c r="C30" s="234">
        <v>19811</v>
      </c>
      <c r="D30" s="233">
        <v>1954</v>
      </c>
      <c r="E30" s="179" t="s">
        <v>2074</v>
      </c>
      <c r="F30" s="179" t="s">
        <v>2077</v>
      </c>
      <c r="G30" s="182" t="s">
        <v>2079</v>
      </c>
      <c r="H30" s="179">
        <v>58.883600999999999</v>
      </c>
      <c r="I30" s="179">
        <v>-131.74868599999999</v>
      </c>
      <c r="J30" s="179" t="s">
        <v>2081</v>
      </c>
      <c r="K30" s="179" t="s">
        <v>2083</v>
      </c>
      <c r="L30" s="179" t="s">
        <v>2085</v>
      </c>
      <c r="M30" s="179" t="s">
        <v>2086</v>
      </c>
      <c r="N30" s="179" t="s">
        <v>2088</v>
      </c>
      <c r="O30" s="179" t="s">
        <v>2090</v>
      </c>
      <c r="P30" s="179"/>
      <c r="Q30" s="173">
        <v>19811</v>
      </c>
      <c r="R30" s="173"/>
      <c r="S30" s="173"/>
      <c r="T30" s="173"/>
      <c r="U30" s="173"/>
      <c r="V30" s="173"/>
      <c r="W30" s="173"/>
      <c r="X30" s="173"/>
      <c r="Y30" s="173"/>
      <c r="Z30" s="173"/>
    </row>
    <row r="31" spans="1:26" ht="31.5" customHeight="1">
      <c r="A31" s="173"/>
      <c r="B31" s="168" t="s">
        <v>2359</v>
      </c>
      <c r="C31" s="234">
        <v>19811</v>
      </c>
      <c r="D31" s="231"/>
      <c r="E31" s="170" t="s">
        <v>3364</v>
      </c>
      <c r="F31" s="170" t="s">
        <v>176</v>
      </c>
      <c r="G31" s="171" t="s">
        <v>3366</v>
      </c>
      <c r="H31" s="172">
        <v>31.705382100000001</v>
      </c>
      <c r="I31" s="172">
        <v>35.202442499999997</v>
      </c>
      <c r="J31" s="173"/>
      <c r="K31" s="173"/>
      <c r="L31" s="173"/>
      <c r="M31" s="173"/>
      <c r="N31" s="173"/>
      <c r="O31" s="173"/>
      <c r="P31" s="173"/>
      <c r="Q31" s="173"/>
      <c r="R31" s="171" t="s">
        <v>3365</v>
      </c>
      <c r="S31" s="173"/>
      <c r="T31" s="173"/>
      <c r="U31" s="173"/>
      <c r="V31" s="173"/>
      <c r="W31" s="173"/>
      <c r="X31" s="173"/>
      <c r="Y31" s="173"/>
      <c r="Z31" s="173"/>
    </row>
    <row r="32" spans="1:26" ht="21" customHeight="1">
      <c r="A32" s="179" t="s">
        <v>2108</v>
      </c>
      <c r="B32" s="178">
        <v>19816</v>
      </c>
      <c r="C32" s="232">
        <v>19816</v>
      </c>
      <c r="D32" s="233">
        <v>1954</v>
      </c>
      <c r="E32" s="179" t="s">
        <v>2107</v>
      </c>
      <c r="F32" s="179" t="s">
        <v>2111</v>
      </c>
      <c r="G32" s="179" t="s">
        <v>2113</v>
      </c>
      <c r="H32" s="179">
        <v>31.354676300000001</v>
      </c>
      <c r="I32" s="179">
        <v>34.308825499999998</v>
      </c>
      <c r="J32" s="179" t="s">
        <v>2116</v>
      </c>
      <c r="K32" s="179" t="s">
        <v>2118</v>
      </c>
      <c r="L32" s="179" t="s">
        <v>2120</v>
      </c>
      <c r="M32" s="179">
        <v>890</v>
      </c>
      <c r="N32" s="179" t="s">
        <v>1840</v>
      </c>
      <c r="O32" s="179" t="s">
        <v>2122</v>
      </c>
      <c r="P32" s="179"/>
      <c r="Q32" s="173">
        <v>19816</v>
      </c>
      <c r="R32" s="173"/>
      <c r="S32" s="173"/>
      <c r="T32" s="173"/>
      <c r="U32" s="173"/>
      <c r="V32" s="173"/>
      <c r="W32" s="173"/>
      <c r="X32" s="173"/>
      <c r="Y32" s="173"/>
      <c r="Z32" s="173"/>
    </row>
    <row r="33" spans="1:26" ht="21" customHeight="1">
      <c r="A33" s="173"/>
      <c r="B33" s="168" t="s">
        <v>2368</v>
      </c>
      <c r="C33" s="232">
        <v>19816</v>
      </c>
      <c r="D33" s="231"/>
      <c r="E33" s="170" t="s">
        <v>3371</v>
      </c>
      <c r="F33" s="170" t="s">
        <v>593</v>
      </c>
      <c r="G33" s="171" t="s">
        <v>2373</v>
      </c>
      <c r="H33" s="170">
        <v>31.296779999999899</v>
      </c>
      <c r="I33" s="170">
        <v>34.243482</v>
      </c>
      <c r="J33" s="173"/>
      <c r="K33" s="173"/>
      <c r="L33" s="173"/>
      <c r="M33" s="173"/>
      <c r="N33" s="173"/>
      <c r="O33" s="173"/>
      <c r="P33" s="173"/>
      <c r="Q33" s="173"/>
      <c r="R33" s="171" t="s">
        <v>3372</v>
      </c>
      <c r="S33" s="173"/>
      <c r="T33" s="173"/>
      <c r="U33" s="173"/>
      <c r="V33" s="173"/>
      <c r="W33" s="173"/>
      <c r="X33" s="173"/>
      <c r="Y33" s="173"/>
      <c r="Z33" s="173"/>
    </row>
    <row r="34" spans="1:26" ht="21" customHeight="1">
      <c r="A34" s="179" t="s">
        <v>2169</v>
      </c>
      <c r="B34" s="178">
        <v>19875</v>
      </c>
      <c r="C34" s="169">
        <v>19875</v>
      </c>
      <c r="D34" s="233">
        <v>1954</v>
      </c>
      <c r="E34" s="179" t="s">
        <v>2167</v>
      </c>
      <c r="F34" s="179" t="s">
        <v>2172</v>
      </c>
      <c r="G34" s="179" t="s">
        <v>2172</v>
      </c>
      <c r="H34" s="179">
        <v>28.2584585</v>
      </c>
      <c r="I34" s="179">
        <v>34.675627899999903</v>
      </c>
      <c r="J34" s="179" t="s">
        <v>2174</v>
      </c>
      <c r="K34" s="179" t="s">
        <v>2176</v>
      </c>
      <c r="L34" s="179" t="s">
        <v>2178</v>
      </c>
      <c r="M34" s="179" t="s">
        <v>2180</v>
      </c>
      <c r="N34" s="179" t="s">
        <v>1891</v>
      </c>
      <c r="O34" s="179" t="s">
        <v>2184</v>
      </c>
      <c r="P34" s="179"/>
      <c r="Q34" s="173">
        <v>19875</v>
      </c>
      <c r="R34" s="173"/>
      <c r="S34" s="173"/>
      <c r="T34" s="173"/>
      <c r="U34" s="173"/>
      <c r="V34" s="173"/>
      <c r="W34" s="173"/>
      <c r="X34" s="173"/>
      <c r="Y34" s="173"/>
      <c r="Z34" s="173"/>
    </row>
    <row r="35" spans="1:26" ht="52.5" customHeight="1">
      <c r="A35" s="179" t="s">
        <v>2058</v>
      </c>
      <c r="B35" s="178">
        <v>19904</v>
      </c>
      <c r="C35" s="234">
        <v>19904</v>
      </c>
      <c r="D35" s="233">
        <v>1954</v>
      </c>
      <c r="E35" s="179" t="s">
        <v>2056</v>
      </c>
      <c r="F35" s="179" t="s">
        <v>2060</v>
      </c>
      <c r="G35" s="179" t="s">
        <v>2061</v>
      </c>
      <c r="H35" s="179">
        <v>32.177101</v>
      </c>
      <c r="I35" s="179">
        <v>35.055956999999999</v>
      </c>
      <c r="J35" s="179" t="s">
        <v>2063</v>
      </c>
      <c r="K35" s="179" t="s">
        <v>2065</v>
      </c>
      <c r="L35" s="179" t="s">
        <v>2067</v>
      </c>
      <c r="M35" s="179">
        <v>890</v>
      </c>
      <c r="N35" s="179" t="s">
        <v>1840</v>
      </c>
      <c r="O35" s="179" t="s">
        <v>2069</v>
      </c>
      <c r="P35" s="179" t="s">
        <v>2071</v>
      </c>
      <c r="Q35" s="173">
        <v>19904</v>
      </c>
      <c r="R35" s="173"/>
      <c r="S35" s="173"/>
      <c r="T35" s="173"/>
      <c r="U35" s="173"/>
      <c r="V35" s="173"/>
      <c r="W35" s="173"/>
      <c r="X35" s="173"/>
      <c r="Y35" s="173"/>
      <c r="Z35" s="173"/>
    </row>
    <row r="36" spans="1:26" ht="31.5" customHeight="1">
      <c r="A36" s="173"/>
      <c r="B36" s="168" t="s">
        <v>2492</v>
      </c>
      <c r="C36" s="234">
        <v>19904</v>
      </c>
      <c r="D36" s="231"/>
      <c r="E36" s="170" t="s">
        <v>3380</v>
      </c>
      <c r="F36" s="170" t="s">
        <v>1865</v>
      </c>
      <c r="G36" s="171" t="s">
        <v>2497</v>
      </c>
      <c r="H36" s="170">
        <v>32.177101</v>
      </c>
      <c r="I36" s="170">
        <v>35.055956999999999</v>
      </c>
      <c r="J36" s="173"/>
      <c r="K36" s="173"/>
      <c r="L36" s="173"/>
      <c r="M36" s="173"/>
      <c r="N36" s="173"/>
      <c r="O36" s="173"/>
      <c r="P36" s="173"/>
      <c r="Q36" s="173"/>
      <c r="R36" s="171" t="s">
        <v>3381</v>
      </c>
      <c r="S36" s="173"/>
      <c r="T36" s="173"/>
      <c r="U36" s="173"/>
      <c r="V36" s="173"/>
      <c r="W36" s="173"/>
      <c r="X36" s="173"/>
      <c r="Y36" s="173"/>
      <c r="Z36" s="173"/>
    </row>
    <row r="37" spans="1:26" ht="21" customHeight="1">
      <c r="A37" s="179" t="s">
        <v>2234</v>
      </c>
      <c r="B37" s="178">
        <v>19915</v>
      </c>
      <c r="C37" s="232">
        <v>19915</v>
      </c>
      <c r="D37" s="233">
        <v>1954</v>
      </c>
      <c r="E37" s="179" t="s">
        <v>2233</v>
      </c>
      <c r="F37" s="179" t="s">
        <v>2236</v>
      </c>
      <c r="G37" s="179" t="s">
        <v>2237</v>
      </c>
      <c r="H37" s="185">
        <v>31.349976999999999</v>
      </c>
      <c r="I37" s="185">
        <v>34.299681999999997</v>
      </c>
      <c r="J37" s="179" t="s">
        <v>1833</v>
      </c>
      <c r="K37" s="179" t="s">
        <v>2243</v>
      </c>
      <c r="L37" s="179" t="s">
        <v>2246</v>
      </c>
      <c r="M37" s="179">
        <v>890</v>
      </c>
      <c r="N37" s="179" t="s">
        <v>1840</v>
      </c>
      <c r="O37" s="179" t="s">
        <v>2249</v>
      </c>
      <c r="P37" s="179" t="s">
        <v>2252</v>
      </c>
      <c r="Q37" s="173">
        <v>19915</v>
      </c>
      <c r="R37" s="173"/>
      <c r="S37" s="173"/>
      <c r="T37" s="173"/>
      <c r="U37" s="173"/>
      <c r="V37" s="173"/>
      <c r="W37" s="173"/>
      <c r="X37" s="173"/>
      <c r="Y37" s="173"/>
      <c r="Z37" s="173"/>
    </row>
    <row r="38" spans="1:26" ht="31.5" customHeight="1">
      <c r="A38" s="173"/>
      <c r="B38" s="168" t="s">
        <v>2546</v>
      </c>
      <c r="C38" s="232">
        <v>19915</v>
      </c>
      <c r="D38" s="231"/>
      <c r="E38" s="170" t="s">
        <v>3387</v>
      </c>
      <c r="F38" s="170" t="s">
        <v>2061</v>
      </c>
      <c r="G38" s="171" t="s">
        <v>3390</v>
      </c>
      <c r="H38" s="170">
        <v>31.349976999999999</v>
      </c>
      <c r="I38" s="170">
        <v>34.299681999999997</v>
      </c>
      <c r="J38" s="173"/>
      <c r="K38" s="173"/>
      <c r="L38" s="173"/>
      <c r="M38" s="173"/>
      <c r="N38" s="173"/>
      <c r="O38" s="173"/>
      <c r="P38" s="173"/>
      <c r="Q38" s="173"/>
      <c r="R38" s="171" t="s">
        <v>3388</v>
      </c>
      <c r="S38" s="173"/>
      <c r="T38" s="173"/>
      <c r="U38" s="173"/>
      <c r="V38" s="173"/>
      <c r="W38" s="173"/>
      <c r="X38" s="173"/>
      <c r="Y38" s="173"/>
      <c r="Z38" s="173"/>
    </row>
    <row r="39" spans="1:26" ht="42" customHeight="1">
      <c r="A39" s="173"/>
      <c r="B39" s="168" t="s">
        <v>2591</v>
      </c>
      <c r="C39" s="169">
        <v>19938</v>
      </c>
      <c r="D39" s="231"/>
      <c r="E39" s="170" t="s">
        <v>2594</v>
      </c>
      <c r="F39" s="170" t="s">
        <v>2297</v>
      </c>
      <c r="G39" s="171" t="s">
        <v>2597</v>
      </c>
      <c r="H39" s="172">
        <v>31.889281</v>
      </c>
      <c r="I39" s="172">
        <v>35.169812999999998</v>
      </c>
      <c r="J39" s="173"/>
      <c r="K39" s="173"/>
      <c r="L39" s="173"/>
      <c r="M39" s="173"/>
      <c r="N39" s="173"/>
      <c r="O39" s="173"/>
      <c r="P39" s="173"/>
      <c r="Q39" s="173"/>
      <c r="R39" s="171" t="s">
        <v>2599</v>
      </c>
      <c r="S39" s="173"/>
      <c r="T39" s="173"/>
      <c r="U39" s="173"/>
      <c r="V39" s="173"/>
      <c r="W39" s="173"/>
      <c r="X39" s="173"/>
      <c r="Y39" s="173"/>
      <c r="Z39" s="173"/>
    </row>
    <row r="40" spans="1:26" ht="21" customHeight="1">
      <c r="A40" s="179" t="s">
        <v>2093</v>
      </c>
      <c r="B40" s="178">
        <v>19950</v>
      </c>
      <c r="C40" s="234">
        <v>19950</v>
      </c>
      <c r="D40" s="233">
        <v>1954</v>
      </c>
      <c r="E40" s="179" t="s">
        <v>2092</v>
      </c>
      <c r="F40" s="179" t="s">
        <v>2095</v>
      </c>
      <c r="G40" s="179" t="s">
        <v>176</v>
      </c>
      <c r="H40" s="179">
        <v>31.354676300000001</v>
      </c>
      <c r="I40" s="179">
        <v>34.308825499999998</v>
      </c>
      <c r="J40" s="179" t="s">
        <v>2097</v>
      </c>
      <c r="K40" s="179" t="s">
        <v>2099</v>
      </c>
      <c r="L40" s="179" t="s">
        <v>2101</v>
      </c>
      <c r="M40" s="179">
        <v>890</v>
      </c>
      <c r="N40" s="179" t="s">
        <v>1840</v>
      </c>
      <c r="O40" s="179" t="s">
        <v>2104</v>
      </c>
      <c r="P40" s="179"/>
      <c r="Q40" s="173">
        <v>19950</v>
      </c>
      <c r="R40" s="173"/>
      <c r="S40" s="173"/>
      <c r="T40" s="173"/>
      <c r="U40" s="173"/>
      <c r="V40" s="173"/>
      <c r="W40" s="173"/>
      <c r="X40" s="173"/>
      <c r="Y40" s="173"/>
      <c r="Z40" s="173"/>
    </row>
    <row r="41" spans="1:26" ht="21" customHeight="1">
      <c r="A41" s="173"/>
      <c r="B41" s="168" t="s">
        <v>3616</v>
      </c>
      <c r="C41" s="234">
        <v>19950</v>
      </c>
      <c r="D41" s="231"/>
      <c r="E41" s="170" t="s">
        <v>3401</v>
      </c>
      <c r="F41" s="170" t="s">
        <v>3403</v>
      </c>
      <c r="G41" s="171" t="s">
        <v>3404</v>
      </c>
      <c r="H41" s="184"/>
      <c r="I41" s="184"/>
      <c r="J41" s="173"/>
      <c r="K41" s="173"/>
      <c r="L41" s="173"/>
      <c r="M41" s="173"/>
      <c r="N41" s="173"/>
      <c r="O41" s="173"/>
      <c r="P41" s="173"/>
      <c r="Q41" s="173"/>
      <c r="R41" s="171" t="s">
        <v>3402</v>
      </c>
      <c r="S41" s="173"/>
      <c r="T41" s="173"/>
      <c r="U41" s="173"/>
      <c r="V41" s="173"/>
      <c r="W41" s="173"/>
      <c r="X41" s="173"/>
      <c r="Y41" s="173"/>
      <c r="Z41" s="173"/>
    </row>
    <row r="42" spans="1:26" ht="42" customHeight="1">
      <c r="A42" s="173"/>
      <c r="B42" s="168" t="s">
        <v>2660</v>
      </c>
      <c r="C42" s="169">
        <v>19966</v>
      </c>
      <c r="D42" s="231"/>
      <c r="E42" s="170" t="s">
        <v>2594</v>
      </c>
      <c r="F42" s="170" t="s">
        <v>176</v>
      </c>
      <c r="G42" s="171" t="s">
        <v>2662</v>
      </c>
      <c r="H42" s="181">
        <v>31.491147999999999</v>
      </c>
      <c r="I42" s="181">
        <v>34.943641999999997</v>
      </c>
      <c r="J42" s="173"/>
      <c r="K42" s="173"/>
      <c r="L42" s="173"/>
      <c r="M42" s="173"/>
      <c r="N42" s="173"/>
      <c r="O42" s="173"/>
      <c r="P42" s="173"/>
      <c r="Q42" s="173"/>
      <c r="R42" s="171" t="s">
        <v>2664</v>
      </c>
      <c r="S42" s="173"/>
      <c r="T42" s="173"/>
      <c r="U42" s="173"/>
      <c r="V42" s="173"/>
      <c r="W42" s="173"/>
      <c r="X42" s="173"/>
      <c r="Y42" s="173"/>
      <c r="Z42" s="173"/>
    </row>
    <row r="43" spans="1:26" ht="42" customHeight="1">
      <c r="A43" s="179" t="s">
        <v>2189</v>
      </c>
      <c r="B43" s="178">
        <v>19969</v>
      </c>
      <c r="C43" s="232">
        <v>19969</v>
      </c>
      <c r="D43" s="233">
        <v>1954</v>
      </c>
      <c r="E43" s="179" t="s">
        <v>2188</v>
      </c>
      <c r="F43" s="179" t="s">
        <v>2191</v>
      </c>
      <c r="G43" s="179" t="s">
        <v>2192</v>
      </c>
      <c r="H43" s="185">
        <v>33.3636111</v>
      </c>
      <c r="I43" s="185">
        <v>35.446388900000002</v>
      </c>
      <c r="J43" s="179" t="s">
        <v>2197</v>
      </c>
      <c r="K43" s="179" t="s">
        <v>2200</v>
      </c>
      <c r="L43" s="179" t="s">
        <v>2203</v>
      </c>
      <c r="M43" s="179" t="s">
        <v>2205</v>
      </c>
      <c r="N43" s="179" t="s">
        <v>1891</v>
      </c>
      <c r="O43" s="179" t="s">
        <v>2207</v>
      </c>
      <c r="P43" s="179"/>
      <c r="Q43" s="173">
        <v>19969</v>
      </c>
      <c r="R43" s="173"/>
      <c r="S43" s="173"/>
      <c r="T43" s="173"/>
      <c r="U43" s="173"/>
      <c r="V43" s="173"/>
      <c r="W43" s="173"/>
      <c r="X43" s="173"/>
      <c r="Y43" s="173"/>
      <c r="Z43" s="173"/>
    </row>
    <row r="44" spans="1:26" ht="63" customHeight="1">
      <c r="A44" s="173"/>
      <c r="B44" s="168" t="s">
        <v>834</v>
      </c>
      <c r="C44" s="232">
        <v>19969</v>
      </c>
      <c r="D44" s="231"/>
      <c r="E44" s="170" t="s">
        <v>3415</v>
      </c>
      <c r="F44" s="170" t="s">
        <v>3417</v>
      </c>
      <c r="G44" s="171" t="s">
        <v>3418</v>
      </c>
      <c r="H44" s="170">
        <v>31.869937</v>
      </c>
      <c r="I44" s="170">
        <v>35.065201999999999</v>
      </c>
      <c r="J44" s="173"/>
      <c r="K44" s="173"/>
      <c r="L44" s="173"/>
      <c r="M44" s="173"/>
      <c r="N44" s="173"/>
      <c r="O44" s="173"/>
      <c r="P44" s="173"/>
      <c r="Q44" s="173"/>
      <c r="R44" s="171" t="s">
        <v>3416</v>
      </c>
      <c r="S44" s="173"/>
      <c r="T44" s="173"/>
      <c r="U44" s="173"/>
      <c r="V44" s="173"/>
      <c r="W44" s="173"/>
      <c r="X44" s="173"/>
      <c r="Y44" s="173"/>
      <c r="Z44" s="173"/>
    </row>
    <row r="45" spans="1:26" ht="12" customHeight="1">
      <c r="A45" s="179" t="s">
        <v>2211</v>
      </c>
      <c r="B45" s="178">
        <v>20062</v>
      </c>
      <c r="C45" s="234">
        <v>20062</v>
      </c>
      <c r="D45" s="233">
        <v>1954</v>
      </c>
      <c r="E45" s="179" t="s">
        <v>2209</v>
      </c>
      <c r="F45" s="173" t="s">
        <v>2213</v>
      </c>
      <c r="G45" s="236" t="s">
        <v>2215</v>
      </c>
      <c r="H45" s="237">
        <v>27.466666700000001</v>
      </c>
      <c r="I45" s="237">
        <v>41.683333300000001</v>
      </c>
      <c r="J45" s="179"/>
      <c r="K45" s="179"/>
      <c r="L45" s="179"/>
      <c r="M45" s="179"/>
      <c r="N45" s="179"/>
      <c r="O45" s="179"/>
      <c r="P45" s="179"/>
      <c r="Q45" s="173">
        <v>20062</v>
      </c>
      <c r="R45" s="173"/>
      <c r="S45" s="173"/>
      <c r="T45" s="173"/>
      <c r="U45" s="173"/>
      <c r="V45" s="173"/>
      <c r="W45" s="173"/>
      <c r="X45" s="173"/>
      <c r="Y45" s="173"/>
      <c r="Z45" s="173"/>
    </row>
    <row r="46" spans="1:26" ht="12" customHeight="1">
      <c r="A46" s="173"/>
      <c r="B46" s="168" t="s">
        <v>2764</v>
      </c>
      <c r="C46" s="234">
        <v>20062</v>
      </c>
      <c r="D46" s="231"/>
      <c r="E46" s="170" t="s">
        <v>3422</v>
      </c>
      <c r="F46" s="170" t="s">
        <v>3423</v>
      </c>
      <c r="G46" s="171" t="s">
        <v>3424</v>
      </c>
      <c r="H46" s="170">
        <v>30.5833333</v>
      </c>
      <c r="I46" s="170">
        <v>34.484166700000003</v>
      </c>
      <c r="J46" s="173"/>
      <c r="K46" s="173"/>
      <c r="L46" s="173"/>
      <c r="M46" s="173"/>
      <c r="N46" s="173"/>
      <c r="O46" s="173"/>
      <c r="P46" s="173"/>
      <c r="Q46" s="173"/>
      <c r="R46" s="171"/>
      <c r="S46" s="173"/>
      <c r="T46" s="173"/>
      <c r="U46" s="173"/>
      <c r="V46" s="173"/>
      <c r="W46" s="173"/>
      <c r="X46" s="173"/>
      <c r="Y46" s="173"/>
      <c r="Z46" s="173"/>
    </row>
    <row r="47" spans="1:26" ht="12" customHeight="1">
      <c r="A47" s="179" t="s">
        <v>2125</v>
      </c>
      <c r="B47" s="178">
        <v>20066</v>
      </c>
      <c r="C47" s="169">
        <v>20066</v>
      </c>
      <c r="D47" s="233">
        <v>1954</v>
      </c>
      <c r="E47" s="179" t="s">
        <v>2124</v>
      </c>
      <c r="F47" s="179" t="s">
        <v>2127</v>
      </c>
      <c r="G47" s="179" t="s">
        <v>2129</v>
      </c>
      <c r="H47" s="179">
        <v>33.240338000000001</v>
      </c>
      <c r="I47" s="179">
        <v>35.677014999999997</v>
      </c>
      <c r="J47" s="179" t="s">
        <v>2133</v>
      </c>
      <c r="K47" s="179"/>
      <c r="L47" s="179" t="s">
        <v>2137</v>
      </c>
      <c r="M47" s="179" t="s">
        <v>2139</v>
      </c>
      <c r="N47" s="179" t="s">
        <v>1891</v>
      </c>
      <c r="O47" s="179" t="s">
        <v>2141</v>
      </c>
      <c r="P47" s="179" t="s">
        <v>2142</v>
      </c>
      <c r="Q47" s="173">
        <v>20066</v>
      </c>
      <c r="R47" s="173"/>
      <c r="S47" s="173"/>
      <c r="T47" s="173"/>
      <c r="U47" s="173"/>
      <c r="V47" s="173"/>
      <c r="W47" s="173"/>
      <c r="X47" s="173"/>
      <c r="Y47" s="173"/>
      <c r="Z47" s="173"/>
    </row>
    <row r="48" spans="1:26" ht="52.5" customHeight="1">
      <c r="A48" s="179" t="s">
        <v>2258</v>
      </c>
      <c r="B48" s="178">
        <v>20148</v>
      </c>
      <c r="C48" s="232">
        <v>20148</v>
      </c>
      <c r="D48" s="233">
        <v>1955</v>
      </c>
      <c r="E48" s="179" t="s">
        <v>2257</v>
      </c>
      <c r="F48" s="179" t="s">
        <v>176</v>
      </c>
      <c r="G48" s="179" t="s">
        <v>176</v>
      </c>
      <c r="H48" s="179">
        <v>31.354676300000001</v>
      </c>
      <c r="I48" s="179">
        <v>34.308825499999998</v>
      </c>
      <c r="J48" s="179" t="s">
        <v>2261</v>
      </c>
      <c r="K48" s="179" t="s">
        <v>2263</v>
      </c>
      <c r="L48" s="179" t="s">
        <v>2265</v>
      </c>
      <c r="M48" s="179" t="s">
        <v>2267</v>
      </c>
      <c r="N48" s="179" t="s">
        <v>1891</v>
      </c>
      <c r="O48" s="179" t="s">
        <v>2269</v>
      </c>
      <c r="P48" s="179" t="s">
        <v>2271</v>
      </c>
      <c r="Q48" s="173">
        <v>20148</v>
      </c>
      <c r="R48" s="173"/>
      <c r="S48" s="173"/>
      <c r="T48" s="173"/>
      <c r="U48" s="173"/>
      <c r="V48" s="173"/>
      <c r="W48" s="173"/>
      <c r="X48" s="173"/>
      <c r="Y48" s="173"/>
      <c r="Z48" s="173"/>
    </row>
    <row r="49" spans="1:26" ht="42" customHeight="1">
      <c r="A49" s="173"/>
      <c r="B49" s="168" t="s">
        <v>2897</v>
      </c>
      <c r="C49" s="232">
        <v>20148</v>
      </c>
      <c r="D49" s="231"/>
      <c r="E49" s="170" t="s">
        <v>3430</v>
      </c>
      <c r="F49" s="170" t="s">
        <v>2213</v>
      </c>
      <c r="G49" s="171" t="s">
        <v>3432</v>
      </c>
      <c r="H49" s="170">
        <v>31.522561</v>
      </c>
      <c r="I49" s="170">
        <v>34.453592999999998</v>
      </c>
      <c r="J49" s="173"/>
      <c r="K49" s="173"/>
      <c r="L49" s="173"/>
      <c r="M49" s="173"/>
      <c r="N49" s="173"/>
      <c r="O49" s="173"/>
      <c r="P49" s="173"/>
      <c r="Q49" s="173"/>
      <c r="R49" s="171" t="s">
        <v>3431</v>
      </c>
      <c r="S49" s="173"/>
      <c r="T49" s="173"/>
      <c r="U49" s="173"/>
      <c r="V49" s="173"/>
      <c r="W49" s="173"/>
      <c r="X49" s="173"/>
      <c r="Y49" s="173"/>
      <c r="Z49" s="173"/>
    </row>
    <row r="50" spans="1:26" ht="31.5" customHeight="1">
      <c r="A50" s="179" t="s">
        <v>2438</v>
      </c>
      <c r="B50" s="178">
        <v>20265</v>
      </c>
      <c r="C50" s="169">
        <v>20265</v>
      </c>
      <c r="D50" s="233">
        <v>1955</v>
      </c>
      <c r="E50" s="179" t="s">
        <v>2437</v>
      </c>
      <c r="F50" s="179" t="s">
        <v>2440</v>
      </c>
      <c r="G50" s="182" t="s">
        <v>2440</v>
      </c>
      <c r="H50" s="179">
        <v>45.572468000000001</v>
      </c>
      <c r="I50" s="179">
        <v>-122.71988399999999</v>
      </c>
      <c r="J50" s="179" t="s">
        <v>2443</v>
      </c>
      <c r="K50" s="179" t="s">
        <v>2445</v>
      </c>
      <c r="L50" s="179" t="s">
        <v>2447</v>
      </c>
      <c r="M50" s="179" t="s">
        <v>2449</v>
      </c>
      <c r="N50" s="179" t="s">
        <v>1891</v>
      </c>
      <c r="O50" s="179" t="s">
        <v>2451</v>
      </c>
      <c r="P50" s="179" t="s">
        <v>2453</v>
      </c>
      <c r="Q50" s="173">
        <v>20265</v>
      </c>
      <c r="R50" s="173"/>
      <c r="S50" s="173"/>
      <c r="T50" s="173"/>
      <c r="U50" s="173"/>
      <c r="V50" s="173"/>
      <c r="W50" s="173"/>
      <c r="X50" s="173"/>
      <c r="Y50" s="173"/>
      <c r="Z50" s="173"/>
    </row>
    <row r="51" spans="1:26" ht="21" customHeight="1">
      <c r="A51" s="179" t="s">
        <v>2456</v>
      </c>
      <c r="B51" s="178">
        <v>20320</v>
      </c>
      <c r="C51" s="169">
        <v>20320</v>
      </c>
      <c r="D51" s="233">
        <v>1955</v>
      </c>
      <c r="E51" s="179" t="s">
        <v>2455</v>
      </c>
      <c r="F51" s="179" t="s">
        <v>2458</v>
      </c>
      <c r="G51" s="179"/>
      <c r="H51" s="179"/>
      <c r="I51" s="179"/>
      <c r="J51" s="179" t="s">
        <v>2461</v>
      </c>
      <c r="K51" s="179" t="s">
        <v>2463</v>
      </c>
      <c r="L51" s="179" t="s">
        <v>2465</v>
      </c>
      <c r="M51" s="179" t="s">
        <v>2468</v>
      </c>
      <c r="N51" s="179" t="s">
        <v>1891</v>
      </c>
      <c r="O51" s="179" t="s">
        <v>2470</v>
      </c>
      <c r="P51" s="179"/>
      <c r="Q51" s="173">
        <v>20320</v>
      </c>
      <c r="R51" s="173"/>
      <c r="S51" s="173"/>
      <c r="T51" s="173"/>
      <c r="U51" s="173"/>
      <c r="V51" s="173"/>
      <c r="W51" s="173"/>
      <c r="X51" s="173"/>
      <c r="Y51" s="173"/>
      <c r="Z51" s="173"/>
    </row>
    <row r="52" spans="1:26" ht="21" customHeight="1">
      <c r="A52" s="179" t="s">
        <v>2377</v>
      </c>
      <c r="B52" s="178">
        <v>20330</v>
      </c>
      <c r="C52" s="234">
        <v>20330</v>
      </c>
      <c r="D52" s="233">
        <v>1955</v>
      </c>
      <c r="E52" s="179" t="s">
        <v>2376</v>
      </c>
      <c r="F52" s="179" t="s">
        <v>1865</v>
      </c>
      <c r="G52" s="179" t="s">
        <v>1865</v>
      </c>
      <c r="H52" s="179">
        <v>31.280266699999999</v>
      </c>
      <c r="I52" s="179">
        <v>34.2401914</v>
      </c>
      <c r="J52" s="179" t="s">
        <v>2380</v>
      </c>
      <c r="K52" s="179" t="s">
        <v>2382</v>
      </c>
      <c r="L52" s="179" t="s">
        <v>2384</v>
      </c>
      <c r="M52" s="179">
        <v>890</v>
      </c>
      <c r="N52" s="179" t="s">
        <v>1840</v>
      </c>
      <c r="O52" s="179" t="s">
        <v>2386</v>
      </c>
      <c r="P52" s="179"/>
      <c r="Q52" s="173">
        <v>20330</v>
      </c>
      <c r="R52" s="173"/>
      <c r="S52" s="173"/>
      <c r="T52" s="173"/>
      <c r="U52" s="173"/>
      <c r="V52" s="173"/>
      <c r="W52" s="173"/>
      <c r="X52" s="173"/>
      <c r="Y52" s="173"/>
      <c r="Z52" s="173"/>
    </row>
    <row r="53" spans="1:26" ht="21" customHeight="1">
      <c r="A53" s="173"/>
      <c r="B53" s="168" t="s">
        <v>1117</v>
      </c>
      <c r="C53" s="234">
        <v>20330</v>
      </c>
      <c r="D53" s="231"/>
      <c r="E53" s="170" t="s">
        <v>3437</v>
      </c>
      <c r="F53" s="170" t="s">
        <v>176</v>
      </c>
      <c r="G53" s="171" t="s">
        <v>3439</v>
      </c>
      <c r="H53" s="170">
        <v>31.296779999999899</v>
      </c>
      <c r="I53" s="170">
        <v>34.243482</v>
      </c>
      <c r="J53" s="173"/>
      <c r="K53" s="173"/>
      <c r="L53" s="173"/>
      <c r="M53" s="173"/>
      <c r="N53" s="173"/>
      <c r="O53" s="173"/>
      <c r="P53" s="173"/>
      <c r="Q53" s="173"/>
      <c r="R53" s="171" t="s">
        <v>3438</v>
      </c>
      <c r="S53" s="173"/>
      <c r="T53" s="173"/>
      <c r="U53" s="173"/>
      <c r="V53" s="173"/>
      <c r="W53" s="173"/>
      <c r="X53" s="173"/>
      <c r="Y53" s="173"/>
      <c r="Z53" s="173"/>
    </row>
    <row r="54" spans="1:26" ht="42" customHeight="1">
      <c r="A54" s="179" t="s">
        <v>2295</v>
      </c>
      <c r="B54" s="178">
        <v>20332</v>
      </c>
      <c r="C54" s="232">
        <v>20332</v>
      </c>
      <c r="D54" s="233">
        <v>1955</v>
      </c>
      <c r="E54" s="179" t="s">
        <v>2294</v>
      </c>
      <c r="F54" s="179" t="s">
        <v>2297</v>
      </c>
      <c r="G54" s="179" t="s">
        <v>2297</v>
      </c>
      <c r="H54" s="179">
        <v>31.349976999999999</v>
      </c>
      <c r="I54" s="179">
        <v>34.299681999999997</v>
      </c>
      <c r="J54" s="179" t="s">
        <v>2299</v>
      </c>
      <c r="K54" s="179" t="s">
        <v>2301</v>
      </c>
      <c r="L54" s="179" t="s">
        <v>2303</v>
      </c>
      <c r="M54" s="179">
        <v>890</v>
      </c>
      <c r="N54" s="179" t="s">
        <v>1840</v>
      </c>
      <c r="O54" s="179" t="s">
        <v>2306</v>
      </c>
      <c r="P54" s="179" t="s">
        <v>2308</v>
      </c>
      <c r="Q54" s="173">
        <v>20332</v>
      </c>
      <c r="R54" s="173"/>
      <c r="S54" s="173"/>
      <c r="T54" s="173"/>
      <c r="U54" s="173"/>
      <c r="V54" s="173"/>
      <c r="W54" s="173"/>
      <c r="X54" s="173"/>
      <c r="Y54" s="173"/>
      <c r="Z54" s="173"/>
    </row>
    <row r="55" spans="1:26" ht="42" customHeight="1">
      <c r="A55" s="173"/>
      <c r="B55" s="168" t="s">
        <v>2935</v>
      </c>
      <c r="C55" s="232">
        <v>20332</v>
      </c>
      <c r="D55" s="231"/>
      <c r="E55" s="170" t="s">
        <v>3447</v>
      </c>
      <c r="F55" s="170" t="s">
        <v>1865</v>
      </c>
      <c r="G55" s="171" t="s">
        <v>3449</v>
      </c>
      <c r="H55" s="170">
        <v>31.349976999999999</v>
      </c>
      <c r="I55" s="170">
        <v>34.299681999999997</v>
      </c>
      <c r="J55" s="173"/>
      <c r="K55" s="173"/>
      <c r="L55" s="173"/>
      <c r="M55" s="173"/>
      <c r="N55" s="173"/>
      <c r="O55" s="173"/>
      <c r="P55" s="173"/>
      <c r="Q55" s="173"/>
      <c r="R55" s="171" t="s">
        <v>3448</v>
      </c>
      <c r="S55" s="173"/>
      <c r="T55" s="173"/>
      <c r="U55" s="173"/>
      <c r="V55" s="173"/>
      <c r="W55" s="173"/>
      <c r="X55" s="173"/>
      <c r="Y55" s="173"/>
      <c r="Z55" s="173"/>
    </row>
    <row r="56" spans="1:26" ht="42" customHeight="1">
      <c r="A56" s="179" t="s">
        <v>2312</v>
      </c>
      <c r="B56" s="178" t="s">
        <v>2322</v>
      </c>
      <c r="C56" s="234">
        <v>20354</v>
      </c>
      <c r="D56" s="233">
        <v>1955</v>
      </c>
      <c r="E56" s="179" t="s">
        <v>2311</v>
      </c>
      <c r="F56" s="179" t="s">
        <v>2314</v>
      </c>
      <c r="G56" s="179" t="s">
        <v>131</v>
      </c>
      <c r="H56" s="179">
        <v>30.885983</v>
      </c>
      <c r="I56" s="179">
        <v>34.422569000000003</v>
      </c>
      <c r="J56" s="179" t="s">
        <v>2316</v>
      </c>
      <c r="K56" s="179" t="s">
        <v>2318</v>
      </c>
      <c r="L56" s="179" t="s">
        <v>1833</v>
      </c>
      <c r="M56" s="179">
        <v>890</v>
      </c>
      <c r="N56" s="179" t="s">
        <v>1840</v>
      </c>
      <c r="O56" s="179" t="s">
        <v>2320</v>
      </c>
      <c r="P56" s="179"/>
      <c r="Q56" s="173" t="s">
        <v>2322</v>
      </c>
      <c r="R56" s="173"/>
      <c r="S56" s="173"/>
      <c r="T56" s="173"/>
      <c r="U56" s="173"/>
      <c r="V56" s="173"/>
      <c r="W56" s="173"/>
      <c r="X56" s="173"/>
      <c r="Y56" s="173"/>
      <c r="Z56" s="173"/>
    </row>
    <row r="57" spans="1:26" ht="52.5" customHeight="1">
      <c r="A57" s="173"/>
      <c r="B57" s="168" t="s">
        <v>2942</v>
      </c>
      <c r="C57" s="234">
        <v>20354</v>
      </c>
      <c r="D57" s="231"/>
      <c r="E57" s="170" t="s">
        <v>3455</v>
      </c>
      <c r="F57" s="170" t="s">
        <v>3457</v>
      </c>
      <c r="G57" s="171" t="s">
        <v>2946</v>
      </c>
      <c r="H57" s="170">
        <v>30.885983</v>
      </c>
      <c r="I57" s="170">
        <v>34.422569000000003</v>
      </c>
      <c r="J57" s="173"/>
      <c r="K57" s="173"/>
      <c r="L57" s="173"/>
      <c r="M57" s="173"/>
      <c r="N57" s="173"/>
      <c r="O57" s="173"/>
      <c r="P57" s="173"/>
      <c r="Q57" s="173"/>
      <c r="R57" s="171" t="s">
        <v>3456</v>
      </c>
      <c r="S57" s="173"/>
      <c r="T57" s="173"/>
      <c r="U57" s="173"/>
      <c r="V57" s="173"/>
      <c r="W57" s="173"/>
      <c r="X57" s="173"/>
      <c r="Y57" s="173"/>
      <c r="Z57" s="173"/>
    </row>
    <row r="58" spans="1:26" ht="31.5" customHeight="1">
      <c r="A58" s="179" t="s">
        <v>2389</v>
      </c>
      <c r="B58" s="178">
        <v>20384</v>
      </c>
      <c r="C58" s="232">
        <v>20384</v>
      </c>
      <c r="D58" s="233">
        <v>1955</v>
      </c>
      <c r="E58" s="179" t="s">
        <v>2388</v>
      </c>
      <c r="F58" s="179" t="s">
        <v>2392</v>
      </c>
      <c r="G58" s="179" t="s">
        <v>2393</v>
      </c>
      <c r="H58" s="179">
        <v>33.015585399999999</v>
      </c>
      <c r="I58" s="179">
        <v>35.784354</v>
      </c>
      <c r="J58" s="179" t="s">
        <v>2395</v>
      </c>
      <c r="K58" s="179" t="s">
        <v>2397</v>
      </c>
      <c r="L58" s="179" t="s">
        <v>2399</v>
      </c>
      <c r="M58" s="179">
        <v>890</v>
      </c>
      <c r="N58" s="179" t="s">
        <v>1840</v>
      </c>
      <c r="O58" s="179" t="s">
        <v>2401</v>
      </c>
      <c r="P58" s="179"/>
      <c r="Q58" s="173">
        <v>20384</v>
      </c>
      <c r="R58" s="173"/>
      <c r="S58" s="173"/>
      <c r="T58" s="173"/>
      <c r="U58" s="173"/>
      <c r="V58" s="173"/>
      <c r="W58" s="173"/>
      <c r="X58" s="173"/>
      <c r="Y58" s="173"/>
      <c r="Z58" s="173"/>
    </row>
    <row r="59" spans="1:26" ht="31.5" customHeight="1">
      <c r="A59" s="173"/>
      <c r="B59" s="168" t="s">
        <v>2954</v>
      </c>
      <c r="C59" s="232">
        <v>20384</v>
      </c>
      <c r="D59" s="231"/>
      <c r="E59" s="170" t="s">
        <v>3464</v>
      </c>
      <c r="F59" s="170" t="s">
        <v>131</v>
      </c>
      <c r="G59" s="171" t="s">
        <v>3466</v>
      </c>
      <c r="H59" s="170">
        <v>32.990997999999998</v>
      </c>
      <c r="I59" s="170">
        <v>35.689864999999998</v>
      </c>
      <c r="J59" s="173"/>
      <c r="K59" s="173"/>
      <c r="L59" s="173"/>
      <c r="M59" s="173"/>
      <c r="N59" s="173"/>
      <c r="O59" s="173"/>
      <c r="P59" s="173"/>
      <c r="Q59" s="173"/>
      <c r="R59" s="171" t="s">
        <v>3465</v>
      </c>
      <c r="S59" s="173"/>
      <c r="T59" s="173"/>
      <c r="U59" s="173"/>
      <c r="V59" s="173"/>
      <c r="W59" s="173"/>
      <c r="X59" s="173"/>
      <c r="Y59" s="173"/>
      <c r="Z59" s="173"/>
    </row>
    <row r="60" spans="1:26" ht="42" customHeight="1">
      <c r="A60" s="179" t="s">
        <v>2274</v>
      </c>
      <c r="B60" s="178">
        <v>20389</v>
      </c>
      <c r="C60" s="234">
        <v>20389</v>
      </c>
      <c r="D60" s="233">
        <v>1955</v>
      </c>
      <c r="E60" s="179" t="s">
        <v>2273</v>
      </c>
      <c r="F60" s="179" t="s">
        <v>2276</v>
      </c>
      <c r="G60" s="182" t="s">
        <v>2277</v>
      </c>
      <c r="H60" s="185">
        <v>55.398646300000003</v>
      </c>
      <c r="I60" s="185">
        <v>-4.1835696999999996</v>
      </c>
      <c r="J60" s="179" t="s">
        <v>2282</v>
      </c>
      <c r="K60" s="179" t="s">
        <v>2286</v>
      </c>
      <c r="L60" s="179" t="s">
        <v>2288</v>
      </c>
      <c r="M60" s="179">
        <v>890</v>
      </c>
      <c r="N60" s="179" t="s">
        <v>1840</v>
      </c>
      <c r="O60" s="179" t="s">
        <v>2290</v>
      </c>
      <c r="P60" s="179" t="s">
        <v>2292</v>
      </c>
      <c r="Q60" s="173">
        <v>20389</v>
      </c>
      <c r="R60" s="173"/>
      <c r="S60" s="173"/>
      <c r="T60" s="173"/>
      <c r="U60" s="173"/>
      <c r="V60" s="173"/>
      <c r="W60" s="173"/>
      <c r="X60" s="173"/>
      <c r="Y60" s="173"/>
      <c r="Z60" s="173"/>
    </row>
    <row r="61" spans="1:26" ht="31.5" customHeight="1">
      <c r="A61" s="173"/>
      <c r="B61" s="168" t="s">
        <v>2960</v>
      </c>
      <c r="C61" s="234">
        <v>20389</v>
      </c>
      <c r="D61" s="231"/>
      <c r="E61" s="170" t="s">
        <v>3473</v>
      </c>
      <c r="F61" s="170" t="s">
        <v>3475</v>
      </c>
      <c r="G61" s="171" t="s">
        <v>3476</v>
      </c>
      <c r="H61" s="172">
        <v>32.2655514</v>
      </c>
      <c r="I61" s="172">
        <v>35.539960600000001</v>
      </c>
      <c r="J61" s="173"/>
      <c r="K61" s="173"/>
      <c r="L61" s="173"/>
      <c r="M61" s="173"/>
      <c r="N61" s="173"/>
      <c r="O61" s="173"/>
      <c r="P61" s="173"/>
      <c r="Q61" s="173"/>
      <c r="R61" s="171" t="s">
        <v>3474</v>
      </c>
      <c r="S61" s="173"/>
      <c r="T61" s="173"/>
      <c r="U61" s="173"/>
      <c r="V61" s="173"/>
      <c r="W61" s="173"/>
      <c r="X61" s="173"/>
      <c r="Y61" s="173"/>
      <c r="Z61" s="173"/>
    </row>
    <row r="62" spans="1:26" ht="115.5" customHeight="1">
      <c r="A62" s="179" t="s">
        <v>2325</v>
      </c>
      <c r="B62" s="178">
        <v>20395</v>
      </c>
      <c r="C62" s="232">
        <v>20395</v>
      </c>
      <c r="D62" s="233">
        <v>1955</v>
      </c>
      <c r="E62" s="179" t="s">
        <v>2324</v>
      </c>
      <c r="F62" s="179" t="s">
        <v>2327</v>
      </c>
      <c r="G62" s="179" t="s">
        <v>131</v>
      </c>
      <c r="H62" s="179">
        <v>30.885983</v>
      </c>
      <c r="I62" s="179">
        <v>34.422569000000003</v>
      </c>
      <c r="J62" s="179" t="s">
        <v>2330</v>
      </c>
      <c r="K62" s="179" t="s">
        <v>2332</v>
      </c>
      <c r="L62" s="179" t="s">
        <v>2335</v>
      </c>
      <c r="M62" s="179" t="s">
        <v>2337</v>
      </c>
      <c r="N62" s="179" t="s">
        <v>2339</v>
      </c>
      <c r="O62" s="179" t="s">
        <v>2341</v>
      </c>
      <c r="P62" s="179" t="s">
        <v>2343</v>
      </c>
      <c r="Q62" s="173">
        <v>20131</v>
      </c>
      <c r="R62" s="173"/>
      <c r="S62" s="173"/>
      <c r="T62" s="173"/>
      <c r="U62" s="173"/>
      <c r="V62" s="173"/>
      <c r="W62" s="173"/>
      <c r="X62" s="173"/>
      <c r="Y62" s="173"/>
      <c r="Z62" s="173"/>
    </row>
    <row r="63" spans="1:26" ht="52.5" customHeight="1">
      <c r="A63" s="173"/>
      <c r="B63" s="168" t="s">
        <v>2966</v>
      </c>
      <c r="C63" s="232">
        <v>20395</v>
      </c>
      <c r="D63" s="231"/>
      <c r="E63" s="170" t="s">
        <v>3481</v>
      </c>
      <c r="F63" s="170" t="s">
        <v>3483</v>
      </c>
      <c r="G63" s="171" t="s">
        <v>2969</v>
      </c>
      <c r="H63" s="170">
        <v>30.885983</v>
      </c>
      <c r="I63" s="170">
        <v>34.422569000000003</v>
      </c>
      <c r="J63" s="173"/>
      <c r="K63" s="173"/>
      <c r="L63" s="173"/>
      <c r="M63" s="173"/>
      <c r="N63" s="173"/>
      <c r="O63" s="173"/>
      <c r="P63" s="173"/>
      <c r="Q63" s="173"/>
      <c r="R63" s="171" t="s">
        <v>3482</v>
      </c>
      <c r="S63" s="173"/>
      <c r="T63" s="173"/>
      <c r="U63" s="173"/>
      <c r="V63" s="173"/>
      <c r="W63" s="173"/>
      <c r="X63" s="173"/>
      <c r="Y63" s="173"/>
      <c r="Z63" s="173"/>
    </row>
    <row r="64" spans="1:26" ht="31.5" customHeight="1">
      <c r="A64" s="179" t="s">
        <v>2347</v>
      </c>
      <c r="B64" s="178">
        <v>20434</v>
      </c>
      <c r="C64" s="234">
        <v>20434</v>
      </c>
      <c r="D64" s="233">
        <v>1955</v>
      </c>
      <c r="E64" s="179" t="s">
        <v>2346</v>
      </c>
      <c r="F64" s="179" t="s">
        <v>2349</v>
      </c>
      <c r="G64" s="182" t="s">
        <v>2349</v>
      </c>
      <c r="H64" s="185">
        <v>41.735088400000002</v>
      </c>
      <c r="I64" s="185">
        <v>-75.1396151</v>
      </c>
      <c r="J64" s="179" t="s">
        <v>2352</v>
      </c>
      <c r="K64" s="179" t="s">
        <v>2354</v>
      </c>
      <c r="L64" s="179" t="s">
        <v>2356</v>
      </c>
      <c r="M64" s="179" t="s">
        <v>2358</v>
      </c>
      <c r="N64" s="179" t="s">
        <v>1891</v>
      </c>
      <c r="O64" s="179" t="s">
        <v>2366</v>
      </c>
      <c r="P64" s="179" t="s">
        <v>2369</v>
      </c>
      <c r="Q64" s="173">
        <v>20434</v>
      </c>
      <c r="R64" s="173"/>
      <c r="S64" s="173"/>
      <c r="T64" s="173"/>
      <c r="U64" s="173"/>
      <c r="V64" s="173"/>
      <c r="W64" s="173"/>
      <c r="X64" s="173"/>
      <c r="Y64" s="173"/>
      <c r="Z64" s="173"/>
    </row>
    <row r="65" spans="1:26" ht="42" customHeight="1">
      <c r="A65" s="173"/>
      <c r="B65" s="168" t="s">
        <v>1213</v>
      </c>
      <c r="C65" s="234">
        <v>20434</v>
      </c>
      <c r="D65" s="231"/>
      <c r="E65" s="170" t="s">
        <v>3490</v>
      </c>
      <c r="F65" s="170" t="s">
        <v>131</v>
      </c>
      <c r="G65" s="171" t="s">
        <v>3492</v>
      </c>
      <c r="H65" s="170">
        <v>32.723787000000002</v>
      </c>
      <c r="I65" s="170">
        <v>35.565241999999998</v>
      </c>
      <c r="J65" s="173"/>
      <c r="K65" s="173"/>
      <c r="L65" s="173"/>
      <c r="M65" s="173"/>
      <c r="N65" s="173"/>
      <c r="O65" s="173"/>
      <c r="P65" s="173"/>
      <c r="Q65" s="173"/>
      <c r="R65" s="171" t="s">
        <v>3491</v>
      </c>
      <c r="S65" s="173"/>
      <c r="T65" s="173"/>
      <c r="U65" s="173"/>
      <c r="V65" s="173"/>
      <c r="W65" s="173"/>
      <c r="X65" s="173"/>
      <c r="Y65" s="173"/>
      <c r="Z65" s="173"/>
    </row>
    <row r="66" spans="1:26" ht="31.5" customHeight="1">
      <c r="A66" s="179" t="s">
        <v>2558</v>
      </c>
      <c r="B66" s="178">
        <v>20697</v>
      </c>
      <c r="C66" s="169">
        <v>20697</v>
      </c>
      <c r="D66" s="233">
        <v>1956</v>
      </c>
      <c r="E66" s="179" t="s">
        <v>2557</v>
      </c>
      <c r="F66" s="179" t="s">
        <v>2560</v>
      </c>
      <c r="G66" s="179" t="s">
        <v>2561</v>
      </c>
      <c r="H66" s="179">
        <v>32.112215200000001</v>
      </c>
      <c r="I66" s="179">
        <v>34.815106999999998</v>
      </c>
      <c r="J66" s="179" t="s">
        <v>2563</v>
      </c>
      <c r="K66" s="179" t="s">
        <v>2565</v>
      </c>
      <c r="L66" s="179" t="s">
        <v>2567</v>
      </c>
      <c r="M66" s="179" t="s">
        <v>2569</v>
      </c>
      <c r="N66" s="179" t="s">
        <v>1840</v>
      </c>
      <c r="O66" s="179" t="s">
        <v>2571</v>
      </c>
      <c r="P66" s="179"/>
      <c r="Q66" s="173">
        <v>20697</v>
      </c>
      <c r="R66" s="173"/>
      <c r="S66" s="173"/>
      <c r="T66" s="173"/>
      <c r="U66" s="173"/>
      <c r="V66" s="173"/>
      <c r="W66" s="173"/>
      <c r="X66" s="173"/>
      <c r="Y66" s="173"/>
      <c r="Z66" s="173"/>
    </row>
    <row r="67" spans="1:26" ht="12" customHeight="1">
      <c r="A67" s="173"/>
      <c r="B67" s="168" t="s">
        <v>3012</v>
      </c>
      <c r="C67" s="169">
        <v>20697</v>
      </c>
      <c r="D67" s="231"/>
      <c r="E67" s="170" t="s">
        <v>3013</v>
      </c>
      <c r="F67" s="170" t="s">
        <v>1042</v>
      </c>
      <c r="G67" s="171"/>
      <c r="H67" s="184"/>
      <c r="I67" s="184"/>
      <c r="J67" s="173"/>
      <c r="K67" s="173"/>
      <c r="L67" s="173"/>
      <c r="M67" s="173"/>
      <c r="N67" s="173"/>
      <c r="O67" s="173"/>
      <c r="P67" s="173"/>
      <c r="Q67" s="173"/>
      <c r="R67" s="171"/>
      <c r="S67" s="173"/>
      <c r="T67" s="173"/>
      <c r="U67" s="173"/>
      <c r="V67" s="173"/>
      <c r="W67" s="173"/>
      <c r="X67" s="173"/>
      <c r="Y67" s="173"/>
      <c r="Z67" s="173"/>
    </row>
    <row r="68" spans="1:26" ht="42" customHeight="1">
      <c r="A68" s="179" t="s">
        <v>2511</v>
      </c>
      <c r="B68" s="178">
        <v>20709</v>
      </c>
      <c r="C68" s="232">
        <v>20709</v>
      </c>
      <c r="D68" s="233">
        <v>1956</v>
      </c>
      <c r="E68" s="179" t="s">
        <v>2510</v>
      </c>
      <c r="F68" s="179" t="s">
        <v>2513</v>
      </c>
      <c r="G68" s="182" t="s">
        <v>2514</v>
      </c>
      <c r="H68" s="179">
        <v>40.608159099999902</v>
      </c>
      <c r="I68" s="179">
        <v>-74.277646799999999</v>
      </c>
      <c r="J68" s="179" t="s">
        <v>2516</v>
      </c>
      <c r="K68" s="179" t="s">
        <v>2518</v>
      </c>
      <c r="L68" s="179" t="s">
        <v>2521</v>
      </c>
      <c r="M68" s="179" t="s">
        <v>2523</v>
      </c>
      <c r="N68" s="179" t="s">
        <v>1891</v>
      </c>
      <c r="O68" s="179" t="s">
        <v>2525</v>
      </c>
      <c r="P68" s="179" t="s">
        <v>2527</v>
      </c>
      <c r="Q68" s="173">
        <v>20709</v>
      </c>
      <c r="R68" s="173"/>
      <c r="S68" s="173"/>
      <c r="T68" s="173"/>
      <c r="U68" s="173"/>
      <c r="V68" s="173"/>
      <c r="W68" s="173"/>
      <c r="X68" s="173"/>
      <c r="Y68" s="173"/>
      <c r="Z68" s="173"/>
    </row>
    <row r="69" spans="1:26" ht="21" customHeight="1">
      <c r="A69" s="173"/>
      <c r="B69" s="168" t="s">
        <v>1343</v>
      </c>
      <c r="C69" s="232">
        <v>20709</v>
      </c>
      <c r="D69" s="231"/>
      <c r="E69" s="170" t="s">
        <v>3502</v>
      </c>
      <c r="F69" s="170" t="s">
        <v>3504</v>
      </c>
      <c r="G69" s="171" t="s">
        <v>3505</v>
      </c>
      <c r="H69" s="172">
        <v>31.3243516</v>
      </c>
      <c r="I69" s="172">
        <v>34.945467000000001</v>
      </c>
      <c r="J69" s="173"/>
      <c r="K69" s="173"/>
      <c r="L69" s="173"/>
      <c r="M69" s="173"/>
      <c r="N69" s="173"/>
      <c r="O69" s="173"/>
      <c r="P69" s="173"/>
      <c r="Q69" s="173"/>
      <c r="R69" s="171" t="s">
        <v>3503</v>
      </c>
      <c r="S69" s="173"/>
      <c r="T69" s="173"/>
      <c r="U69" s="173"/>
      <c r="V69" s="173"/>
      <c r="W69" s="173"/>
      <c r="X69" s="173"/>
      <c r="Y69" s="173"/>
      <c r="Z69" s="173"/>
    </row>
    <row r="70" spans="1:26" ht="31.5" customHeight="1">
      <c r="A70" s="179" t="s">
        <v>2490</v>
      </c>
      <c r="B70" s="178">
        <v>20711</v>
      </c>
      <c r="C70" s="234">
        <v>20711</v>
      </c>
      <c r="D70" s="233">
        <v>1956</v>
      </c>
      <c r="E70" s="179" t="s">
        <v>2489</v>
      </c>
      <c r="F70" s="179" t="s">
        <v>2493</v>
      </c>
      <c r="G70" s="179" t="s">
        <v>2496</v>
      </c>
      <c r="H70" s="179">
        <v>43.501356000000001</v>
      </c>
      <c r="I70" s="179">
        <v>-3.5394983999999998</v>
      </c>
      <c r="J70" s="179" t="s">
        <v>2500</v>
      </c>
      <c r="K70" s="179" t="s">
        <v>2502</v>
      </c>
      <c r="L70" s="179" t="s">
        <v>2504</v>
      </c>
      <c r="M70" s="179" t="s">
        <v>2506</v>
      </c>
      <c r="N70" s="179" t="s">
        <v>1891</v>
      </c>
      <c r="O70" s="179" t="s">
        <v>2508</v>
      </c>
      <c r="P70" s="179"/>
      <c r="Q70" s="173">
        <v>20711</v>
      </c>
      <c r="R70" s="173"/>
      <c r="S70" s="173"/>
      <c r="T70" s="173"/>
      <c r="U70" s="173"/>
      <c r="V70" s="173"/>
      <c r="W70" s="173"/>
      <c r="X70" s="173"/>
      <c r="Y70" s="173"/>
      <c r="Z70" s="173"/>
    </row>
    <row r="71" spans="1:26" ht="31.5" customHeight="1">
      <c r="A71" s="173"/>
      <c r="B71" s="168" t="s">
        <v>3021</v>
      </c>
      <c r="C71" s="234">
        <v>20711</v>
      </c>
      <c r="D71" s="231"/>
      <c r="E71" s="170" t="s">
        <v>3512</v>
      </c>
      <c r="F71" s="170" t="s">
        <v>3514</v>
      </c>
      <c r="G71" s="171" t="s">
        <v>3515</v>
      </c>
      <c r="H71" s="172">
        <v>30.098611099999999</v>
      </c>
      <c r="I71" s="172">
        <v>35.116388899999997</v>
      </c>
      <c r="J71" s="173"/>
      <c r="K71" s="173"/>
      <c r="L71" s="173"/>
      <c r="M71" s="173"/>
      <c r="N71" s="173"/>
      <c r="O71" s="173"/>
      <c r="P71" s="173"/>
      <c r="Q71" s="173"/>
      <c r="R71" s="171" t="s">
        <v>3513</v>
      </c>
      <c r="S71" s="173"/>
      <c r="T71" s="173"/>
      <c r="U71" s="173"/>
      <c r="V71" s="173"/>
      <c r="W71" s="173"/>
      <c r="X71" s="173"/>
      <c r="Y71" s="173"/>
      <c r="Z71" s="173"/>
    </row>
    <row r="72" spans="1:26" ht="31.5" customHeight="1">
      <c r="A72" s="179" t="s">
        <v>2531</v>
      </c>
      <c r="B72" s="178">
        <v>20723</v>
      </c>
      <c r="C72" s="232">
        <v>20723</v>
      </c>
      <c r="D72" s="233">
        <v>1956</v>
      </c>
      <c r="E72" s="179" t="s">
        <v>2529</v>
      </c>
      <c r="F72" s="179" t="s">
        <v>2533</v>
      </c>
      <c r="G72" s="182" t="s">
        <v>593</v>
      </c>
      <c r="H72" s="179">
        <v>40.625931600000001</v>
      </c>
      <c r="I72" s="179">
        <v>-75.370457899999906</v>
      </c>
      <c r="J72" s="179" t="s">
        <v>2535</v>
      </c>
      <c r="K72" s="179" t="s">
        <v>2537</v>
      </c>
      <c r="L72" s="179" t="s">
        <v>2539</v>
      </c>
      <c r="M72" s="179" t="s">
        <v>2541</v>
      </c>
      <c r="N72" s="179" t="s">
        <v>2543</v>
      </c>
      <c r="O72" s="179" t="s">
        <v>2548</v>
      </c>
      <c r="P72" s="179" t="s">
        <v>2554</v>
      </c>
      <c r="Q72" s="173">
        <v>20723</v>
      </c>
      <c r="R72" s="173"/>
      <c r="S72" s="173"/>
      <c r="T72" s="173"/>
      <c r="U72" s="173"/>
      <c r="V72" s="173"/>
      <c r="W72" s="173"/>
      <c r="X72" s="173"/>
      <c r="Y72" s="173"/>
      <c r="Z72" s="173"/>
    </row>
    <row r="73" spans="1:26" ht="31.5" customHeight="1">
      <c r="A73" s="173"/>
      <c r="B73" s="168" t="s">
        <v>3027</v>
      </c>
      <c r="C73" s="232">
        <v>20723</v>
      </c>
      <c r="D73" s="231"/>
      <c r="E73" s="170" t="s">
        <v>3523</v>
      </c>
      <c r="F73" s="170" t="s">
        <v>3525</v>
      </c>
      <c r="G73" s="171" t="s">
        <v>3526</v>
      </c>
      <c r="H73" s="170">
        <v>31.708425999999999</v>
      </c>
      <c r="I73" s="170">
        <v>35.133425000000003</v>
      </c>
      <c r="J73" s="173"/>
      <c r="K73" s="173"/>
      <c r="L73" s="173"/>
      <c r="M73" s="173"/>
      <c r="N73" s="173"/>
      <c r="O73" s="173"/>
      <c r="P73" s="173"/>
      <c r="Q73" s="173"/>
      <c r="R73" s="171" t="s">
        <v>3524</v>
      </c>
      <c r="S73" s="173"/>
      <c r="T73" s="173"/>
      <c r="U73" s="173"/>
      <c r="V73" s="173"/>
      <c r="W73" s="173"/>
      <c r="X73" s="173"/>
      <c r="Y73" s="173"/>
      <c r="Z73" s="173"/>
    </row>
    <row r="74" spans="1:26" ht="84" customHeight="1">
      <c r="A74" s="179" t="s">
        <v>2574</v>
      </c>
      <c r="B74" s="178">
        <v>20738</v>
      </c>
      <c r="C74" s="234">
        <v>20738</v>
      </c>
      <c r="D74" s="233">
        <v>1956</v>
      </c>
      <c r="E74" s="179" t="s">
        <v>2573</v>
      </c>
      <c r="F74" s="179" t="s">
        <v>2576</v>
      </c>
      <c r="G74" s="179" t="s">
        <v>2577</v>
      </c>
      <c r="H74" s="179">
        <v>32.196015000000003</v>
      </c>
      <c r="I74" s="179">
        <v>34.981513</v>
      </c>
      <c r="J74" s="179" t="s">
        <v>2579</v>
      </c>
      <c r="K74" s="179" t="s">
        <v>2582</v>
      </c>
      <c r="L74" s="179" t="s">
        <v>2584</v>
      </c>
      <c r="M74" s="179" t="s">
        <v>2586</v>
      </c>
      <c r="N74" s="179" t="s">
        <v>1891</v>
      </c>
      <c r="O74" s="179" t="s">
        <v>2589</v>
      </c>
      <c r="P74" s="179" t="s">
        <v>2592</v>
      </c>
      <c r="Q74" s="173">
        <v>20738</v>
      </c>
      <c r="R74" s="173"/>
      <c r="S74" s="173"/>
      <c r="T74" s="173"/>
      <c r="U74" s="173"/>
      <c r="V74" s="173"/>
      <c r="W74" s="173"/>
      <c r="X74" s="173"/>
      <c r="Y74" s="173"/>
      <c r="Z74" s="173"/>
    </row>
    <row r="75" spans="1:26" ht="42" customHeight="1">
      <c r="A75" s="173"/>
      <c r="B75" s="168" t="s">
        <v>3033</v>
      </c>
      <c r="C75" s="234">
        <v>20738</v>
      </c>
      <c r="D75" s="231"/>
      <c r="E75" s="170" t="s">
        <v>3532</v>
      </c>
      <c r="F75" s="170" t="s">
        <v>3533</v>
      </c>
      <c r="G75" s="171" t="s">
        <v>3534</v>
      </c>
      <c r="H75" s="170">
        <v>32.196015000000003</v>
      </c>
      <c r="I75" s="170">
        <v>34.981513</v>
      </c>
      <c r="J75" s="173"/>
      <c r="K75" s="173"/>
      <c r="L75" s="173"/>
      <c r="M75" s="173"/>
      <c r="N75" s="173"/>
      <c r="O75" s="173"/>
      <c r="P75" s="173"/>
      <c r="Q75" s="173"/>
      <c r="R75" s="171" t="s">
        <v>3166</v>
      </c>
      <c r="S75" s="173"/>
      <c r="T75" s="173"/>
      <c r="U75" s="173"/>
      <c r="V75" s="173"/>
      <c r="W75" s="173"/>
      <c r="X75" s="173"/>
      <c r="Y75" s="173"/>
      <c r="Z75" s="173"/>
    </row>
    <row r="76" spans="1:26" ht="52.5" customHeight="1">
      <c r="A76" s="179" t="s">
        <v>2645</v>
      </c>
      <c r="B76" s="178">
        <v>21375</v>
      </c>
      <c r="C76" s="169">
        <v>21375</v>
      </c>
      <c r="D76" s="233">
        <v>1958</v>
      </c>
      <c r="E76" s="179" t="s">
        <v>2644</v>
      </c>
      <c r="F76" s="179" t="s">
        <v>2647</v>
      </c>
      <c r="G76" s="179" t="s">
        <v>2647</v>
      </c>
      <c r="H76" s="179">
        <v>30.0940063</v>
      </c>
      <c r="I76" s="179">
        <v>31.326444200000001</v>
      </c>
      <c r="J76" s="179" t="s">
        <v>2649</v>
      </c>
      <c r="K76" s="179" t="s">
        <v>2651</v>
      </c>
      <c r="L76" s="179" t="s">
        <v>2653</v>
      </c>
      <c r="M76" s="179" t="s">
        <v>2416</v>
      </c>
      <c r="N76" s="179" t="s">
        <v>1840</v>
      </c>
      <c r="O76" s="179" t="s">
        <v>2656</v>
      </c>
      <c r="P76" s="179" t="s">
        <v>2658</v>
      </c>
      <c r="Q76" s="173">
        <v>21375</v>
      </c>
      <c r="R76" s="173"/>
      <c r="S76" s="173"/>
      <c r="T76" s="173"/>
      <c r="U76" s="173"/>
      <c r="V76" s="173"/>
      <c r="W76" s="173"/>
      <c r="X76" s="173"/>
      <c r="Y76" s="173"/>
      <c r="Z76" s="173"/>
    </row>
    <row r="77" spans="1:26" ht="42" customHeight="1">
      <c r="A77" s="179" t="s">
        <v>2839</v>
      </c>
      <c r="B77" s="178" t="s">
        <v>2859</v>
      </c>
      <c r="C77" s="169">
        <v>22721</v>
      </c>
      <c r="D77" s="233">
        <v>1962</v>
      </c>
      <c r="E77" s="179" t="s">
        <v>2838</v>
      </c>
      <c r="F77" s="179" t="s">
        <v>2841</v>
      </c>
      <c r="G77" s="182" t="s">
        <v>2842</v>
      </c>
      <c r="H77" s="185">
        <v>48.455712599999998</v>
      </c>
      <c r="I77" s="185">
        <v>5.2291417999999998</v>
      </c>
      <c r="J77" s="179" t="s">
        <v>2845</v>
      </c>
      <c r="K77" s="179" t="s">
        <v>2847</v>
      </c>
      <c r="L77" s="179" t="s">
        <v>2849</v>
      </c>
      <c r="M77" s="179" t="s">
        <v>2851</v>
      </c>
      <c r="N77" s="179" t="s">
        <v>2853</v>
      </c>
      <c r="O77" s="179" t="s">
        <v>2855</v>
      </c>
      <c r="P77" s="179" t="s">
        <v>2857</v>
      </c>
      <c r="Q77" s="173" t="s">
        <v>2859</v>
      </c>
      <c r="R77" s="173"/>
      <c r="S77" s="173"/>
      <c r="T77" s="173"/>
      <c r="U77" s="173"/>
      <c r="V77" s="173"/>
      <c r="W77" s="173"/>
      <c r="X77" s="173"/>
      <c r="Y77" s="173"/>
      <c r="Z77" s="173"/>
    </row>
    <row r="78" spans="1:26" ht="12" customHeight="1">
      <c r="A78" s="179"/>
      <c r="B78" s="186"/>
      <c r="C78" s="187"/>
      <c r="D78" s="233">
        <v>1954</v>
      </c>
      <c r="E78" s="179" t="s">
        <v>1819</v>
      </c>
      <c r="F78" s="173" t="s">
        <v>1823</v>
      </c>
      <c r="G78" s="173" t="s">
        <v>1824</v>
      </c>
      <c r="H78" s="173">
        <v>32.462068000000002</v>
      </c>
      <c r="I78" s="173">
        <v>35.302534999999999</v>
      </c>
      <c r="J78" s="179"/>
      <c r="K78" s="179"/>
      <c r="L78" s="179"/>
      <c r="M78" s="179"/>
      <c r="N78" s="179"/>
      <c r="O78" s="179"/>
      <c r="P78" s="179"/>
      <c r="Q78" s="173"/>
      <c r="R78" s="173"/>
      <c r="S78" s="173"/>
      <c r="T78" s="173"/>
      <c r="U78" s="173"/>
      <c r="V78" s="173"/>
      <c r="W78" s="173"/>
      <c r="X78" s="173"/>
      <c r="Y78" s="173"/>
      <c r="Z78" s="173"/>
    </row>
    <row r="79" spans="1:26" ht="21" customHeight="1">
      <c r="A79" s="179">
        <v>25.1953</v>
      </c>
      <c r="B79" s="188">
        <v>25.1953</v>
      </c>
      <c r="C79" s="187"/>
      <c r="D79" s="233">
        <v>1953</v>
      </c>
      <c r="E79" s="179" t="s">
        <v>1844</v>
      </c>
      <c r="F79" s="179" t="s">
        <v>1846</v>
      </c>
      <c r="G79" s="179" t="s">
        <v>1847</v>
      </c>
      <c r="H79" s="179">
        <v>31.557251999999998</v>
      </c>
      <c r="I79" s="179">
        <v>34.979242999999997</v>
      </c>
      <c r="J79" s="179" t="s">
        <v>1849</v>
      </c>
      <c r="K79" s="179" t="s">
        <v>1851</v>
      </c>
      <c r="L79" s="179" t="s">
        <v>1853</v>
      </c>
      <c r="M79" s="179" t="s">
        <v>1855</v>
      </c>
      <c r="N79" s="179" t="s">
        <v>1840</v>
      </c>
      <c r="O79" s="179" t="s">
        <v>1858</v>
      </c>
      <c r="P79" s="179"/>
      <c r="Q79" s="173"/>
      <c r="R79" s="173"/>
      <c r="S79" s="173"/>
      <c r="T79" s="173"/>
      <c r="U79" s="173"/>
      <c r="V79" s="173"/>
      <c r="W79" s="173"/>
      <c r="X79" s="173"/>
      <c r="Y79" s="173"/>
      <c r="Z79" s="173"/>
    </row>
    <row r="80" spans="1:26" ht="21" customHeight="1">
      <c r="A80" s="179">
        <v>9.1952999999999996</v>
      </c>
      <c r="B80" s="188">
        <v>9.1952999999999996</v>
      </c>
      <c r="C80" s="187"/>
      <c r="D80" s="233">
        <v>1953</v>
      </c>
      <c r="E80" s="179" t="s">
        <v>1924</v>
      </c>
      <c r="F80" s="179" t="s">
        <v>1926</v>
      </c>
      <c r="G80" s="179" t="s">
        <v>1927</v>
      </c>
      <c r="H80" s="192"/>
      <c r="I80" s="192"/>
      <c r="J80" s="179" t="s">
        <v>1929</v>
      </c>
      <c r="K80" s="179" t="s">
        <v>1931</v>
      </c>
      <c r="L80" s="179" t="s">
        <v>1833</v>
      </c>
      <c r="M80" s="179">
        <v>101</v>
      </c>
      <c r="N80" s="179" t="s">
        <v>1840</v>
      </c>
      <c r="O80" s="179" t="s">
        <v>1933</v>
      </c>
      <c r="P80" s="179"/>
      <c r="Q80" s="173"/>
      <c r="R80" s="173"/>
      <c r="S80" s="173"/>
      <c r="T80" s="173"/>
      <c r="U80" s="173"/>
      <c r="V80" s="173"/>
      <c r="W80" s="173"/>
      <c r="X80" s="173"/>
      <c r="Y80" s="173"/>
      <c r="Z80" s="173"/>
    </row>
    <row r="81" spans="1:26" ht="19.5" customHeight="1">
      <c r="A81" s="173">
        <v>8.1952999999999996</v>
      </c>
      <c r="B81" s="238">
        <v>8.1952999999999996</v>
      </c>
      <c r="C81" s="239"/>
      <c r="D81" s="240">
        <v>1953</v>
      </c>
      <c r="E81" s="173" t="s">
        <v>2042</v>
      </c>
      <c r="F81" s="173" t="s">
        <v>2050</v>
      </c>
      <c r="G81" s="173" t="s">
        <v>338</v>
      </c>
      <c r="H81" s="173">
        <v>31.817429000000001</v>
      </c>
      <c r="I81" s="173">
        <v>35.109406</v>
      </c>
      <c r="J81" s="173" t="s">
        <v>1885</v>
      </c>
      <c r="K81" s="173" t="s">
        <v>1943</v>
      </c>
      <c r="L81" s="173" t="s">
        <v>1833</v>
      </c>
      <c r="M81" s="173">
        <v>101</v>
      </c>
      <c r="N81" s="173" t="s">
        <v>1840</v>
      </c>
      <c r="O81" s="173" t="s">
        <v>2053</v>
      </c>
      <c r="P81" s="173"/>
      <c r="Q81" s="173"/>
      <c r="R81" s="173"/>
      <c r="S81" s="173"/>
      <c r="T81" s="173"/>
      <c r="U81" s="173"/>
      <c r="V81" s="173"/>
      <c r="W81" s="173"/>
      <c r="X81" s="173"/>
      <c r="Y81" s="173"/>
      <c r="Z81" s="173"/>
    </row>
    <row r="82" spans="1:26" ht="31.5" customHeight="1">
      <c r="A82" s="179">
        <v>8.1953999999999994</v>
      </c>
      <c r="B82" s="188">
        <v>8.1953999999999994</v>
      </c>
      <c r="C82" s="187"/>
      <c r="D82" s="233">
        <v>1954</v>
      </c>
      <c r="E82" s="179" t="s">
        <v>2145</v>
      </c>
      <c r="F82" s="179" t="s">
        <v>2147</v>
      </c>
      <c r="G82" s="179" t="s">
        <v>1218</v>
      </c>
      <c r="H82" s="179">
        <v>31.532568999999999</v>
      </c>
      <c r="I82" s="179">
        <v>35.099826</v>
      </c>
      <c r="J82" s="179" t="s">
        <v>2150</v>
      </c>
      <c r="K82" s="179" t="s">
        <v>2154</v>
      </c>
      <c r="L82" s="179" t="s">
        <v>2157</v>
      </c>
      <c r="M82" s="179" t="s">
        <v>2160</v>
      </c>
      <c r="N82" s="179" t="s">
        <v>1891</v>
      </c>
      <c r="O82" s="179" t="s">
        <v>2162</v>
      </c>
      <c r="P82" s="179"/>
      <c r="Q82" s="173"/>
      <c r="R82" s="173"/>
      <c r="S82" s="173"/>
      <c r="T82" s="173"/>
      <c r="U82" s="173"/>
      <c r="V82" s="173"/>
      <c r="W82" s="173"/>
      <c r="X82" s="173"/>
      <c r="Y82" s="173"/>
      <c r="Z82" s="173"/>
    </row>
    <row r="83" spans="1:26" ht="21" customHeight="1">
      <c r="A83" s="241" t="s">
        <v>2405</v>
      </c>
      <c r="B83" s="202" t="s">
        <v>2405</v>
      </c>
      <c r="C83" s="187"/>
      <c r="D83" s="233">
        <v>1955</v>
      </c>
      <c r="E83" s="179" t="s">
        <v>2403</v>
      </c>
      <c r="F83" s="179" t="s">
        <v>2407</v>
      </c>
      <c r="G83" s="179" t="s">
        <v>2408</v>
      </c>
      <c r="H83" s="185">
        <v>29.492567899999901</v>
      </c>
      <c r="I83" s="185">
        <v>34.894902700000003</v>
      </c>
      <c r="J83" s="179" t="s">
        <v>2410</v>
      </c>
      <c r="K83" s="179" t="s">
        <v>2412</v>
      </c>
      <c r="L83" s="179" t="s">
        <v>2414</v>
      </c>
      <c r="M83" s="179" t="s">
        <v>2416</v>
      </c>
      <c r="N83" s="179" t="s">
        <v>1840</v>
      </c>
      <c r="O83" s="179" t="s">
        <v>2418</v>
      </c>
      <c r="P83" s="179"/>
      <c r="Q83" s="173"/>
      <c r="R83" s="173"/>
      <c r="S83" s="173"/>
      <c r="T83" s="173"/>
      <c r="U83" s="173"/>
      <c r="V83" s="173"/>
      <c r="W83" s="173"/>
      <c r="X83" s="173"/>
      <c r="Y83" s="173"/>
      <c r="Z83" s="173"/>
    </row>
    <row r="84" spans="1:26" ht="31.5" customHeight="1">
      <c r="A84" s="241" t="s">
        <v>2405</v>
      </c>
      <c r="B84" s="202" t="s">
        <v>2405</v>
      </c>
      <c r="C84" s="187"/>
      <c r="D84" s="233">
        <v>1955</v>
      </c>
      <c r="E84" s="179" t="s">
        <v>2420</v>
      </c>
      <c r="F84" s="179" t="s">
        <v>2422</v>
      </c>
      <c r="G84" s="179" t="s">
        <v>2423</v>
      </c>
      <c r="H84" s="192"/>
      <c r="I84" s="192"/>
      <c r="J84" s="179" t="s">
        <v>2425</v>
      </c>
      <c r="K84" s="179" t="s">
        <v>2427</v>
      </c>
      <c r="L84" s="179" t="s">
        <v>2429</v>
      </c>
      <c r="M84" s="179" t="s">
        <v>2432</v>
      </c>
      <c r="N84" s="179" t="s">
        <v>1891</v>
      </c>
      <c r="O84" s="179" t="s">
        <v>2435</v>
      </c>
      <c r="P84" s="179"/>
      <c r="Q84" s="173"/>
      <c r="R84" s="173"/>
      <c r="S84" s="173"/>
      <c r="T84" s="173"/>
      <c r="U84" s="173"/>
      <c r="V84" s="173"/>
      <c r="W84" s="173"/>
      <c r="X84" s="173"/>
      <c r="Y84" s="173"/>
      <c r="Z84" s="173"/>
    </row>
    <row r="85" spans="1:26" ht="31.5" customHeight="1">
      <c r="A85" s="241" t="s">
        <v>2473</v>
      </c>
      <c r="B85" s="202" t="s">
        <v>2473</v>
      </c>
      <c r="C85" s="187"/>
      <c r="D85" s="233">
        <v>1956</v>
      </c>
      <c r="E85" s="179" t="s">
        <v>2472</v>
      </c>
      <c r="F85" s="179" t="s">
        <v>2475</v>
      </c>
      <c r="G85" s="179" t="s">
        <v>2476</v>
      </c>
      <c r="H85" s="179">
        <v>27.915817499999999</v>
      </c>
      <c r="I85" s="179">
        <v>34.329950500000002</v>
      </c>
      <c r="J85" s="179" t="s">
        <v>2478</v>
      </c>
      <c r="K85" s="179" t="s">
        <v>2480</v>
      </c>
      <c r="L85" s="179" t="s">
        <v>2482</v>
      </c>
      <c r="M85" s="179" t="s">
        <v>2484</v>
      </c>
      <c r="N85" s="179" t="s">
        <v>1891</v>
      </c>
      <c r="O85" s="179" t="s">
        <v>2486</v>
      </c>
      <c r="P85" s="179"/>
      <c r="Q85" s="173">
        <v>20760</v>
      </c>
      <c r="R85" s="173"/>
      <c r="S85" s="173"/>
      <c r="T85" s="173"/>
      <c r="U85" s="173"/>
      <c r="V85" s="173"/>
      <c r="W85" s="173"/>
      <c r="X85" s="173"/>
      <c r="Y85" s="173"/>
      <c r="Z85" s="173"/>
    </row>
    <row r="86" spans="1:26" ht="42" customHeight="1">
      <c r="A86" s="241" t="s">
        <v>2598</v>
      </c>
      <c r="B86" s="202" t="s">
        <v>2598</v>
      </c>
      <c r="C86" s="187"/>
      <c r="D86" s="233">
        <v>1956</v>
      </c>
      <c r="E86" s="179" t="s">
        <v>2596</v>
      </c>
      <c r="F86" s="179" t="s">
        <v>2601</v>
      </c>
      <c r="G86" s="179" t="s">
        <v>2602</v>
      </c>
      <c r="H86" s="179">
        <v>31.497378000000001</v>
      </c>
      <c r="I86" s="179">
        <v>34.705165000000001</v>
      </c>
      <c r="J86" s="179" t="s">
        <v>2604</v>
      </c>
      <c r="K86" s="179" t="s">
        <v>2606</v>
      </c>
      <c r="L86" s="179" t="s">
        <v>2608</v>
      </c>
      <c r="M86" s="179" t="s">
        <v>2610</v>
      </c>
      <c r="N86" s="179" t="s">
        <v>1840</v>
      </c>
      <c r="O86" s="179" t="s">
        <v>2612</v>
      </c>
      <c r="P86" s="179" t="s">
        <v>2614</v>
      </c>
      <c r="Q86" s="173"/>
      <c r="R86" s="173"/>
      <c r="S86" s="173"/>
      <c r="T86" s="173"/>
      <c r="U86" s="173"/>
      <c r="V86" s="173"/>
      <c r="W86" s="173"/>
      <c r="X86" s="173"/>
      <c r="Y86" s="173"/>
      <c r="Z86" s="173"/>
    </row>
    <row r="87" spans="1:26" ht="42" customHeight="1">
      <c r="A87" s="179" t="s">
        <v>2615</v>
      </c>
      <c r="B87" s="188" t="s">
        <v>2615</v>
      </c>
      <c r="C87" s="187"/>
      <c r="D87" s="233">
        <v>1956</v>
      </c>
      <c r="E87" s="179" t="s">
        <v>2596</v>
      </c>
      <c r="F87" s="179" t="s">
        <v>2617</v>
      </c>
      <c r="G87" s="179" t="s">
        <v>131</v>
      </c>
      <c r="H87" s="179">
        <v>30.885983</v>
      </c>
      <c r="I87" s="179">
        <v>34.422569000000003</v>
      </c>
      <c r="J87" s="179" t="s">
        <v>2619</v>
      </c>
      <c r="K87" s="179" t="s">
        <v>2621</v>
      </c>
      <c r="L87" s="179" t="s">
        <v>2623</v>
      </c>
      <c r="M87" s="179" t="s">
        <v>2610</v>
      </c>
      <c r="N87" s="179" t="s">
        <v>1891</v>
      </c>
      <c r="O87" s="179" t="s">
        <v>2626</v>
      </c>
      <c r="P87" s="179"/>
      <c r="Q87" s="173"/>
      <c r="R87" s="173"/>
      <c r="S87" s="173"/>
      <c r="T87" s="173"/>
      <c r="U87" s="173"/>
      <c r="V87" s="173"/>
      <c r="W87" s="173"/>
      <c r="X87" s="173"/>
      <c r="Y87" s="173"/>
      <c r="Z87" s="173"/>
    </row>
    <row r="88" spans="1:26" ht="31.5" customHeight="1">
      <c r="A88" s="241" t="s">
        <v>2627</v>
      </c>
      <c r="B88" s="202" t="s">
        <v>2627</v>
      </c>
      <c r="C88" s="187"/>
      <c r="D88" s="233">
        <v>1957</v>
      </c>
      <c r="E88" s="179" t="s">
        <v>2596</v>
      </c>
      <c r="F88" s="179" t="s">
        <v>2629</v>
      </c>
      <c r="G88" s="179" t="s">
        <v>2630</v>
      </c>
      <c r="H88" s="192"/>
      <c r="I88" s="192"/>
      <c r="J88" s="179" t="s">
        <v>2632</v>
      </c>
      <c r="K88" s="179" t="s">
        <v>2606</v>
      </c>
      <c r="L88" s="179" t="s">
        <v>2634</v>
      </c>
      <c r="M88" s="179" t="s">
        <v>2610</v>
      </c>
      <c r="N88" s="179" t="s">
        <v>1840</v>
      </c>
      <c r="O88" s="179" t="s">
        <v>2639</v>
      </c>
      <c r="P88" s="179" t="s">
        <v>2642</v>
      </c>
      <c r="Q88" s="173"/>
      <c r="R88" s="173"/>
      <c r="S88" s="173"/>
      <c r="T88" s="173"/>
      <c r="U88" s="173"/>
      <c r="V88" s="173"/>
      <c r="W88" s="173"/>
      <c r="X88" s="173"/>
      <c r="Y88" s="173"/>
      <c r="Z88" s="173"/>
    </row>
    <row r="89" spans="1:26" ht="21" customHeight="1">
      <c r="A89" s="241" t="s">
        <v>1832</v>
      </c>
      <c r="B89" s="202" t="s">
        <v>1832</v>
      </c>
      <c r="C89" s="187"/>
      <c r="D89" s="233">
        <v>1959</v>
      </c>
      <c r="E89" s="179" t="s">
        <v>2663</v>
      </c>
      <c r="F89" s="179" t="s">
        <v>2666</v>
      </c>
      <c r="G89" s="179" t="s">
        <v>2666</v>
      </c>
      <c r="H89" s="179">
        <v>31.414487000000001</v>
      </c>
      <c r="I89" s="179">
        <v>34.761871999999997</v>
      </c>
      <c r="J89" s="179" t="s">
        <v>2668</v>
      </c>
      <c r="K89" s="179" t="s">
        <v>2671</v>
      </c>
      <c r="L89" s="179" t="s">
        <v>2675</v>
      </c>
      <c r="M89" s="179" t="s">
        <v>2610</v>
      </c>
      <c r="N89" s="179" t="s">
        <v>1840</v>
      </c>
      <c r="O89" s="179" t="s">
        <v>2678</v>
      </c>
      <c r="P89" s="179"/>
      <c r="Q89" s="173"/>
      <c r="R89" s="173"/>
      <c r="S89" s="173"/>
      <c r="T89" s="173"/>
      <c r="U89" s="173"/>
      <c r="V89" s="173"/>
      <c r="W89" s="173"/>
      <c r="X89" s="173"/>
      <c r="Y89" s="173"/>
      <c r="Z89" s="173"/>
    </row>
    <row r="90" spans="1:26" ht="21" customHeight="1">
      <c r="A90" s="241" t="s">
        <v>1832</v>
      </c>
      <c r="B90" s="202" t="s">
        <v>1832</v>
      </c>
      <c r="C90" s="187"/>
      <c r="D90" s="233">
        <v>1959</v>
      </c>
      <c r="E90" s="179" t="s">
        <v>2596</v>
      </c>
      <c r="F90" s="179" t="s">
        <v>2680</v>
      </c>
      <c r="G90" s="179" t="s">
        <v>286</v>
      </c>
      <c r="H90" s="179">
        <v>31.424513000000001</v>
      </c>
      <c r="I90" s="179">
        <v>34.492567000000001</v>
      </c>
      <c r="J90" s="179" t="s">
        <v>2632</v>
      </c>
      <c r="K90" s="179" t="s">
        <v>2682</v>
      </c>
      <c r="L90" s="179" t="s">
        <v>2684</v>
      </c>
      <c r="M90" s="179" t="s">
        <v>2610</v>
      </c>
      <c r="N90" s="179" t="s">
        <v>1840</v>
      </c>
      <c r="O90" s="179" t="s">
        <v>2686</v>
      </c>
      <c r="P90" s="179"/>
      <c r="Q90" s="173"/>
      <c r="R90" s="173"/>
      <c r="S90" s="173"/>
      <c r="T90" s="173"/>
      <c r="U90" s="173"/>
      <c r="V90" s="173"/>
      <c r="W90" s="173"/>
      <c r="X90" s="173"/>
      <c r="Y90" s="173"/>
      <c r="Z90" s="173"/>
    </row>
    <row r="91" spans="1:26" ht="21" customHeight="1">
      <c r="A91" s="241" t="s">
        <v>1832</v>
      </c>
      <c r="B91" s="202" t="s">
        <v>1832</v>
      </c>
      <c r="C91" s="187"/>
      <c r="D91" s="233">
        <v>1959</v>
      </c>
      <c r="E91" s="179" t="s">
        <v>2596</v>
      </c>
      <c r="F91" s="179" t="s">
        <v>2629</v>
      </c>
      <c r="G91" s="179" t="s">
        <v>2630</v>
      </c>
      <c r="H91" s="192"/>
      <c r="I91" s="192"/>
      <c r="J91" s="179" t="s">
        <v>2632</v>
      </c>
      <c r="K91" s="179" t="s">
        <v>2621</v>
      </c>
      <c r="L91" s="179" t="s">
        <v>2690</v>
      </c>
      <c r="M91" s="179" t="s">
        <v>2692</v>
      </c>
      <c r="N91" s="179" t="s">
        <v>1891</v>
      </c>
      <c r="O91" s="179" t="s">
        <v>2694</v>
      </c>
      <c r="P91" s="179"/>
      <c r="Q91" s="173"/>
      <c r="R91" s="173"/>
      <c r="S91" s="173"/>
      <c r="T91" s="173"/>
      <c r="U91" s="173"/>
      <c r="V91" s="173"/>
      <c r="W91" s="173"/>
      <c r="X91" s="173"/>
      <c r="Y91" s="173"/>
      <c r="Z91" s="173"/>
    </row>
    <row r="92" spans="1:26" ht="42" customHeight="1">
      <c r="A92" s="241" t="s">
        <v>1832</v>
      </c>
      <c r="B92" s="202" t="s">
        <v>1832</v>
      </c>
      <c r="C92" s="187"/>
      <c r="D92" s="233">
        <v>1959</v>
      </c>
      <c r="E92" s="179" t="s">
        <v>2596</v>
      </c>
      <c r="F92" s="179" t="s">
        <v>2698</v>
      </c>
      <c r="G92" s="179"/>
      <c r="H92" s="179"/>
      <c r="I92" s="179"/>
      <c r="J92" s="179" t="s">
        <v>2632</v>
      </c>
      <c r="K92" s="179" t="s">
        <v>2621</v>
      </c>
      <c r="L92" s="179" t="s">
        <v>2700</v>
      </c>
      <c r="M92" s="179" t="s">
        <v>2610</v>
      </c>
      <c r="N92" s="179" t="s">
        <v>1840</v>
      </c>
      <c r="O92" s="179" t="s">
        <v>2702</v>
      </c>
      <c r="P92" s="179"/>
      <c r="Q92" s="173"/>
      <c r="R92" s="173"/>
      <c r="S92" s="173"/>
      <c r="T92" s="173"/>
      <c r="U92" s="173"/>
      <c r="V92" s="173"/>
      <c r="W92" s="173"/>
      <c r="X92" s="173"/>
      <c r="Y92" s="173"/>
      <c r="Z92" s="173"/>
    </row>
    <row r="93" spans="1:26" ht="31.5" customHeight="1">
      <c r="A93" s="241" t="s">
        <v>2705</v>
      </c>
      <c r="B93" s="202" t="s">
        <v>2705</v>
      </c>
      <c r="C93" s="187"/>
      <c r="D93" s="233">
        <v>1959</v>
      </c>
      <c r="E93" s="179" t="s">
        <v>2596</v>
      </c>
      <c r="F93" s="179" t="s">
        <v>2707</v>
      </c>
      <c r="G93" s="179" t="s">
        <v>2708</v>
      </c>
      <c r="H93" s="179">
        <v>35.556465799999998</v>
      </c>
      <c r="I93" s="179">
        <v>-83.386326999999994</v>
      </c>
      <c r="J93" s="179" t="s">
        <v>2710</v>
      </c>
      <c r="K93" s="179" t="s">
        <v>2682</v>
      </c>
      <c r="L93" s="179" t="s">
        <v>2712</v>
      </c>
      <c r="M93" s="179" t="s">
        <v>2610</v>
      </c>
      <c r="N93" s="179" t="s">
        <v>1840</v>
      </c>
      <c r="O93" s="179" t="s">
        <v>2715</v>
      </c>
      <c r="P93" s="179"/>
      <c r="Q93" s="173">
        <v>21802</v>
      </c>
      <c r="R93" s="173"/>
      <c r="S93" s="173"/>
      <c r="T93" s="173"/>
      <c r="U93" s="173"/>
      <c r="V93" s="173"/>
      <c r="W93" s="173"/>
      <c r="X93" s="173"/>
      <c r="Y93" s="173"/>
      <c r="Z93" s="173"/>
    </row>
    <row r="94" spans="1:26" ht="42" customHeight="1">
      <c r="A94" s="179">
        <v>9.59</v>
      </c>
      <c r="B94" s="188">
        <v>9.59</v>
      </c>
      <c r="C94" s="187"/>
      <c r="D94" s="233">
        <v>1959</v>
      </c>
      <c r="E94" s="179" t="s">
        <v>2596</v>
      </c>
      <c r="F94" s="179" t="s">
        <v>2718</v>
      </c>
      <c r="G94" s="179" t="s">
        <v>2719</v>
      </c>
      <c r="H94" s="179">
        <v>31.203908999999999</v>
      </c>
      <c r="I94" s="179">
        <v>34.533358999999997</v>
      </c>
      <c r="J94" s="179" t="s">
        <v>2604</v>
      </c>
      <c r="K94" s="179" t="s">
        <v>2606</v>
      </c>
      <c r="L94" s="179" t="s">
        <v>2721</v>
      </c>
      <c r="M94" s="179" t="s">
        <v>2610</v>
      </c>
      <c r="N94" s="179" t="s">
        <v>1840</v>
      </c>
      <c r="O94" s="179" t="s">
        <v>2724</v>
      </c>
      <c r="P94" s="179"/>
      <c r="Q94" s="173"/>
      <c r="R94" s="173"/>
      <c r="S94" s="173"/>
      <c r="T94" s="173"/>
      <c r="U94" s="173"/>
      <c r="V94" s="173"/>
      <c r="W94" s="173"/>
      <c r="X94" s="173"/>
      <c r="Y94" s="173"/>
      <c r="Z94" s="173"/>
    </row>
    <row r="95" spans="1:26" ht="31.5" customHeight="1">
      <c r="A95" s="179">
        <v>11.59</v>
      </c>
      <c r="B95" s="188">
        <v>11.59</v>
      </c>
      <c r="C95" s="187"/>
      <c r="D95" s="233">
        <v>1959</v>
      </c>
      <c r="E95" s="179" t="s">
        <v>2596</v>
      </c>
      <c r="F95" s="179" t="s">
        <v>2727</v>
      </c>
      <c r="G95" s="179" t="s">
        <v>2728</v>
      </c>
      <c r="H95" s="179">
        <v>31.717845000000001</v>
      </c>
      <c r="I95" s="179">
        <v>34.634636</v>
      </c>
      <c r="J95" s="179" t="s">
        <v>2604</v>
      </c>
      <c r="K95" s="179" t="s">
        <v>2730</v>
      </c>
      <c r="L95" s="179" t="s">
        <v>2732</v>
      </c>
      <c r="M95" s="179" t="s">
        <v>2610</v>
      </c>
      <c r="N95" s="179" t="s">
        <v>1840</v>
      </c>
      <c r="O95" s="179" t="s">
        <v>2734</v>
      </c>
      <c r="P95" s="179" t="s">
        <v>2736</v>
      </c>
      <c r="Q95" s="173"/>
      <c r="R95" s="173"/>
      <c r="S95" s="173"/>
      <c r="T95" s="173"/>
      <c r="U95" s="173"/>
      <c r="V95" s="173"/>
      <c r="W95" s="173"/>
      <c r="X95" s="173"/>
      <c r="Y95" s="173"/>
      <c r="Z95" s="173"/>
    </row>
    <row r="96" spans="1:26" ht="31.5" customHeight="1">
      <c r="A96" s="179">
        <v>12.59</v>
      </c>
      <c r="B96" s="188">
        <v>12.59</v>
      </c>
      <c r="C96" s="187"/>
      <c r="D96" s="233">
        <v>1959</v>
      </c>
      <c r="E96" s="179" t="s">
        <v>2596</v>
      </c>
      <c r="F96" s="179" t="s">
        <v>2738</v>
      </c>
      <c r="G96" s="179" t="s">
        <v>281</v>
      </c>
      <c r="H96" s="179">
        <v>31.668788500000002</v>
      </c>
      <c r="I96" s="179">
        <v>34.574252299999998</v>
      </c>
      <c r="J96" s="179" t="s">
        <v>2604</v>
      </c>
      <c r="K96" s="179" t="s">
        <v>2730</v>
      </c>
      <c r="L96" s="179" t="s">
        <v>2741</v>
      </c>
      <c r="M96" s="179" t="s">
        <v>2610</v>
      </c>
      <c r="N96" s="179" t="s">
        <v>1840</v>
      </c>
      <c r="O96" s="179" t="s">
        <v>2743</v>
      </c>
      <c r="P96" s="179" t="s">
        <v>2745</v>
      </c>
      <c r="Q96" s="173"/>
      <c r="R96" s="173"/>
      <c r="S96" s="173"/>
      <c r="T96" s="173"/>
      <c r="U96" s="173"/>
      <c r="V96" s="173"/>
      <c r="W96" s="173"/>
      <c r="X96" s="173"/>
      <c r="Y96" s="173"/>
      <c r="Z96" s="173"/>
    </row>
    <row r="97" spans="1:26" ht="21" customHeight="1">
      <c r="A97" s="241" t="s">
        <v>1832</v>
      </c>
      <c r="B97" s="202" t="s">
        <v>1832</v>
      </c>
      <c r="C97" s="187"/>
      <c r="D97" s="233">
        <v>1960</v>
      </c>
      <c r="E97" s="179" t="s">
        <v>2663</v>
      </c>
      <c r="F97" s="179" t="s">
        <v>2747</v>
      </c>
      <c r="G97" s="182" t="s">
        <v>2748</v>
      </c>
      <c r="H97" s="179">
        <v>42.5240072</v>
      </c>
      <c r="I97" s="179">
        <v>-85.026715899999999</v>
      </c>
      <c r="J97" s="179" t="s">
        <v>2750</v>
      </c>
      <c r="K97" s="179" t="s">
        <v>2752</v>
      </c>
      <c r="L97" s="179" t="s">
        <v>2755</v>
      </c>
      <c r="M97" s="179" t="s">
        <v>2610</v>
      </c>
      <c r="N97" s="179" t="s">
        <v>1840</v>
      </c>
      <c r="O97" s="179" t="s">
        <v>2757</v>
      </c>
      <c r="P97" s="179"/>
      <c r="Q97" s="173"/>
      <c r="R97" s="173"/>
      <c r="S97" s="173"/>
      <c r="T97" s="173"/>
      <c r="U97" s="173"/>
      <c r="V97" s="173"/>
      <c r="W97" s="173"/>
      <c r="X97" s="173"/>
      <c r="Y97" s="173"/>
      <c r="Z97" s="173"/>
    </row>
    <row r="98" spans="1:26" ht="31.5" customHeight="1">
      <c r="A98" s="241" t="s">
        <v>2758</v>
      </c>
      <c r="B98" s="202" t="s">
        <v>2758</v>
      </c>
      <c r="C98" s="187"/>
      <c r="D98" s="233">
        <v>1960</v>
      </c>
      <c r="E98" s="179" t="s">
        <v>2730</v>
      </c>
      <c r="F98" s="179" t="s">
        <v>2760</v>
      </c>
      <c r="G98" s="179" t="s">
        <v>2761</v>
      </c>
      <c r="H98" s="179">
        <v>31.067204799999999</v>
      </c>
      <c r="I98" s="179">
        <v>34.664419799999997</v>
      </c>
      <c r="J98" s="179" t="s">
        <v>2763</v>
      </c>
      <c r="K98" s="179" t="s">
        <v>2766</v>
      </c>
      <c r="L98" s="179" t="s">
        <v>2770</v>
      </c>
      <c r="M98" s="179" t="s">
        <v>2610</v>
      </c>
      <c r="N98" s="179" t="s">
        <v>1840</v>
      </c>
      <c r="O98" s="179" t="s">
        <v>2773</v>
      </c>
      <c r="P98" s="179" t="s">
        <v>2775</v>
      </c>
      <c r="Q98" s="173"/>
      <c r="R98" s="173"/>
      <c r="S98" s="173"/>
      <c r="T98" s="173"/>
      <c r="U98" s="173"/>
      <c r="V98" s="173"/>
      <c r="W98" s="173"/>
      <c r="X98" s="173"/>
      <c r="Y98" s="173"/>
      <c r="Z98" s="173"/>
    </row>
    <row r="99" spans="1:26" ht="21" customHeight="1">
      <c r="A99" s="241" t="s">
        <v>1832</v>
      </c>
      <c r="B99" s="202" t="s">
        <v>1832</v>
      </c>
      <c r="C99" s="187"/>
      <c r="D99" s="233">
        <v>1960</v>
      </c>
      <c r="E99" s="179" t="s">
        <v>2730</v>
      </c>
      <c r="F99" s="179" t="s">
        <v>2777</v>
      </c>
      <c r="G99" s="179" t="s">
        <v>2778</v>
      </c>
      <c r="H99" s="179">
        <v>31.386158999999999</v>
      </c>
      <c r="I99" s="179">
        <v>34.458823000000002</v>
      </c>
      <c r="J99" s="179" t="s">
        <v>2781</v>
      </c>
      <c r="K99" s="179" t="s">
        <v>2783</v>
      </c>
      <c r="L99" s="179" t="s">
        <v>2785</v>
      </c>
      <c r="M99" s="179" t="s">
        <v>2610</v>
      </c>
      <c r="N99" s="179" t="s">
        <v>1840</v>
      </c>
      <c r="O99" s="179" t="s">
        <v>2788</v>
      </c>
      <c r="P99" s="179"/>
      <c r="Q99" s="173"/>
      <c r="R99" s="173"/>
      <c r="S99" s="173"/>
      <c r="T99" s="173"/>
      <c r="U99" s="173"/>
      <c r="V99" s="173"/>
      <c r="W99" s="173"/>
      <c r="X99" s="173"/>
      <c r="Y99" s="173"/>
      <c r="Z99" s="173"/>
    </row>
    <row r="100" spans="1:26" ht="31.5" customHeight="1">
      <c r="A100" s="241" t="s">
        <v>1832</v>
      </c>
      <c r="B100" s="202" t="s">
        <v>1832</v>
      </c>
      <c r="C100" s="187"/>
      <c r="D100" s="233">
        <v>1960</v>
      </c>
      <c r="E100" s="179" t="s">
        <v>2730</v>
      </c>
      <c r="F100" s="179" t="s">
        <v>2790</v>
      </c>
      <c r="G100" s="179" t="s">
        <v>2791</v>
      </c>
      <c r="H100" s="179">
        <v>31.488405999999902</v>
      </c>
      <c r="I100" s="179">
        <v>34.708995000000002</v>
      </c>
      <c r="J100" s="179" t="s">
        <v>2750</v>
      </c>
      <c r="K100" s="179" t="s">
        <v>2793</v>
      </c>
      <c r="L100" s="179" t="s">
        <v>2795</v>
      </c>
      <c r="M100" s="179" t="s">
        <v>2610</v>
      </c>
      <c r="N100" s="179" t="s">
        <v>1840</v>
      </c>
      <c r="O100" s="179" t="s">
        <v>2797</v>
      </c>
      <c r="P100" s="179" t="s">
        <v>2799</v>
      </c>
      <c r="Q100" s="173"/>
      <c r="R100" s="173"/>
      <c r="S100" s="173"/>
      <c r="T100" s="173"/>
      <c r="U100" s="173"/>
      <c r="V100" s="173"/>
      <c r="W100" s="173"/>
      <c r="X100" s="173"/>
      <c r="Y100" s="173"/>
      <c r="Z100" s="173"/>
    </row>
    <row r="101" spans="1:26" ht="31.5" customHeight="1">
      <c r="A101" s="241" t="s">
        <v>2800</v>
      </c>
      <c r="B101" s="202" t="s">
        <v>2800</v>
      </c>
      <c r="C101" s="187"/>
      <c r="D101" s="233">
        <v>1961</v>
      </c>
      <c r="E101" s="179" t="s">
        <v>2730</v>
      </c>
      <c r="F101" s="179" t="s">
        <v>2803</v>
      </c>
      <c r="G101" s="182" t="s">
        <v>2804</v>
      </c>
      <c r="H101" s="179">
        <v>44.448633699999903</v>
      </c>
      <c r="I101" s="179">
        <v>-71.3382462</v>
      </c>
      <c r="J101" s="179" t="s">
        <v>2806</v>
      </c>
      <c r="K101" s="179" t="s">
        <v>2808</v>
      </c>
      <c r="L101" s="179" t="s">
        <v>2810</v>
      </c>
      <c r="M101" s="179" t="s">
        <v>2812</v>
      </c>
      <c r="N101" s="179" t="s">
        <v>1891</v>
      </c>
      <c r="O101" s="179" t="s">
        <v>2814</v>
      </c>
      <c r="P101" s="179"/>
      <c r="Q101" s="173"/>
      <c r="R101" s="173"/>
      <c r="S101" s="173"/>
      <c r="T101" s="173"/>
      <c r="U101" s="173"/>
      <c r="V101" s="173"/>
      <c r="W101" s="173"/>
      <c r="X101" s="173"/>
      <c r="Y101" s="173"/>
      <c r="Z101" s="173"/>
    </row>
    <row r="102" spans="1:26" ht="21" customHeight="1">
      <c r="A102" s="241" t="s">
        <v>1832</v>
      </c>
      <c r="B102" s="202" t="s">
        <v>1832</v>
      </c>
      <c r="C102" s="187"/>
      <c r="D102" s="233">
        <v>1961</v>
      </c>
      <c r="E102" s="179" t="s">
        <v>2730</v>
      </c>
      <c r="F102" s="179" t="s">
        <v>2816</v>
      </c>
      <c r="G102" s="179" t="s">
        <v>2817</v>
      </c>
      <c r="H102" s="185">
        <v>30.615279699999999</v>
      </c>
      <c r="I102" s="185">
        <v>34.884486699999997</v>
      </c>
      <c r="J102" s="179" t="s">
        <v>2819</v>
      </c>
      <c r="K102" s="179" t="s">
        <v>2821</v>
      </c>
      <c r="L102" s="179" t="s">
        <v>2824</v>
      </c>
      <c r="M102" s="179" t="s">
        <v>2826</v>
      </c>
      <c r="N102" s="179" t="s">
        <v>1891</v>
      </c>
      <c r="O102" s="179" t="s">
        <v>2828</v>
      </c>
      <c r="P102" s="179"/>
      <c r="Q102" s="173"/>
      <c r="R102" s="173"/>
      <c r="S102" s="173"/>
      <c r="T102" s="173"/>
      <c r="U102" s="173"/>
      <c r="V102" s="173"/>
      <c r="W102" s="173"/>
      <c r="X102" s="173"/>
      <c r="Y102" s="173"/>
      <c r="Z102" s="173"/>
    </row>
    <row r="103" spans="1:26" ht="31.5" customHeight="1">
      <c r="A103" s="179">
        <v>6.61</v>
      </c>
      <c r="B103" s="188">
        <v>6.61</v>
      </c>
      <c r="C103" s="187"/>
      <c r="D103" s="233">
        <v>1961</v>
      </c>
      <c r="E103" s="179" t="s">
        <v>2730</v>
      </c>
      <c r="F103" s="179" t="s">
        <v>2830</v>
      </c>
      <c r="G103" s="179" t="s">
        <v>2791</v>
      </c>
      <c r="H103" s="179">
        <v>31.488405999999902</v>
      </c>
      <c r="I103" s="179">
        <v>34.708995000000002</v>
      </c>
      <c r="J103" s="179" t="s">
        <v>2819</v>
      </c>
      <c r="K103" s="179" t="s">
        <v>2821</v>
      </c>
      <c r="L103" s="179" t="s">
        <v>2832</v>
      </c>
      <c r="M103" s="179" t="s">
        <v>2834</v>
      </c>
      <c r="N103" s="179" t="s">
        <v>1840</v>
      </c>
      <c r="O103" s="179" t="s">
        <v>2836</v>
      </c>
      <c r="P103" s="179"/>
      <c r="Q103" s="173"/>
      <c r="R103" s="173"/>
      <c r="S103" s="173"/>
      <c r="T103" s="173"/>
      <c r="U103" s="173"/>
      <c r="V103" s="173"/>
      <c r="W103" s="173"/>
      <c r="X103" s="173"/>
      <c r="Y103" s="173"/>
      <c r="Z103" s="173"/>
    </row>
    <row r="104" spans="1:26" ht="31.5" customHeight="1">
      <c r="A104" s="241" t="s">
        <v>2860</v>
      </c>
      <c r="B104" s="202" t="s">
        <v>2860</v>
      </c>
      <c r="C104" s="187"/>
      <c r="D104" s="233">
        <v>1963</v>
      </c>
      <c r="E104" s="179" t="s">
        <v>2730</v>
      </c>
      <c r="F104" s="179" t="s">
        <v>2862</v>
      </c>
      <c r="G104" s="179" t="s">
        <v>2863</v>
      </c>
      <c r="H104" s="179">
        <v>31.577940000000002</v>
      </c>
      <c r="I104" s="179">
        <v>34.658391000000002</v>
      </c>
      <c r="J104" s="179" t="s">
        <v>2865</v>
      </c>
      <c r="K104" s="179" t="s">
        <v>2821</v>
      </c>
      <c r="L104" s="179" t="s">
        <v>2596</v>
      </c>
      <c r="M104" s="179" t="s">
        <v>2610</v>
      </c>
      <c r="N104" s="179" t="s">
        <v>1840</v>
      </c>
      <c r="O104" s="179" t="s">
        <v>2868</v>
      </c>
      <c r="P104" s="179" t="s">
        <v>2870</v>
      </c>
      <c r="Q104" s="173"/>
      <c r="R104" s="173"/>
      <c r="S104" s="173"/>
      <c r="T104" s="173"/>
      <c r="U104" s="173"/>
      <c r="V104" s="173"/>
      <c r="W104" s="173"/>
      <c r="X104" s="173"/>
      <c r="Y104" s="173"/>
      <c r="Z104" s="173"/>
    </row>
    <row r="105" spans="1:26" ht="31.5" customHeight="1">
      <c r="A105" s="241" t="s">
        <v>1832</v>
      </c>
      <c r="B105" s="202" t="s">
        <v>1832</v>
      </c>
      <c r="C105" s="187"/>
      <c r="D105" s="233">
        <v>1964</v>
      </c>
      <c r="E105" s="179" t="s">
        <v>2730</v>
      </c>
      <c r="F105" s="179" t="s">
        <v>2872</v>
      </c>
      <c r="G105" s="182" t="s">
        <v>2873</v>
      </c>
      <c r="H105" s="179">
        <v>-27.3961723</v>
      </c>
      <c r="I105" s="179">
        <v>-56.5168094</v>
      </c>
      <c r="J105" s="179" t="s">
        <v>2819</v>
      </c>
      <c r="K105" s="179" t="s">
        <v>2875</v>
      </c>
      <c r="L105" s="179" t="s">
        <v>2877</v>
      </c>
      <c r="M105" s="179" t="s">
        <v>2879</v>
      </c>
      <c r="N105" s="179" t="s">
        <v>1891</v>
      </c>
      <c r="O105" s="179" t="s">
        <v>2882</v>
      </c>
      <c r="P105" s="179" t="s">
        <v>2884</v>
      </c>
      <c r="Q105" s="173"/>
      <c r="R105" s="173"/>
      <c r="S105" s="173"/>
      <c r="T105" s="173"/>
      <c r="U105" s="173"/>
      <c r="V105" s="173"/>
      <c r="W105" s="173"/>
      <c r="X105" s="173"/>
      <c r="Y105" s="173"/>
      <c r="Z105" s="173"/>
    </row>
    <row r="106" spans="1:26" ht="31.5" customHeight="1">
      <c r="A106" s="241" t="s">
        <v>2885</v>
      </c>
      <c r="B106" s="202" t="s">
        <v>2885</v>
      </c>
      <c r="C106" s="187"/>
      <c r="D106" s="233">
        <v>1964</v>
      </c>
      <c r="E106" s="179" t="s">
        <v>2730</v>
      </c>
      <c r="F106" s="179" t="s">
        <v>2887</v>
      </c>
      <c r="G106" s="179" t="s">
        <v>2888</v>
      </c>
      <c r="H106" s="179">
        <v>31.556984999999901</v>
      </c>
      <c r="I106" s="179">
        <v>34.646546999999998</v>
      </c>
      <c r="J106" s="179"/>
      <c r="K106" s="179" t="s">
        <v>2890</v>
      </c>
      <c r="L106" s="179" t="s">
        <v>2892</v>
      </c>
      <c r="M106" s="179" t="s">
        <v>2610</v>
      </c>
      <c r="N106" s="179" t="s">
        <v>1840</v>
      </c>
      <c r="O106" s="179"/>
      <c r="P106" s="179" t="s">
        <v>2895</v>
      </c>
      <c r="Q106" s="173"/>
      <c r="R106" s="173"/>
      <c r="S106" s="173"/>
      <c r="T106" s="173"/>
      <c r="U106" s="173"/>
      <c r="V106" s="173"/>
      <c r="W106" s="173"/>
      <c r="X106" s="173"/>
      <c r="Y106" s="173"/>
      <c r="Z106" s="173"/>
    </row>
    <row r="107" spans="1:26" ht="31.5" customHeight="1">
      <c r="A107" s="173"/>
      <c r="B107" s="242" t="s">
        <v>3143</v>
      </c>
      <c r="C107" s="187"/>
      <c r="D107" s="231"/>
      <c r="E107" s="171" t="s">
        <v>3147</v>
      </c>
      <c r="F107" s="171" t="s">
        <v>176</v>
      </c>
      <c r="G107" s="171" t="s">
        <v>3148</v>
      </c>
      <c r="H107" s="171">
        <v>31.768319000000002</v>
      </c>
      <c r="I107" s="171">
        <v>35.213709999999999</v>
      </c>
      <c r="J107" s="173"/>
      <c r="K107" s="173"/>
      <c r="L107" s="173"/>
      <c r="M107" s="173"/>
      <c r="N107" s="173"/>
      <c r="O107" s="173"/>
      <c r="P107" s="173"/>
      <c r="Q107" s="173"/>
      <c r="R107" s="171" t="s">
        <v>3149</v>
      </c>
      <c r="S107" s="173"/>
      <c r="T107" s="173"/>
      <c r="U107" s="173"/>
      <c r="V107" s="173"/>
      <c r="W107" s="173"/>
      <c r="X107" s="173"/>
      <c r="Y107" s="173"/>
      <c r="Z107" s="173"/>
    </row>
    <row r="108" spans="1:26" ht="31.5" customHeight="1">
      <c r="A108" s="173"/>
      <c r="B108" s="243" t="s">
        <v>3150</v>
      </c>
      <c r="C108" s="187"/>
      <c r="D108" s="231"/>
      <c r="E108" s="170" t="s">
        <v>3153</v>
      </c>
      <c r="F108" s="170" t="s">
        <v>3154</v>
      </c>
      <c r="G108" s="171"/>
      <c r="H108" s="184"/>
      <c r="I108" s="184"/>
      <c r="J108" s="173"/>
      <c r="K108" s="173"/>
      <c r="L108" s="173"/>
      <c r="M108" s="173"/>
      <c r="N108" s="173"/>
      <c r="O108" s="173"/>
      <c r="P108" s="173"/>
      <c r="Q108" s="173"/>
      <c r="R108" s="171" t="s">
        <v>3155</v>
      </c>
      <c r="S108" s="173"/>
      <c r="T108" s="173"/>
      <c r="U108" s="173"/>
      <c r="V108" s="173"/>
      <c r="W108" s="173"/>
      <c r="X108" s="173"/>
      <c r="Y108" s="173"/>
      <c r="Z108" s="173"/>
    </row>
    <row r="109" spans="1:26" ht="21" customHeight="1">
      <c r="A109" s="173"/>
      <c r="B109" s="243" t="s">
        <v>133</v>
      </c>
      <c r="C109" s="187"/>
      <c r="D109" s="231"/>
      <c r="E109" s="170" t="s">
        <v>3156</v>
      </c>
      <c r="F109" s="170" t="s">
        <v>3157</v>
      </c>
      <c r="G109" s="171" t="s">
        <v>3158</v>
      </c>
      <c r="H109" s="170">
        <v>32.321038999999999</v>
      </c>
      <c r="I109" s="170">
        <v>34.983429999999998</v>
      </c>
      <c r="J109" s="173"/>
      <c r="K109" s="173"/>
      <c r="L109" s="173"/>
      <c r="M109" s="173"/>
      <c r="N109" s="173"/>
      <c r="O109" s="173"/>
      <c r="P109" s="173"/>
      <c r="Q109" s="173"/>
      <c r="R109" s="171" t="s">
        <v>3160</v>
      </c>
      <c r="S109" s="173"/>
      <c r="T109" s="173"/>
      <c r="U109" s="173"/>
      <c r="V109" s="173"/>
      <c r="W109" s="173"/>
      <c r="X109" s="173"/>
      <c r="Y109" s="173"/>
      <c r="Z109" s="173"/>
    </row>
    <row r="110" spans="1:26" ht="31.5" customHeight="1">
      <c r="A110" s="173"/>
      <c r="B110" s="243" t="s">
        <v>133</v>
      </c>
      <c r="C110" s="187"/>
      <c r="D110" s="231"/>
      <c r="E110" s="171" t="s">
        <v>3161</v>
      </c>
      <c r="F110" s="170" t="s">
        <v>3162</v>
      </c>
      <c r="G110" s="171"/>
      <c r="H110" s="171">
        <v>31.87989</v>
      </c>
      <c r="I110" s="171">
        <v>35.124096999999999</v>
      </c>
      <c r="J110" s="173"/>
      <c r="K110" s="173"/>
      <c r="L110" s="173"/>
      <c r="M110" s="173"/>
      <c r="N110" s="173"/>
      <c r="O110" s="173"/>
      <c r="P110" s="173"/>
      <c r="Q110" s="173"/>
      <c r="R110" s="171" t="s">
        <v>3164</v>
      </c>
      <c r="S110" s="173"/>
      <c r="T110" s="173"/>
      <c r="U110" s="173"/>
      <c r="V110" s="173"/>
      <c r="W110" s="173"/>
      <c r="X110" s="173"/>
      <c r="Y110" s="173"/>
      <c r="Z110" s="173"/>
    </row>
    <row r="111" spans="1:26" ht="42" customHeight="1">
      <c r="A111" s="173"/>
      <c r="B111" s="207"/>
      <c r="C111" s="208"/>
      <c r="D111" s="231"/>
      <c r="E111" s="173"/>
      <c r="F111" s="170" t="s">
        <v>3165</v>
      </c>
      <c r="G111" s="179"/>
      <c r="H111" s="173"/>
      <c r="I111" s="173"/>
      <c r="J111" s="173"/>
      <c r="K111" s="173"/>
      <c r="L111" s="173"/>
      <c r="M111" s="173"/>
      <c r="N111" s="173"/>
      <c r="O111" s="173"/>
      <c r="P111" s="173"/>
      <c r="Q111" s="173"/>
      <c r="R111" s="171" t="s">
        <v>3166</v>
      </c>
      <c r="S111" s="173"/>
      <c r="T111" s="173"/>
      <c r="U111" s="173"/>
      <c r="V111" s="173"/>
      <c r="W111" s="173"/>
      <c r="X111" s="173"/>
      <c r="Y111" s="173"/>
      <c r="Z111" s="173"/>
    </row>
    <row r="112" spans="1:26" ht="11.25" customHeight="1">
      <c r="A112" s="173"/>
      <c r="B112" s="207"/>
      <c r="C112" s="208"/>
      <c r="D112" s="231"/>
      <c r="E112" s="173"/>
      <c r="F112" s="173"/>
      <c r="G112" s="173"/>
      <c r="H112" s="173"/>
      <c r="I112" s="173"/>
      <c r="J112" s="173"/>
      <c r="K112" s="173"/>
      <c r="L112" s="173"/>
      <c r="M112" s="173"/>
      <c r="N112" s="173"/>
      <c r="O112" s="173"/>
      <c r="P112" s="173"/>
      <c r="Q112" s="173"/>
      <c r="R112" s="173"/>
      <c r="S112" s="173"/>
      <c r="T112" s="173"/>
      <c r="U112" s="173"/>
      <c r="V112" s="173"/>
      <c r="W112" s="173"/>
      <c r="X112" s="173"/>
      <c r="Y112" s="173"/>
      <c r="Z112" s="173"/>
    </row>
    <row r="113" spans="1:26" ht="11.25" customHeight="1">
      <c r="A113" s="173"/>
      <c r="B113" s="207"/>
      <c r="C113" s="208"/>
      <c r="D113" s="244"/>
      <c r="E113" s="173"/>
      <c r="F113" s="173"/>
      <c r="G113" s="173"/>
      <c r="H113" s="173"/>
      <c r="I113" s="173"/>
      <c r="J113" s="173"/>
      <c r="K113" s="173"/>
      <c r="L113" s="173"/>
      <c r="M113" s="173"/>
      <c r="N113" s="173"/>
      <c r="O113" s="173"/>
      <c r="P113" s="173"/>
      <c r="Q113" s="173"/>
      <c r="R113" s="173"/>
      <c r="S113" s="173"/>
      <c r="T113" s="173"/>
      <c r="U113" s="173"/>
      <c r="V113" s="173"/>
      <c r="W113" s="173"/>
      <c r="X113" s="173"/>
      <c r="Y113" s="173"/>
      <c r="Z113" s="173"/>
    </row>
    <row r="114" spans="1:26" ht="11.25" customHeight="1">
      <c r="A114" s="173"/>
      <c r="B114" s="207"/>
      <c r="C114" s="208"/>
      <c r="D114" s="244"/>
      <c r="E114" s="173"/>
      <c r="F114" s="173"/>
      <c r="G114" s="173"/>
      <c r="H114" s="173"/>
      <c r="I114" s="173"/>
      <c r="J114" s="173"/>
      <c r="K114" s="173"/>
      <c r="L114" s="173"/>
      <c r="M114" s="173"/>
      <c r="N114" s="173"/>
      <c r="O114" s="173"/>
      <c r="P114" s="173"/>
      <c r="Q114" s="173"/>
      <c r="R114" s="173"/>
      <c r="S114" s="173"/>
      <c r="T114" s="173"/>
      <c r="U114" s="173"/>
      <c r="V114" s="173"/>
      <c r="W114" s="173"/>
      <c r="X114" s="173"/>
      <c r="Y114" s="173"/>
      <c r="Z114" s="173"/>
    </row>
    <row r="115" spans="1:26" ht="11.25" customHeight="1">
      <c r="A115" s="173"/>
      <c r="B115" s="207"/>
      <c r="C115" s="208"/>
      <c r="D115" s="244"/>
      <c r="E115" s="173"/>
      <c r="F115" s="173"/>
      <c r="G115" s="173"/>
      <c r="H115" s="173"/>
      <c r="I115" s="173"/>
      <c r="J115" s="173"/>
      <c r="K115" s="173"/>
      <c r="L115" s="173"/>
      <c r="M115" s="173"/>
      <c r="N115" s="173"/>
      <c r="O115" s="173"/>
      <c r="P115" s="173"/>
      <c r="Q115" s="173"/>
      <c r="R115" s="173"/>
      <c r="S115" s="173"/>
      <c r="T115" s="173"/>
      <c r="U115" s="173"/>
      <c r="V115" s="173"/>
      <c r="W115" s="173"/>
      <c r="X115" s="173"/>
      <c r="Y115" s="173"/>
      <c r="Z115" s="173"/>
    </row>
    <row r="116" spans="1:26" ht="11.25" customHeight="1">
      <c r="A116" s="173"/>
      <c r="B116" s="207"/>
      <c r="C116" s="208"/>
      <c r="D116" s="244"/>
      <c r="E116" s="173"/>
      <c r="F116" s="173"/>
      <c r="G116" s="173"/>
      <c r="H116" s="173"/>
      <c r="I116" s="173"/>
      <c r="J116" s="173"/>
      <c r="K116" s="173"/>
      <c r="L116" s="173"/>
      <c r="M116" s="173"/>
      <c r="N116" s="173"/>
      <c r="O116" s="173"/>
      <c r="P116" s="173"/>
      <c r="Q116" s="173"/>
      <c r="R116" s="173"/>
      <c r="S116" s="173"/>
      <c r="T116" s="173"/>
      <c r="U116" s="173"/>
      <c r="V116" s="173"/>
      <c r="W116" s="173"/>
      <c r="X116" s="173"/>
      <c r="Y116" s="173"/>
      <c r="Z116" s="173"/>
    </row>
    <row r="117" spans="1:26" ht="11.25" customHeight="1">
      <c r="A117" s="173"/>
      <c r="B117" s="207"/>
      <c r="C117" s="208"/>
      <c r="D117" s="244"/>
      <c r="E117" s="173"/>
      <c r="F117" s="173"/>
      <c r="G117" s="173"/>
      <c r="H117" s="173"/>
      <c r="I117" s="173"/>
      <c r="J117" s="173"/>
      <c r="K117" s="173"/>
      <c r="L117" s="173"/>
      <c r="M117" s="173"/>
      <c r="N117" s="173"/>
      <c r="O117" s="173"/>
      <c r="P117" s="173"/>
      <c r="Q117" s="173"/>
      <c r="R117" s="173"/>
      <c r="S117" s="173"/>
      <c r="T117" s="173"/>
      <c r="U117" s="173"/>
      <c r="V117" s="173"/>
      <c r="W117" s="173"/>
      <c r="X117" s="173"/>
      <c r="Y117" s="173"/>
      <c r="Z117" s="173"/>
    </row>
    <row r="118" spans="1:26" ht="11.25" customHeight="1">
      <c r="A118" s="173"/>
      <c r="B118" s="207"/>
      <c r="C118" s="208"/>
      <c r="D118" s="244"/>
      <c r="E118" s="173"/>
      <c r="F118" s="173"/>
      <c r="G118" s="173"/>
      <c r="H118" s="173"/>
      <c r="I118" s="173"/>
      <c r="J118" s="173"/>
      <c r="K118" s="173"/>
      <c r="L118" s="173"/>
      <c r="M118" s="173"/>
      <c r="N118" s="173"/>
      <c r="O118" s="173"/>
      <c r="P118" s="173"/>
      <c r="Q118" s="173"/>
      <c r="R118" s="173"/>
      <c r="S118" s="173"/>
      <c r="T118" s="173"/>
      <c r="U118" s="173"/>
      <c r="V118" s="173"/>
      <c r="W118" s="173"/>
      <c r="X118" s="173"/>
      <c r="Y118" s="173"/>
      <c r="Z118" s="173"/>
    </row>
    <row r="119" spans="1:26" ht="11.25" customHeight="1">
      <c r="A119" s="173"/>
      <c r="B119" s="207"/>
      <c r="C119" s="208"/>
      <c r="D119" s="244"/>
      <c r="E119" s="173"/>
      <c r="F119" s="173"/>
      <c r="G119" s="173"/>
      <c r="H119" s="173"/>
      <c r="I119" s="173"/>
      <c r="J119" s="173"/>
      <c r="K119" s="173"/>
      <c r="L119" s="173"/>
      <c r="M119" s="173"/>
      <c r="N119" s="173"/>
      <c r="O119" s="173"/>
      <c r="P119" s="173"/>
      <c r="Q119" s="173"/>
      <c r="R119" s="173"/>
      <c r="S119" s="173"/>
      <c r="T119" s="173"/>
      <c r="U119" s="173"/>
      <c r="V119" s="173"/>
      <c r="W119" s="173"/>
      <c r="X119" s="173"/>
      <c r="Y119" s="173"/>
      <c r="Z119" s="173"/>
    </row>
    <row r="120" spans="1:26" ht="11.25" customHeight="1">
      <c r="A120" s="173"/>
      <c r="B120" s="207"/>
      <c r="C120" s="208"/>
      <c r="D120" s="244"/>
      <c r="E120" s="173"/>
      <c r="F120" s="173"/>
      <c r="G120" s="173"/>
      <c r="H120" s="173"/>
      <c r="I120" s="173"/>
      <c r="J120" s="173"/>
      <c r="K120" s="173"/>
      <c r="L120" s="173"/>
      <c r="M120" s="173"/>
      <c r="N120" s="173"/>
      <c r="O120" s="173"/>
      <c r="P120" s="173"/>
      <c r="Q120" s="173"/>
      <c r="R120" s="173"/>
      <c r="S120" s="173"/>
      <c r="T120" s="173"/>
      <c r="U120" s="173"/>
      <c r="V120" s="173"/>
      <c r="W120" s="173"/>
      <c r="X120" s="173"/>
      <c r="Y120" s="173"/>
      <c r="Z120" s="173"/>
    </row>
    <row r="121" spans="1:26" ht="11.25" customHeight="1">
      <c r="A121" s="173"/>
      <c r="B121" s="207"/>
      <c r="C121" s="208"/>
      <c r="D121" s="244"/>
      <c r="E121" s="173"/>
      <c r="F121" s="173"/>
      <c r="G121" s="173"/>
      <c r="H121" s="173"/>
      <c r="I121" s="173"/>
      <c r="J121" s="173"/>
      <c r="K121" s="173"/>
      <c r="L121" s="173"/>
      <c r="M121" s="173"/>
      <c r="N121" s="173"/>
      <c r="O121" s="173"/>
      <c r="P121" s="173"/>
      <c r="Q121" s="173"/>
      <c r="R121" s="173"/>
      <c r="S121" s="173"/>
      <c r="T121" s="173"/>
      <c r="U121" s="173"/>
      <c r="V121" s="173"/>
      <c r="W121" s="173"/>
      <c r="X121" s="173"/>
      <c r="Y121" s="173"/>
      <c r="Z121" s="173"/>
    </row>
    <row r="122" spans="1:26" ht="11.25" customHeight="1">
      <c r="A122" s="173"/>
      <c r="B122" s="207"/>
      <c r="C122" s="208"/>
      <c r="D122" s="244"/>
      <c r="E122" s="173"/>
      <c r="F122" s="173"/>
      <c r="G122" s="173"/>
      <c r="H122" s="173"/>
      <c r="I122" s="173"/>
      <c r="J122" s="173"/>
      <c r="K122" s="173"/>
      <c r="L122" s="173"/>
      <c r="M122" s="173"/>
      <c r="N122" s="173"/>
      <c r="O122" s="173"/>
      <c r="P122" s="173"/>
      <c r="Q122" s="173"/>
      <c r="R122" s="173"/>
      <c r="S122" s="173"/>
      <c r="T122" s="173"/>
      <c r="U122" s="173"/>
      <c r="V122" s="173"/>
      <c r="W122" s="173"/>
      <c r="X122" s="173"/>
      <c r="Y122" s="173"/>
      <c r="Z122" s="173"/>
    </row>
    <row r="123" spans="1:26" ht="11.25" customHeight="1">
      <c r="A123" s="173"/>
      <c r="B123" s="207"/>
      <c r="C123" s="208"/>
      <c r="D123" s="244"/>
      <c r="E123" s="173"/>
      <c r="F123" s="173"/>
      <c r="G123" s="173"/>
      <c r="H123" s="173"/>
      <c r="I123" s="173"/>
      <c r="J123" s="173"/>
      <c r="K123" s="173"/>
      <c r="L123" s="173"/>
      <c r="M123" s="173"/>
      <c r="N123" s="173"/>
      <c r="O123" s="173"/>
      <c r="P123" s="173"/>
      <c r="Q123" s="173"/>
      <c r="R123" s="173"/>
      <c r="S123" s="173"/>
      <c r="T123" s="173"/>
      <c r="U123" s="173"/>
      <c r="V123" s="173"/>
      <c r="W123" s="173"/>
      <c r="X123" s="173"/>
      <c r="Y123" s="173"/>
      <c r="Z123" s="173"/>
    </row>
    <row r="124" spans="1:26" ht="11.25" customHeight="1">
      <c r="A124" s="173"/>
      <c r="B124" s="207"/>
      <c r="C124" s="208"/>
      <c r="D124" s="244"/>
      <c r="E124" s="173"/>
      <c r="F124" s="173"/>
      <c r="G124" s="173"/>
      <c r="H124" s="173"/>
      <c r="I124" s="173"/>
      <c r="J124" s="173"/>
      <c r="K124" s="173"/>
      <c r="L124" s="173"/>
      <c r="M124" s="173"/>
      <c r="N124" s="173"/>
      <c r="O124" s="173"/>
      <c r="P124" s="173"/>
      <c r="Q124" s="173"/>
      <c r="R124" s="173"/>
      <c r="S124" s="173"/>
      <c r="T124" s="173"/>
      <c r="U124" s="173"/>
      <c r="V124" s="173"/>
      <c r="W124" s="173"/>
      <c r="X124" s="173"/>
      <c r="Y124" s="173"/>
      <c r="Z124" s="173"/>
    </row>
    <row r="125" spans="1:26" ht="11.25" customHeight="1">
      <c r="A125" s="173"/>
      <c r="B125" s="207"/>
      <c r="C125" s="208"/>
      <c r="D125" s="244"/>
      <c r="E125" s="173"/>
      <c r="F125" s="173"/>
      <c r="G125" s="173"/>
      <c r="H125" s="173"/>
      <c r="I125" s="173"/>
      <c r="J125" s="173"/>
      <c r="K125" s="173"/>
      <c r="L125" s="173"/>
      <c r="M125" s="173"/>
      <c r="N125" s="173"/>
      <c r="O125" s="173"/>
      <c r="P125" s="173"/>
      <c r="Q125" s="173"/>
      <c r="R125" s="173"/>
      <c r="S125" s="173"/>
      <c r="T125" s="173"/>
      <c r="U125" s="173"/>
      <c r="V125" s="173"/>
      <c r="W125" s="173"/>
      <c r="X125" s="173"/>
      <c r="Y125" s="173"/>
      <c r="Z125" s="173"/>
    </row>
    <row r="126" spans="1:26" ht="11.25" customHeight="1">
      <c r="A126" s="173"/>
      <c r="B126" s="207"/>
      <c r="C126" s="208"/>
      <c r="D126" s="244"/>
      <c r="E126" s="173"/>
      <c r="F126" s="173"/>
      <c r="G126" s="173"/>
      <c r="H126" s="173"/>
      <c r="I126" s="173"/>
      <c r="J126" s="173"/>
      <c r="K126" s="173"/>
      <c r="L126" s="173"/>
      <c r="M126" s="173"/>
      <c r="N126" s="173"/>
      <c r="O126" s="173"/>
      <c r="P126" s="173"/>
      <c r="Q126" s="173"/>
      <c r="R126" s="173"/>
      <c r="S126" s="173"/>
      <c r="T126" s="173"/>
      <c r="U126" s="173"/>
      <c r="V126" s="173"/>
      <c r="W126" s="173"/>
      <c r="X126" s="173"/>
      <c r="Y126" s="173"/>
      <c r="Z126" s="173"/>
    </row>
    <row r="127" spans="1:26" ht="11.25" customHeight="1">
      <c r="A127" s="173"/>
      <c r="B127" s="207"/>
      <c r="C127" s="208"/>
      <c r="D127" s="244"/>
      <c r="E127" s="173"/>
      <c r="F127" s="173"/>
      <c r="G127" s="173"/>
      <c r="H127" s="173"/>
      <c r="I127" s="173"/>
      <c r="J127" s="173"/>
      <c r="K127" s="173"/>
      <c r="L127" s="173"/>
      <c r="M127" s="173"/>
      <c r="N127" s="173"/>
      <c r="O127" s="173"/>
      <c r="P127" s="173"/>
      <c r="Q127" s="173"/>
      <c r="R127" s="173"/>
      <c r="S127" s="173"/>
      <c r="T127" s="173"/>
      <c r="U127" s="173"/>
      <c r="V127" s="173"/>
      <c r="W127" s="173"/>
      <c r="X127" s="173"/>
      <c r="Y127" s="173"/>
      <c r="Z127" s="173"/>
    </row>
    <row r="128" spans="1:26" ht="11.25" customHeight="1">
      <c r="A128" s="173"/>
      <c r="B128" s="207"/>
      <c r="C128" s="208"/>
      <c r="D128" s="244"/>
      <c r="E128" s="173"/>
      <c r="F128" s="173"/>
      <c r="G128" s="173"/>
      <c r="H128" s="173"/>
      <c r="I128" s="173"/>
      <c r="J128" s="173"/>
      <c r="K128" s="173"/>
      <c r="L128" s="173"/>
      <c r="M128" s="173"/>
      <c r="N128" s="173"/>
      <c r="O128" s="173"/>
      <c r="P128" s="173"/>
      <c r="Q128" s="173"/>
      <c r="R128" s="173"/>
      <c r="S128" s="173"/>
      <c r="T128" s="173"/>
      <c r="U128" s="173"/>
      <c r="V128" s="173"/>
      <c r="W128" s="173"/>
      <c r="X128" s="173"/>
      <c r="Y128" s="173"/>
      <c r="Z128" s="173"/>
    </row>
    <row r="129" spans="1:26" ht="11.25" customHeight="1">
      <c r="A129" s="173"/>
      <c r="B129" s="207"/>
      <c r="C129" s="208"/>
      <c r="D129" s="244"/>
      <c r="E129" s="173"/>
      <c r="F129" s="173"/>
      <c r="G129" s="173"/>
      <c r="H129" s="173"/>
      <c r="I129" s="173"/>
      <c r="J129" s="173"/>
      <c r="K129" s="173"/>
      <c r="L129" s="173"/>
      <c r="M129" s="173"/>
      <c r="N129" s="173"/>
      <c r="O129" s="173"/>
      <c r="P129" s="173"/>
      <c r="Q129" s="173"/>
      <c r="R129" s="173"/>
      <c r="S129" s="173"/>
      <c r="T129" s="173"/>
      <c r="U129" s="173"/>
      <c r="V129" s="173"/>
      <c r="W129" s="173"/>
      <c r="X129" s="173"/>
      <c r="Y129" s="173"/>
      <c r="Z129" s="173"/>
    </row>
    <row r="130" spans="1:26" ht="11.25" customHeight="1">
      <c r="A130" s="173"/>
      <c r="B130" s="207"/>
      <c r="C130" s="208"/>
      <c r="D130" s="244"/>
      <c r="E130" s="173"/>
      <c r="F130" s="173"/>
      <c r="G130" s="173"/>
      <c r="H130" s="173"/>
      <c r="I130" s="173"/>
      <c r="J130" s="173"/>
      <c r="K130" s="173"/>
      <c r="L130" s="173"/>
      <c r="M130" s="173"/>
      <c r="N130" s="173"/>
      <c r="O130" s="173"/>
      <c r="P130" s="173"/>
      <c r="Q130" s="173"/>
      <c r="R130" s="173"/>
      <c r="S130" s="173"/>
      <c r="T130" s="173"/>
      <c r="U130" s="173"/>
      <c r="V130" s="173"/>
      <c r="W130" s="173"/>
      <c r="X130" s="173"/>
      <c r="Y130" s="173"/>
      <c r="Z130" s="173"/>
    </row>
    <row r="131" spans="1:26" ht="11.25" customHeight="1">
      <c r="A131" s="173"/>
      <c r="B131" s="207"/>
      <c r="C131" s="208"/>
      <c r="D131" s="244"/>
      <c r="E131" s="173"/>
      <c r="F131" s="173"/>
      <c r="G131" s="173"/>
      <c r="H131" s="173"/>
      <c r="I131" s="173"/>
      <c r="J131" s="173"/>
      <c r="K131" s="173"/>
      <c r="L131" s="173"/>
      <c r="M131" s="173"/>
      <c r="N131" s="173"/>
      <c r="O131" s="173"/>
      <c r="P131" s="173"/>
      <c r="Q131" s="173"/>
      <c r="R131" s="173"/>
      <c r="S131" s="173"/>
      <c r="T131" s="173"/>
      <c r="U131" s="173"/>
      <c r="V131" s="173"/>
      <c r="W131" s="173"/>
      <c r="X131" s="173"/>
      <c r="Y131" s="173"/>
      <c r="Z131" s="173"/>
    </row>
    <row r="132" spans="1:26" ht="11.25" customHeight="1">
      <c r="A132" s="173"/>
      <c r="B132" s="207"/>
      <c r="C132" s="208"/>
      <c r="D132" s="244"/>
      <c r="E132" s="173"/>
      <c r="F132" s="173"/>
      <c r="G132" s="173"/>
      <c r="H132" s="173"/>
      <c r="I132" s="173"/>
      <c r="J132" s="173"/>
      <c r="K132" s="173"/>
      <c r="L132" s="173"/>
      <c r="M132" s="173"/>
      <c r="N132" s="173"/>
      <c r="O132" s="173"/>
      <c r="P132" s="173"/>
      <c r="Q132" s="173"/>
      <c r="R132" s="173"/>
      <c r="S132" s="173"/>
      <c r="T132" s="173"/>
      <c r="U132" s="173"/>
      <c r="V132" s="173"/>
      <c r="W132" s="173"/>
      <c r="X132" s="173"/>
      <c r="Y132" s="173"/>
      <c r="Z132" s="173"/>
    </row>
    <row r="133" spans="1:26" ht="11.25" customHeight="1">
      <c r="A133" s="173"/>
      <c r="B133" s="207"/>
      <c r="C133" s="208"/>
      <c r="D133" s="244"/>
      <c r="E133" s="173"/>
      <c r="F133" s="173"/>
      <c r="G133" s="173"/>
      <c r="H133" s="173"/>
      <c r="I133" s="173"/>
      <c r="J133" s="173"/>
      <c r="K133" s="173"/>
      <c r="L133" s="173"/>
      <c r="M133" s="173"/>
      <c r="N133" s="173"/>
      <c r="O133" s="173"/>
      <c r="P133" s="173"/>
      <c r="Q133" s="173"/>
      <c r="R133" s="173"/>
      <c r="S133" s="173"/>
      <c r="T133" s="173"/>
      <c r="U133" s="173"/>
      <c r="V133" s="173"/>
      <c r="W133" s="173"/>
      <c r="X133" s="173"/>
      <c r="Y133" s="173"/>
      <c r="Z133" s="173"/>
    </row>
    <row r="134" spans="1:26" ht="11.25" customHeight="1">
      <c r="A134" s="173"/>
      <c r="B134" s="207"/>
      <c r="C134" s="208"/>
      <c r="D134" s="244"/>
      <c r="E134" s="173"/>
      <c r="F134" s="173"/>
      <c r="G134" s="173"/>
      <c r="H134" s="173"/>
      <c r="I134" s="173"/>
      <c r="J134" s="173"/>
      <c r="K134" s="173"/>
      <c r="L134" s="173"/>
      <c r="M134" s="173"/>
      <c r="N134" s="173"/>
      <c r="O134" s="173"/>
      <c r="P134" s="173"/>
      <c r="Q134" s="173"/>
      <c r="R134" s="173"/>
      <c r="S134" s="173"/>
      <c r="T134" s="173"/>
      <c r="U134" s="173"/>
      <c r="V134" s="173"/>
      <c r="W134" s="173"/>
      <c r="X134" s="173"/>
      <c r="Y134" s="173"/>
      <c r="Z134" s="173"/>
    </row>
    <row r="135" spans="1:26" ht="11.25" customHeight="1">
      <c r="A135" s="173"/>
      <c r="B135" s="207"/>
      <c r="C135" s="208"/>
      <c r="D135" s="244"/>
      <c r="E135" s="173"/>
      <c r="F135" s="173"/>
      <c r="G135" s="173"/>
      <c r="H135" s="173"/>
      <c r="I135" s="173"/>
      <c r="J135" s="173"/>
      <c r="K135" s="173"/>
      <c r="L135" s="173"/>
      <c r="M135" s="173"/>
      <c r="N135" s="173"/>
      <c r="O135" s="173"/>
      <c r="P135" s="173"/>
      <c r="Q135" s="173"/>
      <c r="R135" s="173"/>
      <c r="S135" s="173"/>
      <c r="T135" s="173"/>
      <c r="U135" s="173"/>
      <c r="V135" s="173"/>
      <c r="W135" s="173"/>
      <c r="X135" s="173"/>
      <c r="Y135" s="173"/>
      <c r="Z135" s="173"/>
    </row>
    <row r="136" spans="1:26" ht="11.25" customHeight="1">
      <c r="A136" s="173"/>
      <c r="B136" s="207"/>
      <c r="C136" s="208"/>
      <c r="D136" s="244"/>
      <c r="E136" s="173"/>
      <c r="F136" s="173"/>
      <c r="G136" s="173"/>
      <c r="H136" s="173"/>
      <c r="I136" s="173"/>
      <c r="J136" s="173"/>
      <c r="K136" s="173"/>
      <c r="L136" s="173"/>
      <c r="M136" s="173"/>
      <c r="N136" s="173"/>
      <c r="O136" s="173"/>
      <c r="P136" s="173"/>
      <c r="Q136" s="173"/>
      <c r="R136" s="173"/>
      <c r="S136" s="173"/>
      <c r="T136" s="173"/>
      <c r="U136" s="173"/>
      <c r="V136" s="173"/>
      <c r="W136" s="173"/>
      <c r="X136" s="173"/>
      <c r="Y136" s="173"/>
      <c r="Z136" s="173"/>
    </row>
    <row r="137" spans="1:26" ht="11.25" customHeight="1">
      <c r="A137" s="173"/>
      <c r="B137" s="207"/>
      <c r="C137" s="208"/>
      <c r="D137" s="244"/>
      <c r="E137" s="173"/>
      <c r="F137" s="173"/>
      <c r="G137" s="173"/>
      <c r="H137" s="173"/>
      <c r="I137" s="173"/>
      <c r="J137" s="173"/>
      <c r="K137" s="173"/>
      <c r="L137" s="173"/>
      <c r="M137" s="173"/>
      <c r="N137" s="173"/>
      <c r="O137" s="173"/>
      <c r="P137" s="173"/>
      <c r="Q137" s="173"/>
      <c r="R137" s="173"/>
      <c r="S137" s="173"/>
      <c r="T137" s="173"/>
      <c r="U137" s="173"/>
      <c r="V137" s="173"/>
      <c r="W137" s="173"/>
      <c r="X137" s="173"/>
      <c r="Y137" s="173"/>
      <c r="Z137" s="173"/>
    </row>
    <row r="138" spans="1:26" ht="11.25" customHeight="1">
      <c r="A138" s="173"/>
      <c r="B138" s="207"/>
      <c r="C138" s="208"/>
      <c r="D138" s="244"/>
      <c r="E138" s="173"/>
      <c r="F138" s="173"/>
      <c r="G138" s="173"/>
      <c r="H138" s="173"/>
      <c r="I138" s="173"/>
      <c r="J138" s="173"/>
      <c r="K138" s="173"/>
      <c r="L138" s="173"/>
      <c r="M138" s="173"/>
      <c r="N138" s="173"/>
      <c r="O138" s="173"/>
      <c r="P138" s="173"/>
      <c r="Q138" s="173"/>
      <c r="R138" s="173"/>
      <c r="S138" s="173"/>
      <c r="T138" s="173"/>
      <c r="U138" s="173"/>
      <c r="V138" s="173"/>
      <c r="W138" s="173"/>
      <c r="X138" s="173"/>
      <c r="Y138" s="173"/>
      <c r="Z138" s="173"/>
    </row>
    <row r="139" spans="1:26" ht="11.25" customHeight="1">
      <c r="A139" s="173"/>
      <c r="B139" s="207"/>
      <c r="C139" s="208"/>
      <c r="D139" s="244"/>
      <c r="E139" s="173"/>
      <c r="F139" s="173"/>
      <c r="G139" s="173"/>
      <c r="H139" s="173"/>
      <c r="I139" s="173"/>
      <c r="J139" s="173"/>
      <c r="K139" s="173"/>
      <c r="L139" s="173"/>
      <c r="M139" s="173"/>
      <c r="N139" s="173"/>
      <c r="O139" s="173"/>
      <c r="P139" s="173"/>
      <c r="Q139" s="173"/>
      <c r="R139" s="173"/>
      <c r="S139" s="173"/>
      <c r="T139" s="173"/>
      <c r="U139" s="173"/>
      <c r="V139" s="173"/>
      <c r="W139" s="173"/>
      <c r="X139" s="173"/>
      <c r="Y139" s="173"/>
      <c r="Z139" s="173"/>
    </row>
    <row r="140" spans="1:26" ht="11.25" customHeight="1">
      <c r="A140" s="173"/>
      <c r="B140" s="207"/>
      <c r="C140" s="208"/>
      <c r="D140" s="244"/>
      <c r="E140" s="173"/>
      <c r="F140" s="173"/>
      <c r="G140" s="173"/>
      <c r="H140" s="173"/>
      <c r="I140" s="173"/>
      <c r="J140" s="173"/>
      <c r="K140" s="173"/>
      <c r="L140" s="173"/>
      <c r="M140" s="173"/>
      <c r="N140" s="173"/>
      <c r="O140" s="173"/>
      <c r="P140" s="173"/>
      <c r="Q140" s="173"/>
      <c r="R140" s="173"/>
      <c r="S140" s="173"/>
      <c r="T140" s="173"/>
      <c r="U140" s="173"/>
      <c r="V140" s="173"/>
      <c r="W140" s="173"/>
      <c r="X140" s="173"/>
      <c r="Y140" s="173"/>
      <c r="Z140" s="173"/>
    </row>
    <row r="141" spans="1:26" ht="11.25" customHeight="1">
      <c r="A141" s="173"/>
      <c r="B141" s="207"/>
      <c r="C141" s="208"/>
      <c r="D141" s="244"/>
      <c r="E141" s="173"/>
      <c r="F141" s="173"/>
      <c r="G141" s="173"/>
      <c r="H141" s="173"/>
      <c r="I141" s="173"/>
      <c r="J141" s="173"/>
      <c r="K141" s="173"/>
      <c r="L141" s="173"/>
      <c r="M141" s="173"/>
      <c r="N141" s="173"/>
      <c r="O141" s="173"/>
      <c r="P141" s="173"/>
      <c r="Q141" s="173"/>
      <c r="R141" s="173"/>
      <c r="S141" s="173"/>
      <c r="T141" s="173"/>
      <c r="U141" s="173"/>
      <c r="V141" s="173"/>
      <c r="W141" s="173"/>
      <c r="X141" s="173"/>
      <c r="Y141" s="173"/>
      <c r="Z141" s="173"/>
    </row>
    <row r="142" spans="1:26" ht="11.25" customHeight="1">
      <c r="A142" s="173"/>
      <c r="B142" s="207"/>
      <c r="C142" s="208"/>
      <c r="D142" s="244"/>
      <c r="E142" s="173"/>
      <c r="F142" s="173"/>
      <c r="G142" s="173"/>
      <c r="H142" s="173"/>
      <c r="I142" s="173"/>
      <c r="J142" s="173"/>
      <c r="K142" s="173"/>
      <c r="L142" s="173"/>
      <c r="M142" s="173"/>
      <c r="N142" s="173"/>
      <c r="O142" s="173"/>
      <c r="P142" s="173"/>
      <c r="Q142" s="173"/>
      <c r="R142" s="173"/>
      <c r="S142" s="173"/>
      <c r="T142" s="173"/>
      <c r="U142" s="173"/>
      <c r="V142" s="173"/>
      <c r="W142" s="173"/>
      <c r="X142" s="173"/>
      <c r="Y142" s="173"/>
      <c r="Z142" s="173"/>
    </row>
    <row r="143" spans="1:26" ht="11.25" customHeight="1">
      <c r="A143" s="173"/>
      <c r="B143" s="207"/>
      <c r="C143" s="208"/>
      <c r="D143" s="244"/>
      <c r="E143" s="173"/>
      <c r="F143" s="173"/>
      <c r="G143" s="173"/>
      <c r="H143" s="173"/>
      <c r="I143" s="173"/>
      <c r="J143" s="173"/>
      <c r="K143" s="173"/>
      <c r="L143" s="173"/>
      <c r="M143" s="173"/>
      <c r="N143" s="173"/>
      <c r="O143" s="173"/>
      <c r="P143" s="173"/>
      <c r="Q143" s="173"/>
      <c r="R143" s="173"/>
      <c r="S143" s="173"/>
      <c r="T143" s="173"/>
      <c r="U143" s="173"/>
      <c r="V143" s="173"/>
      <c r="W143" s="173"/>
      <c r="X143" s="173"/>
      <c r="Y143" s="173"/>
      <c r="Z143" s="173"/>
    </row>
    <row r="144" spans="1:26" ht="11.25" customHeight="1">
      <c r="A144" s="173"/>
      <c r="B144" s="207"/>
      <c r="C144" s="208"/>
      <c r="D144" s="244"/>
      <c r="E144" s="173"/>
      <c r="F144" s="173"/>
      <c r="G144" s="173"/>
      <c r="H144" s="173"/>
      <c r="I144" s="173"/>
      <c r="J144" s="173"/>
      <c r="K144" s="173"/>
      <c r="L144" s="173"/>
      <c r="M144" s="173"/>
      <c r="N144" s="173"/>
      <c r="O144" s="173"/>
      <c r="P144" s="173"/>
      <c r="Q144" s="173"/>
      <c r="R144" s="173"/>
      <c r="S144" s="173"/>
      <c r="T144" s="173"/>
      <c r="U144" s="173"/>
      <c r="V144" s="173"/>
      <c r="W144" s="173"/>
      <c r="X144" s="173"/>
      <c r="Y144" s="173"/>
      <c r="Z144" s="173"/>
    </row>
    <row r="145" spans="1:26" ht="11.25" customHeight="1">
      <c r="A145" s="173"/>
      <c r="B145" s="207"/>
      <c r="C145" s="208"/>
      <c r="D145" s="244"/>
      <c r="E145" s="173"/>
      <c r="F145" s="173"/>
      <c r="G145" s="173"/>
      <c r="H145" s="173"/>
      <c r="I145" s="173"/>
      <c r="J145" s="173"/>
      <c r="K145" s="173"/>
      <c r="L145" s="173"/>
      <c r="M145" s="173"/>
      <c r="N145" s="173"/>
      <c r="O145" s="173"/>
      <c r="P145" s="173"/>
      <c r="Q145" s="173"/>
      <c r="R145" s="173"/>
      <c r="S145" s="173"/>
      <c r="T145" s="173"/>
      <c r="U145" s="173"/>
      <c r="V145" s="173"/>
      <c r="W145" s="173"/>
      <c r="X145" s="173"/>
      <c r="Y145" s="173"/>
      <c r="Z145" s="173"/>
    </row>
    <row r="146" spans="1:26" ht="11.25" customHeight="1">
      <c r="A146" s="173"/>
      <c r="B146" s="207"/>
      <c r="C146" s="208"/>
      <c r="D146" s="244"/>
      <c r="E146" s="173"/>
      <c r="F146" s="173"/>
      <c r="G146" s="173"/>
      <c r="H146" s="173"/>
      <c r="I146" s="173"/>
      <c r="J146" s="173"/>
      <c r="K146" s="173"/>
      <c r="L146" s="173"/>
      <c r="M146" s="173"/>
      <c r="N146" s="173"/>
      <c r="O146" s="173"/>
      <c r="P146" s="173"/>
      <c r="Q146" s="173"/>
      <c r="R146" s="173"/>
      <c r="S146" s="173"/>
      <c r="T146" s="173"/>
      <c r="U146" s="173"/>
      <c r="V146" s="173"/>
      <c r="W146" s="173"/>
      <c r="X146" s="173"/>
      <c r="Y146" s="173"/>
      <c r="Z146" s="173"/>
    </row>
    <row r="147" spans="1:26" ht="11.25" customHeight="1">
      <c r="A147" s="173"/>
      <c r="B147" s="207"/>
      <c r="C147" s="208"/>
      <c r="D147" s="244"/>
      <c r="E147" s="173"/>
      <c r="F147" s="173"/>
      <c r="G147" s="173"/>
      <c r="H147" s="173"/>
      <c r="I147" s="173"/>
      <c r="J147" s="173"/>
      <c r="K147" s="173"/>
      <c r="L147" s="173"/>
      <c r="M147" s="173"/>
      <c r="N147" s="173"/>
      <c r="O147" s="173"/>
      <c r="P147" s="173"/>
      <c r="Q147" s="173"/>
      <c r="R147" s="173"/>
      <c r="S147" s="173"/>
      <c r="T147" s="173"/>
      <c r="U147" s="173"/>
      <c r="V147" s="173"/>
      <c r="W147" s="173"/>
      <c r="X147" s="173"/>
      <c r="Y147" s="173"/>
      <c r="Z147" s="173"/>
    </row>
    <row r="148" spans="1:26" ht="11.25" customHeight="1">
      <c r="A148" s="173"/>
      <c r="B148" s="207"/>
      <c r="C148" s="208"/>
      <c r="D148" s="244"/>
      <c r="E148" s="173"/>
      <c r="F148" s="173"/>
      <c r="G148" s="173"/>
      <c r="H148" s="173"/>
      <c r="I148" s="173"/>
      <c r="J148" s="173"/>
      <c r="K148" s="173"/>
      <c r="L148" s="173"/>
      <c r="M148" s="173"/>
      <c r="N148" s="173"/>
      <c r="O148" s="173"/>
      <c r="P148" s="173"/>
      <c r="Q148" s="173"/>
      <c r="R148" s="173"/>
      <c r="S148" s="173"/>
      <c r="T148" s="173"/>
      <c r="U148" s="173"/>
      <c r="V148" s="173"/>
      <c r="W148" s="173"/>
      <c r="X148" s="173"/>
      <c r="Y148" s="173"/>
      <c r="Z148" s="173"/>
    </row>
    <row r="149" spans="1:26" ht="11.25" customHeight="1">
      <c r="A149" s="173"/>
      <c r="B149" s="207"/>
      <c r="C149" s="208"/>
      <c r="D149" s="244"/>
      <c r="E149" s="173"/>
      <c r="F149" s="173"/>
      <c r="G149" s="173"/>
      <c r="H149" s="173"/>
      <c r="I149" s="173"/>
      <c r="J149" s="173"/>
      <c r="K149" s="173"/>
      <c r="L149" s="173"/>
      <c r="M149" s="173"/>
      <c r="N149" s="173"/>
      <c r="O149" s="173"/>
      <c r="P149" s="173"/>
      <c r="Q149" s="173"/>
      <c r="R149" s="173"/>
      <c r="S149" s="173"/>
      <c r="T149" s="173"/>
      <c r="U149" s="173"/>
      <c r="V149" s="173"/>
      <c r="W149" s="173"/>
      <c r="X149" s="173"/>
      <c r="Y149" s="173"/>
      <c r="Z149" s="173"/>
    </row>
    <row r="150" spans="1:26" ht="11.25" customHeight="1">
      <c r="A150" s="173"/>
      <c r="B150" s="207"/>
      <c r="C150" s="208"/>
      <c r="D150" s="244"/>
      <c r="E150" s="173"/>
      <c r="F150" s="173"/>
      <c r="G150" s="173"/>
      <c r="H150" s="173"/>
      <c r="I150" s="173"/>
      <c r="J150" s="173"/>
      <c r="K150" s="173"/>
      <c r="L150" s="173"/>
      <c r="M150" s="173"/>
      <c r="N150" s="173"/>
      <c r="O150" s="173"/>
      <c r="P150" s="173"/>
      <c r="Q150" s="173"/>
      <c r="R150" s="173"/>
      <c r="S150" s="173"/>
      <c r="T150" s="173"/>
      <c r="U150" s="173"/>
      <c r="V150" s="173"/>
      <c r="W150" s="173"/>
      <c r="X150" s="173"/>
      <c r="Y150" s="173"/>
      <c r="Z150" s="173"/>
    </row>
    <row r="151" spans="1:26" ht="11.25" customHeight="1">
      <c r="A151" s="173"/>
      <c r="B151" s="207"/>
      <c r="C151" s="208"/>
      <c r="D151" s="244"/>
      <c r="E151" s="173"/>
      <c r="F151" s="173"/>
      <c r="G151" s="173"/>
      <c r="H151" s="173"/>
      <c r="I151" s="173"/>
      <c r="J151" s="173"/>
      <c r="K151" s="173"/>
      <c r="L151" s="173"/>
      <c r="M151" s="173"/>
      <c r="N151" s="173"/>
      <c r="O151" s="173"/>
      <c r="P151" s="173"/>
      <c r="Q151" s="173"/>
      <c r="R151" s="173"/>
      <c r="S151" s="173"/>
      <c r="T151" s="173"/>
      <c r="U151" s="173"/>
      <c r="V151" s="173"/>
      <c r="W151" s="173"/>
      <c r="X151" s="173"/>
      <c r="Y151" s="173"/>
      <c r="Z151" s="173"/>
    </row>
    <row r="152" spans="1:26" ht="11.25" customHeight="1">
      <c r="A152" s="173"/>
      <c r="B152" s="207"/>
      <c r="C152" s="208"/>
      <c r="D152" s="244"/>
      <c r="E152" s="173"/>
      <c r="F152" s="173"/>
      <c r="G152" s="173"/>
      <c r="H152" s="173"/>
      <c r="I152" s="173"/>
      <c r="J152" s="173"/>
      <c r="K152" s="173"/>
      <c r="L152" s="173"/>
      <c r="M152" s="173"/>
      <c r="N152" s="173"/>
      <c r="O152" s="173"/>
      <c r="P152" s="173"/>
      <c r="Q152" s="173"/>
      <c r="R152" s="173"/>
      <c r="S152" s="173"/>
      <c r="T152" s="173"/>
      <c r="U152" s="173"/>
      <c r="V152" s="173"/>
      <c r="W152" s="173"/>
      <c r="X152" s="173"/>
      <c r="Y152" s="173"/>
      <c r="Z152" s="173"/>
    </row>
    <row r="153" spans="1:26" ht="11.25" customHeight="1">
      <c r="A153" s="173"/>
      <c r="B153" s="207"/>
      <c r="C153" s="208"/>
      <c r="D153" s="244"/>
      <c r="E153" s="173"/>
      <c r="F153" s="173"/>
      <c r="G153" s="173"/>
      <c r="H153" s="173"/>
      <c r="I153" s="173"/>
      <c r="J153" s="173"/>
      <c r="K153" s="173"/>
      <c r="L153" s="173"/>
      <c r="M153" s="173"/>
      <c r="N153" s="173"/>
      <c r="O153" s="173"/>
      <c r="P153" s="173"/>
      <c r="Q153" s="173"/>
      <c r="R153" s="173"/>
      <c r="S153" s="173"/>
      <c r="T153" s="173"/>
      <c r="U153" s="173"/>
      <c r="V153" s="173"/>
      <c r="W153" s="173"/>
      <c r="X153" s="173"/>
      <c r="Y153" s="173"/>
      <c r="Z153" s="173"/>
    </row>
    <row r="154" spans="1:26" ht="11.25" customHeight="1">
      <c r="A154" s="173"/>
      <c r="B154" s="207"/>
      <c r="C154" s="208"/>
      <c r="D154" s="244"/>
      <c r="E154" s="173"/>
      <c r="F154" s="173"/>
      <c r="G154" s="173"/>
      <c r="H154" s="173"/>
      <c r="I154" s="173"/>
      <c r="J154" s="173"/>
      <c r="K154" s="173"/>
      <c r="L154" s="173"/>
      <c r="M154" s="173"/>
      <c r="N154" s="173"/>
      <c r="O154" s="173"/>
      <c r="P154" s="173"/>
      <c r="Q154" s="173"/>
      <c r="R154" s="173"/>
      <c r="S154" s="173"/>
      <c r="T154" s="173"/>
      <c r="U154" s="173"/>
      <c r="V154" s="173"/>
      <c r="W154" s="173"/>
      <c r="X154" s="173"/>
      <c r="Y154" s="173"/>
      <c r="Z154" s="173"/>
    </row>
    <row r="155" spans="1:26" ht="11.25" customHeight="1">
      <c r="A155" s="173"/>
      <c r="B155" s="207"/>
      <c r="C155" s="208"/>
      <c r="D155" s="244"/>
      <c r="E155" s="173"/>
      <c r="F155" s="173"/>
      <c r="G155" s="173"/>
      <c r="H155" s="173"/>
      <c r="I155" s="173"/>
      <c r="J155" s="173"/>
      <c r="K155" s="173"/>
      <c r="L155" s="173"/>
      <c r="M155" s="173"/>
      <c r="N155" s="173"/>
      <c r="O155" s="173"/>
      <c r="P155" s="173"/>
      <c r="Q155" s="173"/>
      <c r="R155" s="173"/>
      <c r="S155" s="173"/>
      <c r="T155" s="173"/>
      <c r="U155" s="173"/>
      <c r="V155" s="173"/>
      <c r="W155" s="173"/>
      <c r="X155" s="173"/>
      <c r="Y155" s="173"/>
      <c r="Z155" s="173"/>
    </row>
    <row r="156" spans="1:26" ht="11.25" customHeight="1">
      <c r="A156" s="173"/>
      <c r="B156" s="207"/>
      <c r="C156" s="208"/>
      <c r="D156" s="244"/>
      <c r="E156" s="173"/>
      <c r="F156" s="173"/>
      <c r="G156" s="173"/>
      <c r="H156" s="173"/>
      <c r="I156" s="173"/>
      <c r="J156" s="173"/>
      <c r="K156" s="173"/>
      <c r="L156" s="173"/>
      <c r="M156" s="173"/>
      <c r="N156" s="173"/>
      <c r="O156" s="173"/>
      <c r="P156" s="173"/>
      <c r="Q156" s="173"/>
      <c r="R156" s="173"/>
      <c r="S156" s="173"/>
      <c r="T156" s="173"/>
      <c r="U156" s="173"/>
      <c r="V156" s="173"/>
      <c r="W156" s="173"/>
      <c r="X156" s="173"/>
      <c r="Y156" s="173"/>
      <c r="Z156" s="173"/>
    </row>
    <row r="157" spans="1:26" ht="11.25" customHeight="1">
      <c r="A157" s="173"/>
      <c r="B157" s="207"/>
      <c r="C157" s="208"/>
      <c r="D157" s="244"/>
      <c r="E157" s="173"/>
      <c r="F157" s="173"/>
      <c r="G157" s="173"/>
      <c r="H157" s="173"/>
      <c r="I157" s="173"/>
      <c r="J157" s="173"/>
      <c r="K157" s="173"/>
      <c r="L157" s="173"/>
      <c r="M157" s="173"/>
      <c r="N157" s="173"/>
      <c r="O157" s="173"/>
      <c r="P157" s="173"/>
      <c r="Q157" s="173"/>
      <c r="R157" s="173"/>
      <c r="S157" s="173"/>
      <c r="T157" s="173"/>
      <c r="U157" s="173"/>
      <c r="V157" s="173"/>
      <c r="W157" s="173"/>
      <c r="X157" s="173"/>
      <c r="Y157" s="173"/>
      <c r="Z157" s="173"/>
    </row>
    <row r="158" spans="1:26" ht="11.25" customHeight="1">
      <c r="A158" s="173"/>
      <c r="B158" s="207"/>
      <c r="C158" s="208"/>
      <c r="D158" s="244"/>
      <c r="E158" s="173"/>
      <c r="F158" s="173"/>
      <c r="G158" s="173"/>
      <c r="H158" s="173"/>
      <c r="I158" s="173"/>
      <c r="J158" s="173"/>
      <c r="K158" s="173"/>
      <c r="L158" s="173"/>
      <c r="M158" s="173"/>
      <c r="N158" s="173"/>
      <c r="O158" s="173"/>
      <c r="P158" s="173"/>
      <c r="Q158" s="173"/>
      <c r="R158" s="173"/>
      <c r="S158" s="173"/>
      <c r="T158" s="173"/>
      <c r="U158" s="173"/>
      <c r="V158" s="173"/>
      <c r="W158" s="173"/>
      <c r="X158" s="173"/>
      <c r="Y158" s="173"/>
      <c r="Z158" s="173"/>
    </row>
    <row r="159" spans="1:26" ht="11.25" customHeight="1">
      <c r="A159" s="173"/>
      <c r="B159" s="207"/>
      <c r="C159" s="208"/>
      <c r="D159" s="244"/>
      <c r="E159" s="173"/>
      <c r="F159" s="173"/>
      <c r="G159" s="173"/>
      <c r="H159" s="173"/>
      <c r="I159" s="173"/>
      <c r="J159" s="173"/>
      <c r="K159" s="173"/>
      <c r="L159" s="173"/>
      <c r="M159" s="173"/>
      <c r="N159" s="173"/>
      <c r="O159" s="173"/>
      <c r="P159" s="173"/>
      <c r="Q159" s="173"/>
      <c r="R159" s="173"/>
      <c r="S159" s="173"/>
      <c r="T159" s="173"/>
      <c r="U159" s="173"/>
      <c r="V159" s="173"/>
      <c r="W159" s="173"/>
      <c r="X159" s="173"/>
      <c r="Y159" s="173"/>
      <c r="Z159" s="173"/>
    </row>
    <row r="160" spans="1:26" ht="11.25" customHeight="1">
      <c r="A160" s="173"/>
      <c r="B160" s="207"/>
      <c r="C160" s="208"/>
      <c r="D160" s="244"/>
      <c r="E160" s="173"/>
      <c r="F160" s="173"/>
      <c r="G160" s="173"/>
      <c r="H160" s="173"/>
      <c r="I160" s="173"/>
      <c r="J160" s="173"/>
      <c r="K160" s="173"/>
      <c r="L160" s="173"/>
      <c r="M160" s="173"/>
      <c r="N160" s="173"/>
      <c r="O160" s="173"/>
      <c r="P160" s="173"/>
      <c r="Q160" s="173"/>
      <c r="R160" s="173"/>
      <c r="S160" s="173"/>
      <c r="T160" s="173"/>
      <c r="U160" s="173"/>
      <c r="V160" s="173"/>
      <c r="W160" s="173"/>
      <c r="X160" s="173"/>
      <c r="Y160" s="173"/>
      <c r="Z160" s="173"/>
    </row>
    <row r="161" spans="1:26" ht="11.25" customHeight="1">
      <c r="A161" s="173"/>
      <c r="B161" s="207"/>
      <c r="C161" s="208"/>
      <c r="D161" s="244"/>
      <c r="E161" s="173"/>
      <c r="F161" s="173"/>
      <c r="G161" s="173"/>
      <c r="H161" s="173"/>
      <c r="I161" s="173"/>
      <c r="J161" s="173"/>
      <c r="K161" s="173"/>
      <c r="L161" s="173"/>
      <c r="M161" s="173"/>
      <c r="N161" s="173"/>
      <c r="O161" s="173"/>
      <c r="P161" s="173"/>
      <c r="Q161" s="173"/>
      <c r="R161" s="173"/>
      <c r="S161" s="173"/>
      <c r="T161" s="173"/>
      <c r="U161" s="173"/>
      <c r="V161" s="173"/>
      <c r="W161" s="173"/>
      <c r="X161" s="173"/>
      <c r="Y161" s="173"/>
      <c r="Z161" s="173"/>
    </row>
    <row r="162" spans="1:26" ht="11.25" customHeight="1">
      <c r="A162" s="173"/>
      <c r="B162" s="207"/>
      <c r="C162" s="208"/>
      <c r="D162" s="244"/>
      <c r="E162" s="173"/>
      <c r="F162" s="173"/>
      <c r="G162" s="173"/>
      <c r="H162" s="173"/>
      <c r="I162" s="173"/>
      <c r="J162" s="173"/>
      <c r="K162" s="173"/>
      <c r="L162" s="173"/>
      <c r="M162" s="173"/>
      <c r="N162" s="173"/>
      <c r="O162" s="173"/>
      <c r="P162" s="173"/>
      <c r="Q162" s="173"/>
      <c r="R162" s="173"/>
      <c r="S162" s="173"/>
      <c r="T162" s="173"/>
      <c r="U162" s="173"/>
      <c r="V162" s="173"/>
      <c r="W162" s="173"/>
      <c r="X162" s="173"/>
      <c r="Y162" s="173"/>
      <c r="Z162" s="173"/>
    </row>
    <row r="163" spans="1:26" ht="11.25" customHeight="1">
      <c r="A163" s="173"/>
      <c r="B163" s="207"/>
      <c r="C163" s="208"/>
      <c r="D163" s="244"/>
      <c r="E163" s="173"/>
      <c r="F163" s="173"/>
      <c r="G163" s="173"/>
      <c r="H163" s="173"/>
      <c r="I163" s="173"/>
      <c r="J163" s="173"/>
      <c r="K163" s="173"/>
      <c r="L163" s="173"/>
      <c r="M163" s="173"/>
      <c r="N163" s="173"/>
      <c r="O163" s="173"/>
      <c r="P163" s="173"/>
      <c r="Q163" s="173"/>
      <c r="R163" s="173"/>
      <c r="S163" s="173"/>
      <c r="T163" s="173"/>
      <c r="U163" s="173"/>
      <c r="V163" s="173"/>
      <c r="W163" s="173"/>
      <c r="X163" s="173"/>
      <c r="Y163" s="173"/>
      <c r="Z163" s="173"/>
    </row>
    <row r="164" spans="1:26" ht="11.25" customHeight="1">
      <c r="A164" s="173"/>
      <c r="B164" s="207"/>
      <c r="C164" s="208"/>
      <c r="D164" s="244"/>
      <c r="E164" s="173"/>
      <c r="F164" s="173"/>
      <c r="G164" s="173"/>
      <c r="H164" s="173"/>
      <c r="I164" s="173"/>
      <c r="J164" s="173"/>
      <c r="K164" s="173"/>
      <c r="L164" s="173"/>
      <c r="M164" s="173"/>
      <c r="N164" s="173"/>
      <c r="O164" s="173"/>
      <c r="P164" s="173"/>
      <c r="Q164" s="173"/>
      <c r="R164" s="173"/>
      <c r="S164" s="173"/>
      <c r="T164" s="173"/>
      <c r="U164" s="173"/>
      <c r="V164" s="173"/>
      <c r="W164" s="173"/>
      <c r="X164" s="173"/>
      <c r="Y164" s="173"/>
      <c r="Z164" s="173"/>
    </row>
    <row r="165" spans="1:26" ht="11.25" customHeight="1">
      <c r="A165" s="173"/>
      <c r="B165" s="207"/>
      <c r="C165" s="208"/>
      <c r="D165" s="244"/>
      <c r="E165" s="173"/>
      <c r="F165" s="173"/>
      <c r="G165" s="173"/>
      <c r="H165" s="173"/>
      <c r="I165" s="173"/>
      <c r="J165" s="173"/>
      <c r="K165" s="173"/>
      <c r="L165" s="173"/>
      <c r="M165" s="173"/>
      <c r="N165" s="173"/>
      <c r="O165" s="173"/>
      <c r="P165" s="173"/>
      <c r="Q165" s="173"/>
      <c r="R165" s="173"/>
      <c r="S165" s="173"/>
      <c r="T165" s="173"/>
      <c r="U165" s="173"/>
      <c r="V165" s="173"/>
      <c r="W165" s="173"/>
      <c r="X165" s="173"/>
      <c r="Y165" s="173"/>
      <c r="Z165" s="173"/>
    </row>
    <row r="166" spans="1:26" ht="11.25" customHeight="1">
      <c r="A166" s="173"/>
      <c r="B166" s="207"/>
      <c r="C166" s="208"/>
      <c r="D166" s="244"/>
      <c r="E166" s="173"/>
      <c r="F166" s="173"/>
      <c r="G166" s="173"/>
      <c r="H166" s="173"/>
      <c r="I166" s="173"/>
      <c r="J166" s="173"/>
      <c r="K166" s="173"/>
      <c r="L166" s="173"/>
      <c r="M166" s="173"/>
      <c r="N166" s="173"/>
      <c r="O166" s="173"/>
      <c r="P166" s="173"/>
      <c r="Q166" s="173"/>
      <c r="R166" s="173"/>
      <c r="S166" s="173"/>
      <c r="T166" s="173"/>
      <c r="U166" s="173"/>
      <c r="V166" s="173"/>
      <c r="W166" s="173"/>
      <c r="X166" s="173"/>
      <c r="Y166" s="173"/>
      <c r="Z166" s="173"/>
    </row>
    <row r="167" spans="1:26" ht="11.25" customHeight="1">
      <c r="A167" s="173"/>
      <c r="B167" s="207"/>
      <c r="C167" s="208"/>
      <c r="D167" s="244"/>
      <c r="E167" s="173"/>
      <c r="F167" s="173"/>
      <c r="G167" s="173"/>
      <c r="H167" s="173"/>
      <c r="I167" s="173"/>
      <c r="J167" s="173"/>
      <c r="K167" s="173"/>
      <c r="L167" s="173"/>
      <c r="M167" s="173"/>
      <c r="N167" s="173"/>
      <c r="O167" s="173"/>
      <c r="P167" s="173"/>
      <c r="Q167" s="173"/>
      <c r="R167" s="173"/>
      <c r="S167" s="173"/>
      <c r="T167" s="173"/>
      <c r="U167" s="173"/>
      <c r="V167" s="173"/>
      <c r="W167" s="173"/>
      <c r="X167" s="173"/>
      <c r="Y167" s="173"/>
      <c r="Z167" s="173"/>
    </row>
    <row r="168" spans="1:26" ht="11.25" customHeight="1">
      <c r="A168" s="173"/>
      <c r="B168" s="207"/>
      <c r="C168" s="208"/>
      <c r="D168" s="244"/>
      <c r="E168" s="173"/>
      <c r="F168" s="173"/>
      <c r="G168" s="173"/>
      <c r="H168" s="173"/>
      <c r="I168" s="173"/>
      <c r="J168" s="173"/>
      <c r="K168" s="173"/>
      <c r="L168" s="173"/>
      <c r="M168" s="173"/>
      <c r="N168" s="173"/>
      <c r="O168" s="173"/>
      <c r="P168" s="173"/>
      <c r="Q168" s="173"/>
      <c r="R168" s="173"/>
      <c r="S168" s="173"/>
      <c r="T168" s="173"/>
      <c r="U168" s="173"/>
      <c r="V168" s="173"/>
      <c r="W168" s="173"/>
      <c r="X168" s="173"/>
      <c r="Y168" s="173"/>
      <c r="Z168" s="173"/>
    </row>
    <row r="169" spans="1:26" ht="11.25" customHeight="1">
      <c r="A169" s="173"/>
      <c r="B169" s="207"/>
      <c r="C169" s="208"/>
      <c r="D169" s="244"/>
      <c r="E169" s="173"/>
      <c r="F169" s="173"/>
      <c r="G169" s="173"/>
      <c r="H169" s="173"/>
      <c r="I169" s="173"/>
      <c r="J169" s="173"/>
      <c r="K169" s="173"/>
      <c r="L169" s="173"/>
      <c r="M169" s="173"/>
      <c r="N169" s="173"/>
      <c r="O169" s="173"/>
      <c r="P169" s="173"/>
      <c r="Q169" s="173"/>
      <c r="R169" s="173"/>
      <c r="S169" s="173"/>
      <c r="T169" s="173"/>
      <c r="U169" s="173"/>
      <c r="V169" s="173"/>
      <c r="W169" s="173"/>
      <c r="X169" s="173"/>
      <c r="Y169" s="173"/>
      <c r="Z169" s="173"/>
    </row>
    <row r="170" spans="1:26" ht="11.25" customHeight="1">
      <c r="A170" s="173"/>
      <c r="B170" s="207"/>
      <c r="C170" s="208"/>
      <c r="D170" s="244"/>
      <c r="E170" s="173"/>
      <c r="F170" s="173"/>
      <c r="G170" s="173"/>
      <c r="H170" s="173"/>
      <c r="I170" s="173"/>
      <c r="J170" s="173"/>
      <c r="K170" s="173"/>
      <c r="L170" s="173"/>
      <c r="M170" s="173"/>
      <c r="N170" s="173"/>
      <c r="O170" s="173"/>
      <c r="P170" s="173"/>
      <c r="Q170" s="173"/>
      <c r="R170" s="173"/>
      <c r="S170" s="173"/>
      <c r="T170" s="173"/>
      <c r="U170" s="173"/>
      <c r="V170" s="173"/>
      <c r="W170" s="173"/>
      <c r="X170" s="173"/>
      <c r="Y170" s="173"/>
      <c r="Z170" s="173"/>
    </row>
    <row r="171" spans="1:26" ht="11.25" customHeight="1">
      <c r="A171" s="173"/>
      <c r="B171" s="207"/>
      <c r="C171" s="208"/>
      <c r="D171" s="244"/>
      <c r="E171" s="173"/>
      <c r="F171" s="173"/>
      <c r="G171" s="173"/>
      <c r="H171" s="173"/>
      <c r="I171" s="173"/>
      <c r="J171" s="173"/>
      <c r="K171" s="173"/>
      <c r="L171" s="173"/>
      <c r="M171" s="173"/>
      <c r="N171" s="173"/>
      <c r="O171" s="173"/>
      <c r="P171" s="173"/>
      <c r="Q171" s="173"/>
      <c r="R171" s="173"/>
      <c r="S171" s="173"/>
      <c r="T171" s="173"/>
      <c r="U171" s="173"/>
      <c r="V171" s="173"/>
      <c r="W171" s="173"/>
      <c r="X171" s="173"/>
      <c r="Y171" s="173"/>
      <c r="Z171" s="173"/>
    </row>
    <row r="172" spans="1:26" ht="11.25" customHeight="1">
      <c r="A172" s="173"/>
      <c r="B172" s="207"/>
      <c r="C172" s="208"/>
      <c r="D172" s="244"/>
      <c r="E172" s="173"/>
      <c r="F172" s="173"/>
      <c r="G172" s="173"/>
      <c r="H172" s="173"/>
      <c r="I172" s="173"/>
      <c r="J172" s="173"/>
      <c r="K172" s="173"/>
      <c r="L172" s="173"/>
      <c r="M172" s="173"/>
      <c r="N172" s="173"/>
      <c r="O172" s="173"/>
      <c r="P172" s="173"/>
      <c r="Q172" s="173"/>
      <c r="R172" s="173"/>
      <c r="S172" s="173"/>
      <c r="T172" s="173"/>
      <c r="U172" s="173"/>
      <c r="V172" s="173"/>
      <c r="W172" s="173"/>
      <c r="X172" s="173"/>
      <c r="Y172" s="173"/>
      <c r="Z172" s="173"/>
    </row>
    <row r="173" spans="1:26" ht="11.25" customHeight="1">
      <c r="A173" s="173"/>
      <c r="B173" s="207"/>
      <c r="C173" s="208"/>
      <c r="D173" s="244"/>
      <c r="E173" s="173"/>
      <c r="F173" s="173"/>
      <c r="G173" s="173"/>
      <c r="H173" s="173"/>
      <c r="I173" s="173"/>
      <c r="J173" s="173"/>
      <c r="K173" s="173"/>
      <c r="L173" s="173"/>
      <c r="M173" s="173"/>
      <c r="N173" s="173"/>
      <c r="O173" s="173"/>
      <c r="P173" s="173"/>
      <c r="Q173" s="173"/>
      <c r="R173" s="173"/>
      <c r="S173" s="173"/>
      <c r="T173" s="173"/>
      <c r="U173" s="173"/>
      <c r="V173" s="173"/>
      <c r="W173" s="173"/>
      <c r="X173" s="173"/>
      <c r="Y173" s="173"/>
      <c r="Z173" s="173"/>
    </row>
    <row r="174" spans="1:26" ht="11.25" customHeight="1">
      <c r="A174" s="173"/>
      <c r="B174" s="207"/>
      <c r="C174" s="208"/>
      <c r="D174" s="244"/>
      <c r="E174" s="173"/>
      <c r="F174" s="173"/>
      <c r="G174" s="173"/>
      <c r="H174" s="173"/>
      <c r="I174" s="173"/>
      <c r="J174" s="173"/>
      <c r="K174" s="173"/>
      <c r="L174" s="173"/>
      <c r="M174" s="173"/>
      <c r="N174" s="173"/>
      <c r="O174" s="173"/>
      <c r="P174" s="173"/>
      <c r="Q174" s="173"/>
      <c r="R174" s="173"/>
      <c r="S174" s="173"/>
      <c r="T174" s="173"/>
      <c r="U174" s="173"/>
      <c r="V174" s="173"/>
      <c r="W174" s="173"/>
      <c r="X174" s="173"/>
      <c r="Y174" s="173"/>
      <c r="Z174" s="173"/>
    </row>
    <row r="175" spans="1:26" ht="11.25" customHeight="1">
      <c r="A175" s="173"/>
      <c r="B175" s="207"/>
      <c r="C175" s="208"/>
      <c r="D175" s="244"/>
      <c r="E175" s="173"/>
      <c r="F175" s="173"/>
      <c r="G175" s="173"/>
      <c r="H175" s="173"/>
      <c r="I175" s="173"/>
      <c r="J175" s="173"/>
      <c r="K175" s="173"/>
      <c r="L175" s="173"/>
      <c r="M175" s="173"/>
      <c r="N175" s="173"/>
      <c r="O175" s="173"/>
      <c r="P175" s="173"/>
      <c r="Q175" s="173"/>
      <c r="R175" s="173"/>
      <c r="S175" s="173"/>
      <c r="T175" s="173"/>
      <c r="U175" s="173"/>
      <c r="V175" s="173"/>
      <c r="W175" s="173"/>
      <c r="X175" s="173"/>
      <c r="Y175" s="173"/>
      <c r="Z175" s="173"/>
    </row>
    <row r="176" spans="1:26" ht="11.25" customHeight="1">
      <c r="A176" s="173"/>
      <c r="B176" s="207"/>
      <c r="C176" s="208"/>
      <c r="D176" s="244"/>
      <c r="E176" s="173"/>
      <c r="F176" s="173"/>
      <c r="G176" s="173"/>
      <c r="H176" s="173"/>
      <c r="I176" s="173"/>
      <c r="J176" s="173"/>
      <c r="K176" s="173"/>
      <c r="L176" s="173"/>
      <c r="M176" s="173"/>
      <c r="N176" s="173"/>
      <c r="O176" s="173"/>
      <c r="P176" s="173"/>
      <c r="Q176" s="173"/>
      <c r="R176" s="173"/>
      <c r="S176" s="173"/>
      <c r="T176" s="173"/>
      <c r="U176" s="173"/>
      <c r="V176" s="173"/>
      <c r="W176" s="173"/>
      <c r="X176" s="173"/>
      <c r="Y176" s="173"/>
      <c r="Z176" s="173"/>
    </row>
    <row r="177" spans="1:26" ht="11.25" customHeight="1">
      <c r="A177" s="173"/>
      <c r="B177" s="207"/>
      <c r="C177" s="208"/>
      <c r="D177" s="244"/>
      <c r="E177" s="173"/>
      <c r="F177" s="173"/>
      <c r="G177" s="173"/>
      <c r="H177" s="173"/>
      <c r="I177" s="173"/>
      <c r="J177" s="173"/>
      <c r="K177" s="173"/>
      <c r="L177" s="173"/>
      <c r="M177" s="173"/>
      <c r="N177" s="173"/>
      <c r="O177" s="173"/>
      <c r="P177" s="173"/>
      <c r="Q177" s="173"/>
      <c r="R177" s="173"/>
      <c r="S177" s="173"/>
      <c r="T177" s="173"/>
      <c r="U177" s="173"/>
      <c r="V177" s="173"/>
      <c r="W177" s="173"/>
      <c r="X177" s="173"/>
      <c r="Y177" s="173"/>
      <c r="Z177" s="173"/>
    </row>
    <row r="178" spans="1:26" ht="11.25" customHeight="1">
      <c r="A178" s="173"/>
      <c r="B178" s="207"/>
      <c r="C178" s="208"/>
      <c r="D178" s="244"/>
      <c r="E178" s="173"/>
      <c r="F178" s="173"/>
      <c r="G178" s="173"/>
      <c r="H178" s="173"/>
      <c r="I178" s="173"/>
      <c r="J178" s="173"/>
      <c r="K178" s="173"/>
      <c r="L178" s="173"/>
      <c r="M178" s="173"/>
      <c r="N178" s="173"/>
      <c r="O178" s="173"/>
      <c r="P178" s="173"/>
      <c r="Q178" s="173"/>
      <c r="R178" s="173"/>
      <c r="S178" s="173"/>
      <c r="T178" s="173"/>
      <c r="U178" s="173"/>
      <c r="V178" s="173"/>
      <c r="W178" s="173"/>
      <c r="X178" s="173"/>
      <c r="Y178" s="173"/>
      <c r="Z178" s="173"/>
    </row>
    <row r="179" spans="1:26" ht="11.25" customHeight="1">
      <c r="A179" s="173"/>
      <c r="B179" s="207"/>
      <c r="C179" s="208"/>
      <c r="D179" s="244"/>
      <c r="E179" s="173"/>
      <c r="F179" s="173"/>
      <c r="G179" s="173"/>
      <c r="H179" s="173"/>
      <c r="I179" s="173"/>
      <c r="J179" s="173"/>
      <c r="K179" s="173"/>
      <c r="L179" s="173"/>
      <c r="M179" s="173"/>
      <c r="N179" s="173"/>
      <c r="O179" s="173"/>
      <c r="P179" s="173"/>
      <c r="Q179" s="173"/>
      <c r="R179" s="173"/>
      <c r="S179" s="173"/>
      <c r="T179" s="173"/>
      <c r="U179" s="173"/>
      <c r="V179" s="173"/>
      <c r="W179" s="173"/>
      <c r="X179" s="173"/>
      <c r="Y179" s="173"/>
      <c r="Z179" s="173"/>
    </row>
    <row r="180" spans="1:26" ht="11.25" customHeight="1">
      <c r="A180" s="173"/>
      <c r="B180" s="207"/>
      <c r="C180" s="208"/>
      <c r="D180" s="244"/>
      <c r="E180" s="173"/>
      <c r="F180" s="173"/>
      <c r="G180" s="173"/>
      <c r="H180" s="173"/>
      <c r="I180" s="173"/>
      <c r="J180" s="173"/>
      <c r="K180" s="173"/>
      <c r="L180" s="173"/>
      <c r="M180" s="173"/>
      <c r="N180" s="173"/>
      <c r="O180" s="173"/>
      <c r="P180" s="173"/>
      <c r="Q180" s="173"/>
      <c r="R180" s="173"/>
      <c r="S180" s="173"/>
      <c r="T180" s="173"/>
      <c r="U180" s="173"/>
      <c r="V180" s="173"/>
      <c r="W180" s="173"/>
      <c r="X180" s="173"/>
      <c r="Y180" s="173"/>
      <c r="Z180" s="173"/>
    </row>
    <row r="181" spans="1:26" ht="11.25" customHeight="1">
      <c r="A181" s="173"/>
      <c r="B181" s="207"/>
      <c r="C181" s="208"/>
      <c r="D181" s="244"/>
      <c r="E181" s="173"/>
      <c r="F181" s="173"/>
      <c r="G181" s="173"/>
      <c r="H181" s="173"/>
      <c r="I181" s="173"/>
      <c r="J181" s="173"/>
      <c r="K181" s="173"/>
      <c r="L181" s="173"/>
      <c r="M181" s="173"/>
      <c r="N181" s="173"/>
      <c r="O181" s="173"/>
      <c r="P181" s="173"/>
      <c r="Q181" s="173"/>
      <c r="R181" s="173"/>
      <c r="S181" s="173"/>
      <c r="T181" s="173"/>
      <c r="U181" s="173"/>
      <c r="V181" s="173"/>
      <c r="W181" s="173"/>
      <c r="X181" s="173"/>
      <c r="Y181" s="173"/>
      <c r="Z181" s="173"/>
    </row>
    <row r="182" spans="1:26" ht="11.25" customHeight="1">
      <c r="A182" s="173"/>
      <c r="B182" s="207"/>
      <c r="C182" s="208"/>
      <c r="D182" s="244"/>
      <c r="E182" s="173"/>
      <c r="F182" s="173"/>
      <c r="G182" s="173"/>
      <c r="H182" s="173"/>
      <c r="I182" s="173"/>
      <c r="J182" s="173"/>
      <c r="K182" s="173"/>
      <c r="L182" s="173"/>
      <c r="M182" s="173"/>
      <c r="N182" s="173"/>
      <c r="O182" s="173"/>
      <c r="P182" s="173"/>
      <c r="Q182" s="173"/>
      <c r="R182" s="173"/>
      <c r="S182" s="173"/>
      <c r="T182" s="173"/>
      <c r="U182" s="173"/>
      <c r="V182" s="173"/>
      <c r="W182" s="173"/>
      <c r="X182" s="173"/>
      <c r="Y182" s="173"/>
      <c r="Z182" s="173"/>
    </row>
    <row r="183" spans="1:26" ht="11.25" customHeight="1">
      <c r="A183" s="173"/>
      <c r="B183" s="207"/>
      <c r="C183" s="208"/>
      <c r="D183" s="244"/>
      <c r="E183" s="173"/>
      <c r="F183" s="173"/>
      <c r="G183" s="173"/>
      <c r="H183" s="173"/>
      <c r="I183" s="173"/>
      <c r="J183" s="173"/>
      <c r="K183" s="173"/>
      <c r="L183" s="173"/>
      <c r="M183" s="173"/>
      <c r="N183" s="173"/>
      <c r="O183" s="173"/>
      <c r="P183" s="173"/>
      <c r="Q183" s="173"/>
      <c r="R183" s="173"/>
      <c r="S183" s="173"/>
      <c r="T183" s="173"/>
      <c r="U183" s="173"/>
      <c r="V183" s="173"/>
      <c r="W183" s="173"/>
      <c r="X183" s="173"/>
      <c r="Y183" s="173"/>
      <c r="Z183" s="173"/>
    </row>
    <row r="184" spans="1:26" ht="11.25" customHeight="1">
      <c r="A184" s="173"/>
      <c r="B184" s="207"/>
      <c r="C184" s="208"/>
      <c r="D184" s="244"/>
      <c r="E184" s="173"/>
      <c r="F184" s="173"/>
      <c r="G184" s="173"/>
      <c r="H184" s="173"/>
      <c r="I184" s="173"/>
      <c r="J184" s="173"/>
      <c r="K184" s="173"/>
      <c r="L184" s="173"/>
      <c r="M184" s="173"/>
      <c r="N184" s="173"/>
      <c r="O184" s="173"/>
      <c r="P184" s="173"/>
      <c r="Q184" s="173"/>
      <c r="R184" s="173"/>
      <c r="S184" s="173"/>
      <c r="T184" s="173"/>
      <c r="U184" s="173"/>
      <c r="V184" s="173"/>
      <c r="W184" s="173"/>
      <c r="X184" s="173"/>
      <c r="Y184" s="173"/>
      <c r="Z184" s="173"/>
    </row>
    <row r="185" spans="1:26" ht="11.25" customHeight="1">
      <c r="A185" s="173"/>
      <c r="B185" s="207"/>
      <c r="C185" s="208"/>
      <c r="D185" s="244"/>
      <c r="E185" s="173"/>
      <c r="F185" s="173"/>
      <c r="G185" s="173"/>
      <c r="H185" s="173"/>
      <c r="I185" s="173"/>
      <c r="J185" s="173"/>
      <c r="K185" s="173"/>
      <c r="L185" s="173"/>
      <c r="M185" s="173"/>
      <c r="N185" s="173"/>
      <c r="O185" s="173"/>
      <c r="P185" s="173"/>
      <c r="Q185" s="173"/>
      <c r="R185" s="173"/>
      <c r="S185" s="173"/>
      <c r="T185" s="173"/>
      <c r="U185" s="173"/>
      <c r="V185" s="173"/>
      <c r="W185" s="173"/>
      <c r="X185" s="173"/>
      <c r="Y185" s="173"/>
      <c r="Z185" s="173"/>
    </row>
    <row r="186" spans="1:26" ht="11.25" customHeight="1">
      <c r="A186" s="173"/>
      <c r="B186" s="207"/>
      <c r="C186" s="208"/>
      <c r="D186" s="244"/>
      <c r="E186" s="173"/>
      <c r="F186" s="173"/>
      <c r="G186" s="173"/>
      <c r="H186" s="173"/>
      <c r="I186" s="173"/>
      <c r="J186" s="173"/>
      <c r="K186" s="173"/>
      <c r="L186" s="173"/>
      <c r="M186" s="173"/>
      <c r="N186" s="173"/>
      <c r="O186" s="173"/>
      <c r="P186" s="173"/>
      <c r="Q186" s="173"/>
      <c r="R186" s="173"/>
      <c r="S186" s="173"/>
      <c r="T186" s="173"/>
      <c r="U186" s="173"/>
      <c r="V186" s="173"/>
      <c r="W186" s="173"/>
      <c r="X186" s="173"/>
      <c r="Y186" s="173"/>
      <c r="Z186" s="173"/>
    </row>
    <row r="187" spans="1:26" ht="11.25" customHeight="1">
      <c r="A187" s="173"/>
      <c r="B187" s="207"/>
      <c r="C187" s="208"/>
      <c r="D187" s="244"/>
      <c r="E187" s="173"/>
      <c r="F187" s="173"/>
      <c r="G187" s="173"/>
      <c r="H187" s="173"/>
      <c r="I187" s="173"/>
      <c r="J187" s="173"/>
      <c r="K187" s="173"/>
      <c r="L187" s="173"/>
      <c r="M187" s="173"/>
      <c r="N187" s="173"/>
      <c r="O187" s="173"/>
      <c r="P187" s="173"/>
      <c r="Q187" s="173"/>
      <c r="R187" s="173"/>
      <c r="S187" s="173"/>
      <c r="T187" s="173"/>
      <c r="U187" s="173"/>
      <c r="V187" s="173"/>
      <c r="W187" s="173"/>
      <c r="X187" s="173"/>
      <c r="Y187" s="173"/>
      <c r="Z187" s="173"/>
    </row>
    <row r="188" spans="1:26" ht="11.25" customHeight="1">
      <c r="A188" s="173"/>
      <c r="B188" s="207"/>
      <c r="C188" s="208"/>
      <c r="D188" s="244"/>
      <c r="E188" s="173"/>
      <c r="F188" s="173"/>
      <c r="G188" s="173"/>
      <c r="H188" s="173"/>
      <c r="I188" s="173"/>
      <c r="J188" s="173"/>
      <c r="K188" s="173"/>
      <c r="L188" s="173"/>
      <c r="M188" s="173"/>
      <c r="N188" s="173"/>
      <c r="O188" s="173"/>
      <c r="P188" s="173"/>
      <c r="Q188" s="173"/>
      <c r="R188" s="173"/>
      <c r="S188" s="173"/>
      <c r="T188" s="173"/>
      <c r="U188" s="173"/>
      <c r="V188" s="173"/>
      <c r="W188" s="173"/>
      <c r="X188" s="173"/>
      <c r="Y188" s="173"/>
      <c r="Z188" s="173"/>
    </row>
    <row r="189" spans="1:26" ht="11.25" customHeight="1">
      <c r="A189" s="173"/>
      <c r="B189" s="207"/>
      <c r="C189" s="208"/>
      <c r="D189" s="244"/>
      <c r="E189" s="173"/>
      <c r="F189" s="173"/>
      <c r="G189" s="173"/>
      <c r="H189" s="173"/>
      <c r="I189" s="173"/>
      <c r="J189" s="173"/>
      <c r="K189" s="173"/>
      <c r="L189" s="173"/>
      <c r="M189" s="173"/>
      <c r="N189" s="173"/>
      <c r="O189" s="173"/>
      <c r="P189" s="173"/>
      <c r="Q189" s="173"/>
      <c r="R189" s="173"/>
      <c r="S189" s="173"/>
      <c r="T189" s="173"/>
      <c r="U189" s="173"/>
      <c r="V189" s="173"/>
      <c r="W189" s="173"/>
      <c r="X189" s="173"/>
      <c r="Y189" s="173"/>
      <c r="Z189" s="173"/>
    </row>
    <row r="190" spans="1:26" ht="11.25" customHeight="1">
      <c r="A190" s="173"/>
      <c r="B190" s="207"/>
      <c r="C190" s="208"/>
      <c r="D190" s="244"/>
      <c r="E190" s="173"/>
      <c r="F190" s="173"/>
      <c r="G190" s="173"/>
      <c r="H190" s="173"/>
      <c r="I190" s="173"/>
      <c r="J190" s="173"/>
      <c r="K190" s="173"/>
      <c r="L190" s="173"/>
      <c r="M190" s="173"/>
      <c r="N190" s="173"/>
      <c r="O190" s="173"/>
      <c r="P190" s="173"/>
      <c r="Q190" s="173"/>
      <c r="R190" s="173"/>
      <c r="S190" s="173"/>
      <c r="T190" s="173"/>
      <c r="U190" s="173"/>
      <c r="V190" s="173"/>
      <c r="W190" s="173"/>
      <c r="X190" s="173"/>
      <c r="Y190" s="173"/>
      <c r="Z190" s="173"/>
    </row>
    <row r="191" spans="1:26" ht="11.25" customHeight="1">
      <c r="A191" s="173"/>
      <c r="B191" s="207"/>
      <c r="C191" s="208"/>
      <c r="D191" s="244"/>
      <c r="E191" s="173"/>
      <c r="F191" s="173"/>
      <c r="G191" s="173"/>
      <c r="H191" s="173"/>
      <c r="I191" s="173"/>
      <c r="J191" s="173"/>
      <c r="K191" s="173"/>
      <c r="L191" s="173"/>
      <c r="M191" s="173"/>
      <c r="N191" s="173"/>
      <c r="O191" s="173"/>
      <c r="P191" s="173"/>
      <c r="Q191" s="173"/>
      <c r="R191" s="173"/>
      <c r="S191" s="173"/>
      <c r="T191" s="173"/>
      <c r="U191" s="173"/>
      <c r="V191" s="173"/>
      <c r="W191" s="173"/>
      <c r="X191" s="173"/>
      <c r="Y191" s="173"/>
      <c r="Z191" s="173"/>
    </row>
    <row r="192" spans="1:26" ht="11.25" customHeight="1">
      <c r="A192" s="173"/>
      <c r="B192" s="207"/>
      <c r="C192" s="208"/>
      <c r="D192" s="244"/>
      <c r="E192" s="173"/>
      <c r="F192" s="173"/>
      <c r="G192" s="173"/>
      <c r="H192" s="173"/>
      <c r="I192" s="173"/>
      <c r="J192" s="173"/>
      <c r="K192" s="173"/>
      <c r="L192" s="173"/>
      <c r="M192" s="173"/>
      <c r="N192" s="173"/>
      <c r="O192" s="173"/>
      <c r="P192" s="173"/>
      <c r="Q192" s="173"/>
      <c r="R192" s="173"/>
      <c r="S192" s="173"/>
      <c r="T192" s="173"/>
      <c r="U192" s="173"/>
      <c r="V192" s="173"/>
      <c r="W192" s="173"/>
      <c r="X192" s="173"/>
      <c r="Y192" s="173"/>
      <c r="Z192" s="173"/>
    </row>
    <row r="193" spans="1:26" ht="11.25" customHeight="1">
      <c r="A193" s="173"/>
      <c r="B193" s="207"/>
      <c r="C193" s="208"/>
      <c r="D193" s="244"/>
      <c r="E193" s="173"/>
      <c r="F193" s="173"/>
      <c r="G193" s="173"/>
      <c r="H193" s="173"/>
      <c r="I193" s="173"/>
      <c r="J193" s="173"/>
      <c r="K193" s="173"/>
      <c r="L193" s="173"/>
      <c r="M193" s="173"/>
      <c r="N193" s="173"/>
      <c r="O193" s="173"/>
      <c r="P193" s="173"/>
      <c r="Q193" s="173"/>
      <c r="R193" s="173"/>
      <c r="S193" s="173"/>
      <c r="T193" s="173"/>
      <c r="U193" s="173"/>
      <c r="V193" s="173"/>
      <c r="W193" s="173"/>
      <c r="X193" s="173"/>
      <c r="Y193" s="173"/>
      <c r="Z193" s="173"/>
    </row>
    <row r="194" spans="1:26" ht="11.25" customHeight="1">
      <c r="A194" s="173"/>
      <c r="B194" s="207"/>
      <c r="C194" s="208"/>
      <c r="D194" s="244"/>
      <c r="E194" s="173"/>
      <c r="F194" s="173"/>
      <c r="G194" s="173"/>
      <c r="H194" s="173"/>
      <c r="I194" s="173"/>
      <c r="J194" s="173"/>
      <c r="K194" s="173"/>
      <c r="L194" s="173"/>
      <c r="M194" s="173"/>
      <c r="N194" s="173"/>
      <c r="O194" s="173"/>
      <c r="P194" s="173"/>
      <c r="Q194" s="173"/>
      <c r="R194" s="173"/>
      <c r="S194" s="173"/>
      <c r="T194" s="173"/>
      <c r="U194" s="173"/>
      <c r="V194" s="173"/>
      <c r="W194" s="173"/>
      <c r="X194" s="173"/>
      <c r="Y194" s="173"/>
      <c r="Z194" s="173"/>
    </row>
    <row r="195" spans="1:26" ht="11.25" customHeight="1">
      <c r="A195" s="173"/>
      <c r="B195" s="207"/>
      <c r="C195" s="208"/>
      <c r="D195" s="244"/>
      <c r="E195" s="173"/>
      <c r="F195" s="173"/>
      <c r="G195" s="173"/>
      <c r="H195" s="173"/>
      <c r="I195" s="173"/>
      <c r="J195" s="173"/>
      <c r="K195" s="173"/>
      <c r="L195" s="173"/>
      <c r="M195" s="173"/>
      <c r="N195" s="173"/>
      <c r="O195" s="173"/>
      <c r="P195" s="173"/>
      <c r="Q195" s="173"/>
      <c r="R195" s="173"/>
      <c r="S195" s="173"/>
      <c r="T195" s="173"/>
      <c r="U195" s="173"/>
      <c r="V195" s="173"/>
      <c r="W195" s="173"/>
      <c r="X195" s="173"/>
      <c r="Y195" s="173"/>
      <c r="Z195" s="173"/>
    </row>
    <row r="196" spans="1:26" ht="11.25" customHeight="1">
      <c r="A196" s="173"/>
      <c r="B196" s="207"/>
      <c r="C196" s="208"/>
      <c r="D196" s="244"/>
      <c r="E196" s="173"/>
      <c r="F196" s="173"/>
      <c r="G196" s="173"/>
      <c r="H196" s="173"/>
      <c r="I196" s="173"/>
      <c r="J196" s="173"/>
      <c r="K196" s="173"/>
      <c r="L196" s="173"/>
      <c r="M196" s="173"/>
      <c r="N196" s="173"/>
      <c r="O196" s="173"/>
      <c r="P196" s="173"/>
      <c r="Q196" s="173"/>
      <c r="R196" s="173"/>
      <c r="S196" s="173"/>
      <c r="T196" s="173"/>
      <c r="U196" s="173"/>
      <c r="V196" s="173"/>
      <c r="W196" s="173"/>
      <c r="X196" s="173"/>
      <c r="Y196" s="173"/>
      <c r="Z196" s="173"/>
    </row>
    <row r="197" spans="1:26" ht="11.25" customHeight="1">
      <c r="A197" s="173"/>
      <c r="B197" s="207"/>
      <c r="C197" s="208"/>
      <c r="D197" s="244"/>
      <c r="E197" s="173"/>
      <c r="F197" s="173"/>
      <c r="G197" s="173"/>
      <c r="H197" s="173"/>
      <c r="I197" s="173"/>
      <c r="J197" s="173"/>
      <c r="K197" s="173"/>
      <c r="L197" s="173"/>
      <c r="M197" s="173"/>
      <c r="N197" s="173"/>
      <c r="O197" s="173"/>
      <c r="P197" s="173"/>
      <c r="Q197" s="173"/>
      <c r="R197" s="173"/>
      <c r="S197" s="173"/>
      <c r="T197" s="173"/>
      <c r="U197" s="173"/>
      <c r="V197" s="173"/>
      <c r="W197" s="173"/>
      <c r="X197" s="173"/>
      <c r="Y197" s="173"/>
      <c r="Z197" s="173"/>
    </row>
    <row r="198" spans="1:26" ht="11.25" customHeight="1">
      <c r="A198" s="173"/>
      <c r="B198" s="207"/>
      <c r="C198" s="208"/>
      <c r="D198" s="244"/>
      <c r="E198" s="173"/>
      <c r="F198" s="173"/>
      <c r="G198" s="173"/>
      <c r="H198" s="173"/>
      <c r="I198" s="173"/>
      <c r="J198" s="173"/>
      <c r="K198" s="173"/>
      <c r="L198" s="173"/>
      <c r="M198" s="173"/>
      <c r="N198" s="173"/>
      <c r="O198" s="173"/>
      <c r="P198" s="173"/>
      <c r="Q198" s="173"/>
      <c r="R198" s="173"/>
      <c r="S198" s="173"/>
      <c r="T198" s="173"/>
      <c r="U198" s="173"/>
      <c r="V198" s="173"/>
      <c r="W198" s="173"/>
      <c r="X198" s="173"/>
      <c r="Y198" s="173"/>
      <c r="Z198" s="173"/>
    </row>
    <row r="199" spans="1:26" ht="11.25" customHeight="1">
      <c r="A199" s="173"/>
      <c r="B199" s="207"/>
      <c r="C199" s="208"/>
      <c r="D199" s="244"/>
      <c r="E199" s="173"/>
      <c r="F199" s="173"/>
      <c r="G199" s="173"/>
      <c r="H199" s="173"/>
      <c r="I199" s="173"/>
      <c r="J199" s="173"/>
      <c r="K199" s="173"/>
      <c r="L199" s="173"/>
      <c r="M199" s="173"/>
      <c r="N199" s="173"/>
      <c r="O199" s="173"/>
      <c r="P199" s="173"/>
      <c r="Q199" s="173"/>
      <c r="R199" s="173"/>
      <c r="S199" s="173"/>
      <c r="T199" s="173"/>
      <c r="U199" s="173"/>
      <c r="V199" s="173"/>
      <c r="W199" s="173"/>
      <c r="X199" s="173"/>
      <c r="Y199" s="173"/>
      <c r="Z199" s="173"/>
    </row>
    <row r="200" spans="1:26" ht="11.25" customHeight="1">
      <c r="A200" s="173"/>
      <c r="B200" s="207"/>
      <c r="C200" s="208"/>
      <c r="D200" s="244"/>
      <c r="E200" s="173"/>
      <c r="F200" s="173"/>
      <c r="G200" s="173"/>
      <c r="H200" s="173"/>
      <c r="I200" s="173"/>
      <c r="J200" s="173"/>
      <c r="K200" s="173"/>
      <c r="L200" s="173"/>
      <c r="M200" s="173"/>
      <c r="N200" s="173"/>
      <c r="O200" s="173"/>
      <c r="P200" s="173"/>
      <c r="Q200" s="173"/>
      <c r="R200" s="173"/>
      <c r="S200" s="173"/>
      <c r="T200" s="173"/>
      <c r="U200" s="173"/>
      <c r="V200" s="173"/>
      <c r="W200" s="173"/>
      <c r="X200" s="173"/>
      <c r="Y200" s="173"/>
      <c r="Z200" s="173"/>
    </row>
    <row r="201" spans="1:26" ht="11.25" customHeight="1">
      <c r="A201" s="173"/>
      <c r="B201" s="207"/>
      <c r="C201" s="208"/>
      <c r="D201" s="244"/>
      <c r="E201" s="173"/>
      <c r="F201" s="173"/>
      <c r="G201" s="173"/>
      <c r="H201" s="173"/>
      <c r="I201" s="173"/>
      <c r="J201" s="173"/>
      <c r="K201" s="173"/>
      <c r="L201" s="173"/>
      <c r="M201" s="173"/>
      <c r="N201" s="173"/>
      <c r="O201" s="173"/>
      <c r="P201" s="173"/>
      <c r="Q201" s="173"/>
      <c r="R201" s="173"/>
      <c r="S201" s="173"/>
      <c r="T201" s="173"/>
      <c r="U201" s="173"/>
      <c r="V201" s="173"/>
      <c r="W201" s="173"/>
      <c r="X201" s="173"/>
      <c r="Y201" s="173"/>
      <c r="Z201" s="173"/>
    </row>
    <row r="202" spans="1:26" ht="11.25" customHeight="1">
      <c r="A202" s="173"/>
      <c r="B202" s="207"/>
      <c r="C202" s="208"/>
      <c r="D202" s="244"/>
      <c r="E202" s="173"/>
      <c r="F202" s="173"/>
      <c r="G202" s="173"/>
      <c r="H202" s="173"/>
      <c r="I202" s="173"/>
      <c r="J202" s="173"/>
      <c r="K202" s="173"/>
      <c r="L202" s="173"/>
      <c r="M202" s="173"/>
      <c r="N202" s="173"/>
      <c r="O202" s="173"/>
      <c r="P202" s="173"/>
      <c r="Q202" s="173"/>
      <c r="R202" s="173"/>
      <c r="S202" s="173"/>
      <c r="T202" s="173"/>
      <c r="U202" s="173"/>
      <c r="V202" s="173"/>
      <c r="W202" s="173"/>
      <c r="X202" s="173"/>
      <c r="Y202" s="173"/>
      <c r="Z202" s="173"/>
    </row>
    <row r="203" spans="1:26" ht="11.25" customHeight="1">
      <c r="A203" s="173"/>
      <c r="B203" s="207"/>
      <c r="C203" s="208"/>
      <c r="D203" s="244"/>
      <c r="E203" s="173"/>
      <c r="F203" s="173"/>
      <c r="G203" s="173"/>
      <c r="H203" s="173"/>
      <c r="I203" s="173"/>
      <c r="J203" s="173"/>
      <c r="K203" s="173"/>
      <c r="L203" s="173"/>
      <c r="M203" s="173"/>
      <c r="N203" s="173"/>
      <c r="O203" s="173"/>
      <c r="P203" s="173"/>
      <c r="Q203" s="173"/>
      <c r="R203" s="173"/>
      <c r="S203" s="173"/>
      <c r="T203" s="173"/>
      <c r="U203" s="173"/>
      <c r="V203" s="173"/>
      <c r="W203" s="173"/>
      <c r="X203" s="173"/>
      <c r="Y203" s="173"/>
      <c r="Z203" s="173"/>
    </row>
    <row r="204" spans="1:26" ht="11.25" customHeight="1">
      <c r="A204" s="173"/>
      <c r="B204" s="207"/>
      <c r="C204" s="208"/>
      <c r="D204" s="244"/>
      <c r="E204" s="173"/>
      <c r="F204" s="173"/>
      <c r="G204" s="173"/>
      <c r="H204" s="173"/>
      <c r="I204" s="173"/>
      <c r="J204" s="173"/>
      <c r="K204" s="173"/>
      <c r="L204" s="173"/>
      <c r="M204" s="173"/>
      <c r="N204" s="173"/>
      <c r="O204" s="173"/>
      <c r="P204" s="173"/>
      <c r="Q204" s="173"/>
      <c r="R204" s="173"/>
      <c r="S204" s="173"/>
      <c r="T204" s="173"/>
      <c r="U204" s="173"/>
      <c r="V204" s="173"/>
      <c r="W204" s="173"/>
      <c r="X204" s="173"/>
      <c r="Y204" s="173"/>
      <c r="Z204" s="173"/>
    </row>
    <row r="205" spans="1:26" ht="11.25" customHeight="1">
      <c r="A205" s="173"/>
      <c r="B205" s="207"/>
      <c r="C205" s="208"/>
      <c r="D205" s="244"/>
      <c r="E205" s="173"/>
      <c r="F205" s="173"/>
      <c r="G205" s="173"/>
      <c r="H205" s="173"/>
      <c r="I205" s="173"/>
      <c r="J205" s="173"/>
      <c r="K205" s="173"/>
      <c r="L205" s="173"/>
      <c r="M205" s="173"/>
      <c r="N205" s="173"/>
      <c r="O205" s="173"/>
      <c r="P205" s="173"/>
      <c r="Q205" s="173"/>
      <c r="R205" s="173"/>
      <c r="S205" s="173"/>
      <c r="T205" s="173"/>
      <c r="U205" s="173"/>
      <c r="V205" s="173"/>
      <c r="W205" s="173"/>
      <c r="X205" s="173"/>
      <c r="Y205" s="173"/>
      <c r="Z205" s="173"/>
    </row>
    <row r="206" spans="1:26" ht="11.25" customHeight="1">
      <c r="A206" s="173"/>
      <c r="B206" s="207"/>
      <c r="C206" s="208"/>
      <c r="D206" s="244"/>
      <c r="E206" s="173"/>
      <c r="F206" s="173"/>
      <c r="G206" s="173"/>
      <c r="H206" s="173"/>
      <c r="I206" s="173"/>
      <c r="J206" s="173"/>
      <c r="K206" s="173"/>
      <c r="L206" s="173"/>
      <c r="M206" s="173"/>
      <c r="N206" s="173"/>
      <c r="O206" s="173"/>
      <c r="P206" s="173"/>
      <c r="Q206" s="173"/>
      <c r="R206" s="173"/>
      <c r="S206" s="173"/>
      <c r="T206" s="173"/>
      <c r="U206" s="173"/>
      <c r="V206" s="173"/>
      <c r="W206" s="173"/>
      <c r="X206" s="173"/>
      <c r="Y206" s="173"/>
      <c r="Z206" s="173"/>
    </row>
    <row r="207" spans="1:26" ht="11.25" customHeight="1">
      <c r="A207" s="173"/>
      <c r="B207" s="207"/>
      <c r="C207" s="208"/>
      <c r="D207" s="244"/>
      <c r="E207" s="173"/>
      <c r="F207" s="173"/>
      <c r="G207" s="173"/>
      <c r="H207" s="173"/>
      <c r="I207" s="173"/>
      <c r="J207" s="173"/>
      <c r="K207" s="173"/>
      <c r="L207" s="173"/>
      <c r="M207" s="173"/>
      <c r="N207" s="173"/>
      <c r="O207" s="173"/>
      <c r="P207" s="173"/>
      <c r="Q207" s="173"/>
      <c r="R207" s="173"/>
      <c r="S207" s="173"/>
      <c r="T207" s="173"/>
      <c r="U207" s="173"/>
      <c r="V207" s="173"/>
      <c r="W207" s="173"/>
      <c r="X207" s="173"/>
      <c r="Y207" s="173"/>
      <c r="Z207" s="173"/>
    </row>
    <row r="208" spans="1:26" ht="11.25" customHeight="1">
      <c r="A208" s="173"/>
      <c r="B208" s="207"/>
      <c r="C208" s="208"/>
      <c r="D208" s="244"/>
      <c r="E208" s="173"/>
      <c r="F208" s="173"/>
      <c r="G208" s="173"/>
      <c r="H208" s="173"/>
      <c r="I208" s="173"/>
      <c r="J208" s="173"/>
      <c r="K208" s="173"/>
      <c r="L208" s="173"/>
      <c r="M208" s="173"/>
      <c r="N208" s="173"/>
      <c r="O208" s="173"/>
      <c r="P208" s="173"/>
      <c r="Q208" s="173"/>
      <c r="R208" s="173"/>
      <c r="S208" s="173"/>
      <c r="T208" s="173"/>
      <c r="U208" s="173"/>
      <c r="V208" s="173"/>
      <c r="W208" s="173"/>
      <c r="X208" s="173"/>
      <c r="Y208" s="173"/>
      <c r="Z208" s="173"/>
    </row>
    <row r="209" spans="1:26" ht="11.25" customHeight="1">
      <c r="A209" s="173"/>
      <c r="B209" s="207"/>
      <c r="C209" s="208"/>
      <c r="D209" s="244"/>
      <c r="E209" s="173"/>
      <c r="F209" s="173"/>
      <c r="G209" s="173"/>
      <c r="H209" s="173"/>
      <c r="I209" s="173"/>
      <c r="J209" s="173"/>
      <c r="K209" s="173"/>
      <c r="L209" s="173"/>
      <c r="M209" s="173"/>
      <c r="N209" s="173"/>
      <c r="O209" s="173"/>
      <c r="P209" s="173"/>
      <c r="Q209" s="173"/>
      <c r="R209" s="173"/>
      <c r="S209" s="173"/>
      <c r="T209" s="173"/>
      <c r="U209" s="173"/>
      <c r="V209" s="173"/>
      <c r="W209" s="173"/>
      <c r="X209" s="173"/>
      <c r="Y209" s="173"/>
      <c r="Z209" s="173"/>
    </row>
    <row r="210" spans="1:26" ht="11.25" customHeight="1">
      <c r="A210" s="173"/>
      <c r="B210" s="207"/>
      <c r="C210" s="208"/>
      <c r="D210" s="244"/>
      <c r="E210" s="173"/>
      <c r="F210" s="173"/>
      <c r="G210" s="173"/>
      <c r="H210" s="173"/>
      <c r="I210" s="173"/>
      <c r="J210" s="173"/>
      <c r="K210" s="173"/>
      <c r="L210" s="173"/>
      <c r="M210" s="173"/>
      <c r="N210" s="173"/>
      <c r="O210" s="173"/>
      <c r="P210" s="173"/>
      <c r="Q210" s="173"/>
      <c r="R210" s="173"/>
      <c r="S210" s="173"/>
      <c r="T210" s="173"/>
      <c r="U210" s="173"/>
      <c r="V210" s="173"/>
      <c r="W210" s="173"/>
      <c r="X210" s="173"/>
      <c r="Y210" s="173"/>
      <c r="Z210" s="173"/>
    </row>
    <row r="211" spans="1:26" ht="11.25" customHeight="1">
      <c r="A211" s="173"/>
      <c r="B211" s="207"/>
      <c r="C211" s="208"/>
      <c r="D211" s="244"/>
      <c r="E211" s="173"/>
      <c r="F211" s="173"/>
      <c r="G211" s="173"/>
      <c r="H211" s="173"/>
      <c r="I211" s="173"/>
      <c r="J211" s="173"/>
      <c r="K211" s="173"/>
      <c r="L211" s="173"/>
      <c r="M211" s="173"/>
      <c r="N211" s="173"/>
      <c r="O211" s="173"/>
      <c r="P211" s="173"/>
      <c r="Q211" s="173"/>
      <c r="R211" s="173"/>
      <c r="S211" s="173"/>
      <c r="T211" s="173"/>
      <c r="U211" s="173"/>
      <c r="V211" s="173"/>
      <c r="W211" s="173"/>
      <c r="X211" s="173"/>
      <c r="Y211" s="173"/>
      <c r="Z211" s="173"/>
    </row>
    <row r="212" spans="1:26" ht="11.25" customHeight="1">
      <c r="A212" s="173"/>
      <c r="B212" s="207"/>
      <c r="C212" s="208"/>
      <c r="D212" s="244"/>
      <c r="E212" s="173"/>
      <c r="F212" s="173"/>
      <c r="G212" s="173"/>
      <c r="H212" s="173"/>
      <c r="I212" s="173"/>
      <c r="J212" s="173"/>
      <c r="K212" s="173"/>
      <c r="L212" s="173"/>
      <c r="M212" s="173"/>
      <c r="N212" s="173"/>
      <c r="O212" s="173"/>
      <c r="P212" s="173"/>
      <c r="Q212" s="173"/>
      <c r="R212" s="173"/>
      <c r="S212" s="173"/>
      <c r="T212" s="173"/>
      <c r="U212" s="173"/>
      <c r="V212" s="173"/>
      <c r="W212" s="173"/>
      <c r="X212" s="173"/>
      <c r="Y212" s="173"/>
      <c r="Z212" s="173"/>
    </row>
    <row r="213" spans="1:26" ht="11.25" customHeight="1">
      <c r="A213" s="173"/>
      <c r="B213" s="207"/>
      <c r="C213" s="208"/>
      <c r="D213" s="244"/>
      <c r="E213" s="173"/>
      <c r="F213" s="173"/>
      <c r="G213" s="173"/>
      <c r="H213" s="173"/>
      <c r="I213" s="173"/>
      <c r="J213" s="173"/>
      <c r="K213" s="173"/>
      <c r="L213" s="173"/>
      <c r="M213" s="173"/>
      <c r="N213" s="173"/>
      <c r="O213" s="173"/>
      <c r="P213" s="173"/>
      <c r="Q213" s="173"/>
      <c r="R213" s="173"/>
      <c r="S213" s="173"/>
      <c r="T213" s="173"/>
      <c r="U213" s="173"/>
      <c r="V213" s="173"/>
      <c r="W213" s="173"/>
      <c r="X213" s="173"/>
      <c r="Y213" s="173"/>
      <c r="Z213" s="173"/>
    </row>
    <row r="214" spans="1:26" ht="11.25" customHeight="1">
      <c r="A214" s="173"/>
      <c r="B214" s="207"/>
      <c r="C214" s="208"/>
      <c r="D214" s="244"/>
      <c r="E214" s="173"/>
      <c r="F214" s="173"/>
      <c r="G214" s="173"/>
      <c r="H214" s="173"/>
      <c r="I214" s="173"/>
      <c r="J214" s="173"/>
      <c r="K214" s="173"/>
      <c r="L214" s="173"/>
      <c r="M214" s="173"/>
      <c r="N214" s="173"/>
      <c r="O214" s="173"/>
      <c r="P214" s="173"/>
      <c r="Q214" s="173"/>
      <c r="R214" s="173"/>
      <c r="S214" s="173"/>
      <c r="T214" s="173"/>
      <c r="U214" s="173"/>
      <c r="V214" s="173"/>
      <c r="W214" s="173"/>
      <c r="X214" s="173"/>
      <c r="Y214" s="173"/>
      <c r="Z214" s="173"/>
    </row>
    <row r="215" spans="1:26" ht="11.25" customHeight="1">
      <c r="A215" s="173"/>
      <c r="B215" s="207"/>
      <c r="C215" s="208"/>
      <c r="D215" s="244"/>
      <c r="E215" s="173"/>
      <c r="F215" s="173"/>
      <c r="G215" s="173"/>
      <c r="H215" s="173"/>
      <c r="I215" s="173"/>
      <c r="J215" s="173"/>
      <c r="K215" s="173"/>
      <c r="L215" s="173"/>
      <c r="M215" s="173"/>
      <c r="N215" s="173"/>
      <c r="O215" s="173"/>
      <c r="P215" s="173"/>
      <c r="Q215" s="173"/>
      <c r="R215" s="173"/>
      <c r="S215" s="173"/>
      <c r="T215" s="173"/>
      <c r="U215" s="173"/>
      <c r="V215" s="173"/>
      <c r="W215" s="173"/>
      <c r="X215" s="173"/>
      <c r="Y215" s="173"/>
      <c r="Z215" s="173"/>
    </row>
    <row r="216" spans="1:26" ht="11.25" customHeight="1">
      <c r="A216" s="173"/>
      <c r="B216" s="207"/>
      <c r="C216" s="208"/>
      <c r="D216" s="244"/>
      <c r="E216" s="173"/>
      <c r="F216" s="173"/>
      <c r="G216" s="173"/>
      <c r="H216" s="173"/>
      <c r="I216" s="173"/>
      <c r="J216" s="173"/>
      <c r="K216" s="173"/>
      <c r="L216" s="173"/>
      <c r="M216" s="173"/>
      <c r="N216" s="173"/>
      <c r="O216" s="173"/>
      <c r="P216" s="173"/>
      <c r="Q216" s="173"/>
      <c r="R216" s="173"/>
      <c r="S216" s="173"/>
      <c r="T216" s="173"/>
      <c r="U216" s="173"/>
      <c r="V216" s="173"/>
      <c r="W216" s="173"/>
      <c r="X216" s="173"/>
      <c r="Y216" s="173"/>
      <c r="Z216" s="173"/>
    </row>
    <row r="217" spans="1:26" ht="11.25" customHeight="1">
      <c r="A217" s="173"/>
      <c r="B217" s="207"/>
      <c r="C217" s="208"/>
      <c r="D217" s="244"/>
      <c r="E217" s="173"/>
      <c r="F217" s="173"/>
      <c r="G217" s="173"/>
      <c r="H217" s="173"/>
      <c r="I217" s="173"/>
      <c r="J217" s="173"/>
      <c r="K217" s="173"/>
      <c r="L217" s="173"/>
      <c r="M217" s="173"/>
      <c r="N217" s="173"/>
      <c r="O217" s="173"/>
      <c r="P217" s="173"/>
      <c r="Q217" s="173"/>
      <c r="R217" s="173"/>
      <c r="S217" s="173"/>
      <c r="T217" s="173"/>
      <c r="U217" s="173"/>
      <c r="V217" s="173"/>
      <c r="W217" s="173"/>
      <c r="X217" s="173"/>
      <c r="Y217" s="173"/>
      <c r="Z217" s="173"/>
    </row>
    <row r="218" spans="1:26" ht="11.25" customHeight="1">
      <c r="A218" s="173"/>
      <c r="B218" s="207"/>
      <c r="C218" s="208"/>
      <c r="D218" s="244"/>
      <c r="E218" s="173"/>
      <c r="F218" s="173"/>
      <c r="G218" s="173"/>
      <c r="H218" s="173"/>
      <c r="I218" s="173"/>
      <c r="J218" s="173"/>
      <c r="K218" s="173"/>
      <c r="L218" s="173"/>
      <c r="M218" s="173"/>
      <c r="N218" s="173"/>
      <c r="O218" s="173"/>
      <c r="P218" s="173"/>
      <c r="Q218" s="173"/>
      <c r="R218" s="173"/>
      <c r="S218" s="173"/>
      <c r="T218" s="173"/>
      <c r="U218" s="173"/>
      <c r="V218" s="173"/>
      <c r="W218" s="173"/>
      <c r="X218" s="173"/>
      <c r="Y218" s="173"/>
      <c r="Z218" s="173"/>
    </row>
    <row r="219" spans="1:26" ht="11.25" customHeight="1">
      <c r="A219" s="173"/>
      <c r="B219" s="207"/>
      <c r="C219" s="208"/>
      <c r="D219" s="244"/>
      <c r="E219" s="173"/>
      <c r="F219" s="173"/>
      <c r="G219" s="173"/>
      <c r="H219" s="173"/>
      <c r="I219" s="173"/>
      <c r="J219" s="173"/>
      <c r="K219" s="173"/>
      <c r="L219" s="173"/>
      <c r="M219" s="173"/>
      <c r="N219" s="173"/>
      <c r="O219" s="173"/>
      <c r="P219" s="173"/>
      <c r="Q219" s="173"/>
      <c r="R219" s="173"/>
      <c r="S219" s="173"/>
      <c r="T219" s="173"/>
      <c r="U219" s="173"/>
      <c r="V219" s="173"/>
      <c r="W219" s="173"/>
      <c r="X219" s="173"/>
      <c r="Y219" s="173"/>
      <c r="Z219" s="173"/>
    </row>
    <row r="220" spans="1:26" ht="11.25" customHeight="1">
      <c r="A220" s="173"/>
      <c r="B220" s="207"/>
      <c r="C220" s="208"/>
      <c r="D220" s="244"/>
      <c r="E220" s="173"/>
      <c r="F220" s="173"/>
      <c r="G220" s="173"/>
      <c r="H220" s="173"/>
      <c r="I220" s="173"/>
      <c r="J220" s="173"/>
      <c r="K220" s="173"/>
      <c r="L220" s="173"/>
      <c r="M220" s="173"/>
      <c r="N220" s="173"/>
      <c r="O220" s="173"/>
      <c r="P220" s="173"/>
      <c r="Q220" s="173"/>
      <c r="R220" s="173"/>
      <c r="S220" s="173"/>
      <c r="T220" s="173"/>
      <c r="U220" s="173"/>
      <c r="V220" s="173"/>
      <c r="W220" s="173"/>
      <c r="X220" s="173"/>
      <c r="Y220" s="173"/>
      <c r="Z220" s="173"/>
    </row>
    <row r="221" spans="1:26" ht="11.25" customHeight="1">
      <c r="A221" s="173"/>
      <c r="B221" s="207"/>
      <c r="C221" s="208"/>
      <c r="D221" s="244"/>
      <c r="E221" s="173"/>
      <c r="F221" s="173"/>
      <c r="G221" s="173"/>
      <c r="H221" s="173"/>
      <c r="I221" s="173"/>
      <c r="J221" s="173"/>
      <c r="K221" s="173"/>
      <c r="L221" s="173"/>
      <c r="M221" s="173"/>
      <c r="N221" s="173"/>
      <c r="O221" s="173"/>
      <c r="P221" s="173"/>
      <c r="Q221" s="173"/>
      <c r="R221" s="173"/>
      <c r="S221" s="173"/>
      <c r="T221" s="173"/>
      <c r="U221" s="173"/>
      <c r="V221" s="173"/>
      <c r="W221" s="173"/>
      <c r="X221" s="173"/>
      <c r="Y221" s="173"/>
      <c r="Z221" s="173"/>
    </row>
    <row r="222" spans="1:26" ht="11.25" customHeight="1">
      <c r="A222" s="173"/>
      <c r="B222" s="207"/>
      <c r="C222" s="208"/>
      <c r="D222" s="244"/>
      <c r="E222" s="173"/>
      <c r="F222" s="173"/>
      <c r="G222" s="173"/>
      <c r="H222" s="173"/>
      <c r="I222" s="173"/>
      <c r="J222" s="173"/>
      <c r="K222" s="173"/>
      <c r="L222" s="173"/>
      <c r="M222" s="173"/>
      <c r="N222" s="173"/>
      <c r="O222" s="173"/>
      <c r="P222" s="173"/>
      <c r="Q222" s="173"/>
      <c r="R222" s="173"/>
      <c r="S222" s="173"/>
      <c r="T222" s="173"/>
      <c r="U222" s="173"/>
      <c r="V222" s="173"/>
      <c r="W222" s="173"/>
      <c r="X222" s="173"/>
      <c r="Y222" s="173"/>
      <c r="Z222" s="173"/>
    </row>
    <row r="223" spans="1:26" ht="11.25" customHeight="1">
      <c r="A223" s="173"/>
      <c r="B223" s="207"/>
      <c r="C223" s="208"/>
      <c r="D223" s="244"/>
      <c r="E223" s="173"/>
      <c r="F223" s="173"/>
      <c r="G223" s="173"/>
      <c r="H223" s="173"/>
      <c r="I223" s="173"/>
      <c r="J223" s="173"/>
      <c r="K223" s="173"/>
      <c r="L223" s="173"/>
      <c r="M223" s="173"/>
      <c r="N223" s="173"/>
      <c r="O223" s="173"/>
      <c r="P223" s="173"/>
      <c r="Q223" s="173"/>
      <c r="R223" s="173"/>
      <c r="S223" s="173"/>
      <c r="T223" s="173"/>
      <c r="U223" s="173"/>
      <c r="V223" s="173"/>
      <c r="W223" s="173"/>
      <c r="X223" s="173"/>
      <c r="Y223" s="173"/>
      <c r="Z223" s="173"/>
    </row>
    <row r="224" spans="1:26" ht="11.25" customHeight="1">
      <c r="A224" s="173"/>
      <c r="B224" s="207"/>
      <c r="C224" s="208"/>
      <c r="D224" s="244"/>
      <c r="E224" s="173"/>
      <c r="F224" s="173"/>
      <c r="G224" s="173"/>
      <c r="H224" s="173"/>
      <c r="I224" s="173"/>
      <c r="J224" s="173"/>
      <c r="K224" s="173"/>
      <c r="L224" s="173"/>
      <c r="M224" s="173"/>
      <c r="N224" s="173"/>
      <c r="O224" s="173"/>
      <c r="P224" s="173"/>
      <c r="Q224" s="173"/>
      <c r="R224" s="173"/>
      <c r="S224" s="173"/>
      <c r="T224" s="173"/>
      <c r="U224" s="173"/>
      <c r="V224" s="173"/>
      <c r="W224" s="173"/>
      <c r="X224" s="173"/>
      <c r="Y224" s="173"/>
      <c r="Z224" s="173"/>
    </row>
    <row r="225" spans="1:26" ht="11.25" customHeight="1">
      <c r="A225" s="173"/>
      <c r="B225" s="207"/>
      <c r="C225" s="208"/>
      <c r="D225" s="244"/>
      <c r="E225" s="173"/>
      <c r="F225" s="173"/>
      <c r="G225" s="173"/>
      <c r="H225" s="173"/>
      <c r="I225" s="173"/>
      <c r="J225" s="173"/>
      <c r="K225" s="173"/>
      <c r="L225" s="173"/>
      <c r="M225" s="173"/>
      <c r="N225" s="173"/>
      <c r="O225" s="173"/>
      <c r="P225" s="173"/>
      <c r="Q225" s="173"/>
      <c r="R225" s="173"/>
      <c r="S225" s="173"/>
      <c r="T225" s="173"/>
      <c r="U225" s="173"/>
      <c r="V225" s="173"/>
      <c r="W225" s="173"/>
      <c r="X225" s="173"/>
      <c r="Y225" s="173"/>
      <c r="Z225" s="173"/>
    </row>
    <row r="226" spans="1:26" ht="11.25" customHeight="1">
      <c r="A226" s="173"/>
      <c r="B226" s="207"/>
      <c r="C226" s="208"/>
      <c r="D226" s="244"/>
      <c r="E226" s="173"/>
      <c r="F226" s="173"/>
      <c r="G226" s="173"/>
      <c r="H226" s="173"/>
      <c r="I226" s="173"/>
      <c r="J226" s="173"/>
      <c r="K226" s="173"/>
      <c r="L226" s="173"/>
      <c r="M226" s="173"/>
      <c r="N226" s="173"/>
      <c r="O226" s="173"/>
      <c r="P226" s="173"/>
      <c r="Q226" s="173"/>
      <c r="R226" s="173"/>
      <c r="S226" s="173"/>
      <c r="T226" s="173"/>
      <c r="U226" s="173"/>
      <c r="V226" s="173"/>
      <c r="W226" s="173"/>
      <c r="X226" s="173"/>
      <c r="Y226" s="173"/>
      <c r="Z226" s="173"/>
    </row>
    <row r="227" spans="1:26" ht="11.25" customHeight="1">
      <c r="A227" s="173"/>
      <c r="B227" s="207"/>
      <c r="C227" s="208"/>
      <c r="D227" s="244"/>
      <c r="E227" s="173"/>
      <c r="F227" s="173"/>
      <c r="G227" s="173"/>
      <c r="H227" s="173"/>
      <c r="I227" s="173"/>
      <c r="J227" s="173"/>
      <c r="K227" s="173"/>
      <c r="L227" s="173"/>
      <c r="M227" s="173"/>
      <c r="N227" s="173"/>
      <c r="O227" s="173"/>
      <c r="P227" s="173"/>
      <c r="Q227" s="173"/>
      <c r="R227" s="173"/>
      <c r="S227" s="173"/>
      <c r="T227" s="173"/>
      <c r="U227" s="173"/>
      <c r="V227" s="173"/>
      <c r="W227" s="173"/>
      <c r="X227" s="173"/>
      <c r="Y227" s="173"/>
      <c r="Z227" s="173"/>
    </row>
    <row r="228" spans="1:26" ht="11.25" customHeight="1">
      <c r="A228" s="173"/>
      <c r="B228" s="207"/>
      <c r="C228" s="208"/>
      <c r="D228" s="244"/>
      <c r="E228" s="173"/>
      <c r="F228" s="173"/>
      <c r="G228" s="173"/>
      <c r="H228" s="173"/>
      <c r="I228" s="173"/>
      <c r="J228" s="173"/>
      <c r="K228" s="173"/>
      <c r="L228" s="173"/>
      <c r="M228" s="173"/>
      <c r="N228" s="173"/>
      <c r="O228" s="173"/>
      <c r="P228" s="173"/>
      <c r="Q228" s="173"/>
      <c r="R228" s="173"/>
      <c r="S228" s="173"/>
      <c r="T228" s="173"/>
      <c r="U228" s="173"/>
      <c r="V228" s="173"/>
      <c r="W228" s="173"/>
      <c r="X228" s="173"/>
      <c r="Y228" s="173"/>
      <c r="Z228" s="173"/>
    </row>
    <row r="229" spans="1:26" ht="11.25" customHeight="1">
      <c r="A229" s="173"/>
      <c r="B229" s="207"/>
      <c r="C229" s="208"/>
      <c r="D229" s="244"/>
      <c r="E229" s="173"/>
      <c r="F229" s="173"/>
      <c r="G229" s="173"/>
      <c r="H229" s="173"/>
      <c r="I229" s="173"/>
      <c r="J229" s="173"/>
      <c r="K229" s="173"/>
      <c r="L229" s="173"/>
      <c r="M229" s="173"/>
      <c r="N229" s="173"/>
      <c r="O229" s="173"/>
      <c r="P229" s="173"/>
      <c r="Q229" s="173"/>
      <c r="R229" s="173"/>
      <c r="S229" s="173"/>
      <c r="T229" s="173"/>
      <c r="U229" s="173"/>
      <c r="V229" s="173"/>
      <c r="W229" s="173"/>
      <c r="X229" s="173"/>
      <c r="Y229" s="173"/>
      <c r="Z229" s="173"/>
    </row>
    <row r="230" spans="1:26" ht="11.25" customHeight="1">
      <c r="A230" s="173"/>
      <c r="B230" s="207"/>
      <c r="C230" s="208"/>
      <c r="D230" s="244"/>
      <c r="E230" s="173"/>
      <c r="F230" s="173"/>
      <c r="G230" s="173"/>
      <c r="H230" s="173"/>
      <c r="I230" s="173"/>
      <c r="J230" s="173"/>
      <c r="K230" s="173"/>
      <c r="L230" s="173"/>
      <c r="M230" s="173"/>
      <c r="N230" s="173"/>
      <c r="O230" s="173"/>
      <c r="P230" s="173"/>
      <c r="Q230" s="173"/>
      <c r="R230" s="173"/>
      <c r="S230" s="173"/>
      <c r="T230" s="173"/>
      <c r="U230" s="173"/>
      <c r="V230" s="173"/>
      <c r="W230" s="173"/>
      <c r="X230" s="173"/>
      <c r="Y230" s="173"/>
      <c r="Z230" s="173"/>
    </row>
    <row r="231" spans="1:26" ht="11.25" customHeight="1">
      <c r="A231" s="173"/>
      <c r="B231" s="207"/>
      <c r="C231" s="208"/>
      <c r="D231" s="244"/>
      <c r="E231" s="173"/>
      <c r="F231" s="173"/>
      <c r="G231" s="173"/>
      <c r="H231" s="173"/>
      <c r="I231" s="173"/>
      <c r="J231" s="173"/>
      <c r="K231" s="173"/>
      <c r="L231" s="173"/>
      <c r="M231" s="173"/>
      <c r="N231" s="173"/>
      <c r="O231" s="173"/>
      <c r="P231" s="173"/>
      <c r="Q231" s="173"/>
      <c r="R231" s="173"/>
      <c r="S231" s="173"/>
      <c r="T231" s="173"/>
      <c r="U231" s="173"/>
      <c r="V231" s="173"/>
      <c r="W231" s="173"/>
      <c r="X231" s="173"/>
      <c r="Y231" s="173"/>
      <c r="Z231" s="173"/>
    </row>
    <row r="232" spans="1:26" ht="11.25" customHeight="1">
      <c r="A232" s="173"/>
      <c r="B232" s="207"/>
      <c r="C232" s="208"/>
      <c r="D232" s="244"/>
      <c r="E232" s="173"/>
      <c r="F232" s="173"/>
      <c r="G232" s="173"/>
      <c r="H232" s="173"/>
      <c r="I232" s="173"/>
      <c r="J232" s="173"/>
      <c r="K232" s="173"/>
      <c r="L232" s="173"/>
      <c r="M232" s="173"/>
      <c r="N232" s="173"/>
      <c r="O232" s="173"/>
      <c r="P232" s="173"/>
      <c r="Q232" s="173"/>
      <c r="R232" s="173"/>
      <c r="S232" s="173"/>
      <c r="T232" s="173"/>
      <c r="U232" s="173"/>
      <c r="V232" s="173"/>
      <c r="W232" s="173"/>
      <c r="X232" s="173"/>
      <c r="Y232" s="173"/>
      <c r="Z232" s="173"/>
    </row>
    <row r="233" spans="1:26" ht="11.25" customHeight="1">
      <c r="A233" s="173"/>
      <c r="B233" s="207"/>
      <c r="C233" s="208"/>
      <c r="D233" s="244"/>
      <c r="E233" s="173"/>
      <c r="F233" s="173"/>
      <c r="G233" s="173"/>
      <c r="H233" s="173"/>
      <c r="I233" s="173"/>
      <c r="J233" s="173"/>
      <c r="K233" s="173"/>
      <c r="L233" s="173"/>
      <c r="M233" s="173"/>
      <c r="N233" s="173"/>
      <c r="O233" s="173"/>
      <c r="P233" s="173"/>
      <c r="Q233" s="173"/>
      <c r="R233" s="173"/>
      <c r="S233" s="173"/>
      <c r="T233" s="173"/>
      <c r="U233" s="173"/>
      <c r="V233" s="173"/>
      <c r="W233" s="173"/>
      <c r="X233" s="173"/>
      <c r="Y233" s="173"/>
      <c r="Z233" s="173"/>
    </row>
    <row r="234" spans="1:26" ht="11.25" customHeight="1">
      <c r="A234" s="173"/>
      <c r="B234" s="207"/>
      <c r="C234" s="208"/>
      <c r="D234" s="244"/>
      <c r="E234" s="173"/>
      <c r="F234" s="173"/>
      <c r="G234" s="173"/>
      <c r="H234" s="173"/>
      <c r="I234" s="173"/>
      <c r="J234" s="173"/>
      <c r="K234" s="173"/>
      <c r="L234" s="173"/>
      <c r="M234" s="173"/>
      <c r="N234" s="173"/>
      <c r="O234" s="173"/>
      <c r="P234" s="173"/>
      <c r="Q234" s="173"/>
      <c r="R234" s="173"/>
      <c r="S234" s="173"/>
      <c r="T234" s="173"/>
      <c r="U234" s="173"/>
      <c r="V234" s="173"/>
      <c r="W234" s="173"/>
      <c r="X234" s="173"/>
      <c r="Y234" s="173"/>
      <c r="Z234" s="173"/>
    </row>
    <row r="235" spans="1:26" ht="11.25" customHeight="1">
      <c r="A235" s="173"/>
      <c r="B235" s="207"/>
      <c r="C235" s="208"/>
      <c r="D235" s="244"/>
      <c r="E235" s="173"/>
      <c r="F235" s="173"/>
      <c r="G235" s="173"/>
      <c r="H235" s="173"/>
      <c r="I235" s="173"/>
      <c r="J235" s="173"/>
      <c r="K235" s="173"/>
      <c r="L235" s="173"/>
      <c r="M235" s="173"/>
      <c r="N235" s="173"/>
      <c r="O235" s="173"/>
      <c r="P235" s="173"/>
      <c r="Q235" s="173"/>
      <c r="R235" s="173"/>
      <c r="S235" s="173"/>
      <c r="T235" s="173"/>
      <c r="U235" s="173"/>
      <c r="V235" s="173"/>
      <c r="W235" s="173"/>
      <c r="X235" s="173"/>
      <c r="Y235" s="173"/>
      <c r="Z235" s="173"/>
    </row>
    <row r="236" spans="1:26" ht="11.25" customHeight="1">
      <c r="A236" s="173"/>
      <c r="B236" s="207"/>
      <c r="C236" s="208"/>
      <c r="D236" s="244"/>
      <c r="E236" s="173"/>
      <c r="F236" s="173"/>
      <c r="G236" s="173"/>
      <c r="H236" s="173"/>
      <c r="I236" s="173"/>
      <c r="J236" s="173"/>
      <c r="K236" s="173"/>
      <c r="L236" s="173"/>
      <c r="M236" s="173"/>
      <c r="N236" s="173"/>
      <c r="O236" s="173"/>
      <c r="P236" s="173"/>
      <c r="Q236" s="173"/>
      <c r="R236" s="173"/>
      <c r="S236" s="173"/>
      <c r="T236" s="173"/>
      <c r="U236" s="173"/>
      <c r="V236" s="173"/>
      <c r="W236" s="173"/>
      <c r="X236" s="173"/>
      <c r="Y236" s="173"/>
      <c r="Z236" s="173"/>
    </row>
    <row r="237" spans="1:26" ht="11.25" customHeight="1">
      <c r="A237" s="173"/>
      <c r="B237" s="207"/>
      <c r="C237" s="208"/>
      <c r="D237" s="244"/>
      <c r="E237" s="173"/>
      <c r="F237" s="173"/>
      <c r="G237" s="173"/>
      <c r="H237" s="173"/>
      <c r="I237" s="173"/>
      <c r="J237" s="173"/>
      <c r="K237" s="173"/>
      <c r="L237" s="173"/>
      <c r="M237" s="173"/>
      <c r="N237" s="173"/>
      <c r="O237" s="173"/>
      <c r="P237" s="173"/>
      <c r="Q237" s="173"/>
      <c r="R237" s="173"/>
      <c r="S237" s="173"/>
      <c r="T237" s="173"/>
      <c r="U237" s="173"/>
      <c r="V237" s="173"/>
      <c r="W237" s="173"/>
      <c r="X237" s="173"/>
      <c r="Y237" s="173"/>
      <c r="Z237" s="173"/>
    </row>
    <row r="238" spans="1:26" ht="11.25" customHeight="1">
      <c r="A238" s="173"/>
      <c r="B238" s="207"/>
      <c r="C238" s="208"/>
      <c r="D238" s="244"/>
      <c r="E238" s="173"/>
      <c r="F238" s="173"/>
      <c r="G238" s="173"/>
      <c r="H238" s="173"/>
      <c r="I238" s="173"/>
      <c r="J238" s="173"/>
      <c r="K238" s="173"/>
      <c r="L238" s="173"/>
      <c r="M238" s="173"/>
      <c r="N238" s="173"/>
      <c r="O238" s="173"/>
      <c r="P238" s="173"/>
      <c r="Q238" s="173"/>
      <c r="R238" s="173"/>
      <c r="S238" s="173"/>
      <c r="T238" s="173"/>
      <c r="U238" s="173"/>
      <c r="V238" s="173"/>
      <c r="W238" s="173"/>
      <c r="X238" s="173"/>
      <c r="Y238" s="173"/>
      <c r="Z238" s="173"/>
    </row>
    <row r="239" spans="1:26" ht="11.25" customHeight="1">
      <c r="A239" s="173"/>
      <c r="B239" s="207"/>
      <c r="C239" s="208"/>
      <c r="D239" s="244"/>
      <c r="E239" s="173"/>
      <c r="F239" s="173"/>
      <c r="G239" s="173"/>
      <c r="H239" s="173"/>
      <c r="I239" s="173"/>
      <c r="J239" s="173"/>
      <c r="K239" s="173"/>
      <c r="L239" s="173"/>
      <c r="M239" s="173"/>
      <c r="N239" s="173"/>
      <c r="O239" s="173"/>
      <c r="P239" s="173"/>
      <c r="Q239" s="173"/>
      <c r="R239" s="173"/>
      <c r="S239" s="173"/>
      <c r="T239" s="173"/>
      <c r="U239" s="173"/>
      <c r="V239" s="173"/>
      <c r="W239" s="173"/>
      <c r="X239" s="173"/>
      <c r="Y239" s="173"/>
      <c r="Z239" s="173"/>
    </row>
    <row r="240" spans="1:26" ht="11.25" customHeight="1">
      <c r="A240" s="173"/>
      <c r="B240" s="207"/>
      <c r="C240" s="208"/>
      <c r="D240" s="244"/>
      <c r="E240" s="173"/>
      <c r="F240" s="173"/>
      <c r="G240" s="173"/>
      <c r="H240" s="173"/>
      <c r="I240" s="173"/>
      <c r="J240" s="173"/>
      <c r="K240" s="173"/>
      <c r="L240" s="173"/>
      <c r="M240" s="173"/>
      <c r="N240" s="173"/>
      <c r="O240" s="173"/>
      <c r="P240" s="173"/>
      <c r="Q240" s="173"/>
      <c r="R240" s="173"/>
      <c r="S240" s="173"/>
      <c r="T240" s="173"/>
      <c r="U240" s="173"/>
      <c r="V240" s="173"/>
      <c r="W240" s="173"/>
      <c r="X240" s="173"/>
      <c r="Y240" s="173"/>
      <c r="Z240" s="173"/>
    </row>
    <row r="241" spans="1:26" ht="11.25" customHeight="1">
      <c r="A241" s="173"/>
      <c r="B241" s="207"/>
      <c r="C241" s="208"/>
      <c r="D241" s="244"/>
      <c r="E241" s="173"/>
      <c r="F241" s="173"/>
      <c r="G241" s="173"/>
      <c r="H241" s="173"/>
      <c r="I241" s="173"/>
      <c r="J241" s="173"/>
      <c r="K241" s="173"/>
      <c r="L241" s="173"/>
      <c r="M241" s="173"/>
      <c r="N241" s="173"/>
      <c r="O241" s="173"/>
      <c r="P241" s="173"/>
      <c r="Q241" s="173"/>
      <c r="R241" s="173"/>
      <c r="S241" s="173"/>
      <c r="T241" s="173"/>
      <c r="U241" s="173"/>
      <c r="V241" s="173"/>
      <c r="W241" s="173"/>
      <c r="X241" s="173"/>
      <c r="Y241" s="173"/>
      <c r="Z241" s="173"/>
    </row>
    <row r="242" spans="1:26" ht="11.25" customHeight="1">
      <c r="A242" s="173"/>
      <c r="B242" s="207"/>
      <c r="C242" s="208"/>
      <c r="D242" s="244"/>
      <c r="E242" s="173"/>
      <c r="F242" s="173"/>
      <c r="G242" s="173"/>
      <c r="H242" s="173"/>
      <c r="I242" s="173"/>
      <c r="J242" s="173"/>
      <c r="K242" s="173"/>
      <c r="L242" s="173"/>
      <c r="M242" s="173"/>
      <c r="N242" s="173"/>
      <c r="O242" s="173"/>
      <c r="P242" s="173"/>
      <c r="Q242" s="173"/>
      <c r="R242" s="173"/>
      <c r="S242" s="173"/>
      <c r="T242" s="173"/>
      <c r="U242" s="173"/>
      <c r="V242" s="173"/>
      <c r="W242" s="173"/>
      <c r="X242" s="173"/>
      <c r="Y242" s="173"/>
      <c r="Z242" s="173"/>
    </row>
    <row r="243" spans="1:26" ht="11.25" customHeight="1">
      <c r="A243" s="173"/>
      <c r="B243" s="207"/>
      <c r="C243" s="208"/>
      <c r="D243" s="244"/>
      <c r="E243" s="173"/>
      <c r="F243" s="173"/>
      <c r="G243" s="173"/>
      <c r="H243" s="173"/>
      <c r="I243" s="173"/>
      <c r="J243" s="173"/>
      <c r="K243" s="173"/>
      <c r="L243" s="173"/>
      <c r="M243" s="173"/>
      <c r="N243" s="173"/>
      <c r="O243" s="173"/>
      <c r="P243" s="173"/>
      <c r="Q243" s="173"/>
      <c r="R243" s="173"/>
      <c r="S243" s="173"/>
      <c r="T243" s="173"/>
      <c r="U243" s="173"/>
      <c r="V243" s="173"/>
      <c r="W243" s="173"/>
      <c r="X243" s="173"/>
      <c r="Y243" s="173"/>
      <c r="Z243" s="173"/>
    </row>
    <row r="244" spans="1:26" ht="11.25" customHeight="1">
      <c r="A244" s="173"/>
      <c r="B244" s="207"/>
      <c r="C244" s="208"/>
      <c r="D244" s="244"/>
      <c r="E244" s="173"/>
      <c r="F244" s="173"/>
      <c r="G244" s="173"/>
      <c r="H244" s="173"/>
      <c r="I244" s="173"/>
      <c r="J244" s="173"/>
      <c r="K244" s="173"/>
      <c r="L244" s="173"/>
      <c r="M244" s="173"/>
      <c r="N244" s="173"/>
      <c r="O244" s="173"/>
      <c r="P244" s="173"/>
      <c r="Q244" s="173"/>
      <c r="R244" s="173"/>
      <c r="S244" s="173"/>
      <c r="T244" s="173"/>
      <c r="U244" s="173"/>
      <c r="V244" s="173"/>
      <c r="W244" s="173"/>
      <c r="X244" s="173"/>
      <c r="Y244" s="173"/>
      <c r="Z244" s="173"/>
    </row>
    <row r="245" spans="1:26" ht="11.25" customHeight="1">
      <c r="A245" s="173"/>
      <c r="B245" s="207"/>
      <c r="C245" s="208"/>
      <c r="D245" s="244"/>
      <c r="E245" s="173"/>
      <c r="F245" s="173"/>
      <c r="G245" s="173"/>
      <c r="H245" s="173"/>
      <c r="I245" s="173"/>
      <c r="J245" s="173"/>
      <c r="K245" s="173"/>
      <c r="L245" s="173"/>
      <c r="M245" s="173"/>
      <c r="N245" s="173"/>
      <c r="O245" s="173"/>
      <c r="P245" s="173"/>
      <c r="Q245" s="173"/>
      <c r="R245" s="173"/>
      <c r="S245" s="173"/>
      <c r="T245" s="173"/>
      <c r="U245" s="173"/>
      <c r="V245" s="173"/>
      <c r="W245" s="173"/>
      <c r="X245" s="173"/>
      <c r="Y245" s="173"/>
      <c r="Z245" s="173"/>
    </row>
    <row r="246" spans="1:26" ht="11.25" customHeight="1">
      <c r="A246" s="173"/>
      <c r="B246" s="207"/>
      <c r="C246" s="208"/>
      <c r="D246" s="244"/>
      <c r="E246" s="173"/>
      <c r="F246" s="173"/>
      <c r="G246" s="173"/>
      <c r="H246" s="173"/>
      <c r="I246" s="173"/>
      <c r="J246" s="173"/>
      <c r="K246" s="173"/>
      <c r="L246" s="173"/>
      <c r="M246" s="173"/>
      <c r="N246" s="173"/>
      <c r="O246" s="173"/>
      <c r="P246" s="173"/>
      <c r="Q246" s="173"/>
      <c r="R246" s="173"/>
      <c r="S246" s="173"/>
      <c r="T246" s="173"/>
      <c r="U246" s="173"/>
      <c r="V246" s="173"/>
      <c r="W246" s="173"/>
      <c r="X246" s="173"/>
      <c r="Y246" s="173"/>
      <c r="Z246" s="173"/>
    </row>
    <row r="247" spans="1:26" ht="11.25" customHeight="1">
      <c r="A247" s="173"/>
      <c r="B247" s="207"/>
      <c r="C247" s="208"/>
      <c r="D247" s="244"/>
      <c r="E247" s="173"/>
      <c r="F247" s="173"/>
      <c r="G247" s="173"/>
      <c r="H247" s="173"/>
      <c r="I247" s="173"/>
      <c r="J247" s="173"/>
      <c r="K247" s="173"/>
      <c r="L247" s="173"/>
      <c r="M247" s="173"/>
      <c r="N247" s="173"/>
      <c r="O247" s="173"/>
      <c r="P247" s="173"/>
      <c r="Q247" s="173"/>
      <c r="R247" s="173"/>
      <c r="S247" s="173"/>
      <c r="T247" s="173"/>
      <c r="U247" s="173"/>
      <c r="V247" s="173"/>
      <c r="W247" s="173"/>
      <c r="X247" s="173"/>
      <c r="Y247" s="173"/>
      <c r="Z247" s="173"/>
    </row>
    <row r="248" spans="1:26" ht="11.25" customHeight="1">
      <c r="A248" s="173"/>
      <c r="B248" s="207"/>
      <c r="C248" s="208"/>
      <c r="D248" s="244"/>
      <c r="E248" s="173"/>
      <c r="F248" s="173"/>
      <c r="G248" s="173"/>
      <c r="H248" s="173"/>
      <c r="I248" s="173"/>
      <c r="J248" s="173"/>
      <c r="K248" s="173"/>
      <c r="L248" s="173"/>
      <c r="M248" s="173"/>
      <c r="N248" s="173"/>
      <c r="O248" s="173"/>
      <c r="P248" s="173"/>
      <c r="Q248" s="173"/>
      <c r="R248" s="173"/>
      <c r="S248" s="173"/>
      <c r="T248" s="173"/>
      <c r="U248" s="173"/>
      <c r="V248" s="173"/>
      <c r="W248" s="173"/>
      <c r="X248" s="173"/>
      <c r="Y248" s="173"/>
      <c r="Z248" s="173"/>
    </row>
    <row r="249" spans="1:26" ht="11.25" customHeight="1">
      <c r="A249" s="173"/>
      <c r="B249" s="207"/>
      <c r="C249" s="208"/>
      <c r="D249" s="244"/>
      <c r="E249" s="173"/>
      <c r="F249" s="173"/>
      <c r="G249" s="173"/>
      <c r="H249" s="173"/>
      <c r="I249" s="173"/>
      <c r="J249" s="173"/>
      <c r="K249" s="173"/>
      <c r="L249" s="173"/>
      <c r="M249" s="173"/>
      <c r="N249" s="173"/>
      <c r="O249" s="173"/>
      <c r="P249" s="173"/>
      <c r="Q249" s="173"/>
      <c r="R249" s="173"/>
      <c r="S249" s="173"/>
      <c r="T249" s="173"/>
      <c r="U249" s="173"/>
      <c r="V249" s="173"/>
      <c r="W249" s="173"/>
      <c r="X249" s="173"/>
      <c r="Y249" s="173"/>
      <c r="Z249" s="173"/>
    </row>
    <row r="250" spans="1:26" ht="11.25" customHeight="1">
      <c r="A250" s="173"/>
      <c r="B250" s="207"/>
      <c r="C250" s="208"/>
      <c r="D250" s="244"/>
      <c r="E250" s="173"/>
      <c r="F250" s="173"/>
      <c r="G250" s="173"/>
      <c r="H250" s="173"/>
      <c r="I250" s="173"/>
      <c r="J250" s="173"/>
      <c r="K250" s="173"/>
      <c r="L250" s="173"/>
      <c r="M250" s="173"/>
      <c r="N250" s="173"/>
      <c r="O250" s="173"/>
      <c r="P250" s="173"/>
      <c r="Q250" s="173"/>
      <c r="R250" s="173"/>
      <c r="S250" s="173"/>
      <c r="T250" s="173"/>
      <c r="U250" s="173"/>
      <c r="V250" s="173"/>
      <c r="W250" s="173"/>
      <c r="X250" s="173"/>
      <c r="Y250" s="173"/>
      <c r="Z250" s="173"/>
    </row>
    <row r="251" spans="1:26" ht="11.25" customHeight="1">
      <c r="A251" s="173"/>
      <c r="B251" s="207"/>
      <c r="C251" s="208"/>
      <c r="D251" s="244"/>
      <c r="E251" s="173"/>
      <c r="F251" s="173"/>
      <c r="G251" s="173"/>
      <c r="H251" s="173"/>
      <c r="I251" s="173"/>
      <c r="J251" s="173"/>
      <c r="K251" s="173"/>
      <c r="L251" s="173"/>
      <c r="M251" s="173"/>
      <c r="N251" s="173"/>
      <c r="O251" s="173"/>
      <c r="P251" s="173"/>
      <c r="Q251" s="173"/>
      <c r="R251" s="173"/>
      <c r="S251" s="173"/>
      <c r="T251" s="173"/>
      <c r="U251" s="173"/>
      <c r="V251" s="173"/>
      <c r="W251" s="173"/>
      <c r="X251" s="173"/>
      <c r="Y251" s="173"/>
      <c r="Z251" s="173"/>
    </row>
    <row r="252" spans="1:26" ht="11.25" customHeight="1">
      <c r="A252" s="173"/>
      <c r="B252" s="207"/>
      <c r="C252" s="208"/>
      <c r="D252" s="244"/>
      <c r="E252" s="173"/>
      <c r="F252" s="173"/>
      <c r="G252" s="173"/>
      <c r="H252" s="173"/>
      <c r="I252" s="173"/>
      <c r="J252" s="173"/>
      <c r="K252" s="173"/>
      <c r="L252" s="173"/>
      <c r="M252" s="173"/>
      <c r="N252" s="173"/>
      <c r="O252" s="173"/>
      <c r="P252" s="173"/>
      <c r="Q252" s="173"/>
      <c r="R252" s="173"/>
      <c r="S252" s="173"/>
      <c r="T252" s="173"/>
      <c r="U252" s="173"/>
      <c r="V252" s="173"/>
      <c r="W252" s="173"/>
      <c r="X252" s="173"/>
      <c r="Y252" s="173"/>
      <c r="Z252" s="173"/>
    </row>
    <row r="253" spans="1:26" ht="11.25" customHeight="1">
      <c r="A253" s="173"/>
      <c r="B253" s="207"/>
      <c r="C253" s="208"/>
      <c r="D253" s="244"/>
      <c r="E253" s="173"/>
      <c r="F253" s="173"/>
      <c r="G253" s="173"/>
      <c r="H253" s="173"/>
      <c r="I253" s="173"/>
      <c r="J253" s="173"/>
      <c r="K253" s="173"/>
      <c r="L253" s="173"/>
      <c r="M253" s="173"/>
      <c r="N253" s="173"/>
      <c r="O253" s="173"/>
      <c r="P253" s="173"/>
      <c r="Q253" s="173"/>
      <c r="R253" s="173"/>
      <c r="S253" s="173"/>
      <c r="T253" s="173"/>
      <c r="U253" s="173"/>
      <c r="V253" s="173"/>
      <c r="W253" s="173"/>
      <c r="X253" s="173"/>
      <c r="Y253" s="173"/>
      <c r="Z253" s="173"/>
    </row>
    <row r="254" spans="1:26" ht="11.25" customHeight="1">
      <c r="A254" s="173"/>
      <c r="B254" s="207"/>
      <c r="C254" s="208"/>
      <c r="D254" s="244"/>
      <c r="E254" s="173"/>
      <c r="F254" s="173"/>
      <c r="G254" s="173"/>
      <c r="H254" s="173"/>
      <c r="I254" s="173"/>
      <c r="J254" s="173"/>
      <c r="K254" s="173"/>
      <c r="L254" s="173"/>
      <c r="M254" s="173"/>
      <c r="N254" s="173"/>
      <c r="O254" s="173"/>
      <c r="P254" s="173"/>
      <c r="Q254" s="173"/>
      <c r="R254" s="173"/>
      <c r="S254" s="173"/>
      <c r="T254" s="173"/>
      <c r="U254" s="173"/>
      <c r="V254" s="173"/>
      <c r="W254" s="173"/>
      <c r="X254" s="173"/>
      <c r="Y254" s="173"/>
      <c r="Z254" s="173"/>
    </row>
    <row r="255" spans="1:26" ht="11.25" customHeight="1">
      <c r="A255" s="173"/>
      <c r="B255" s="207"/>
      <c r="C255" s="208"/>
      <c r="D255" s="244"/>
      <c r="E255" s="173"/>
      <c r="F255" s="173"/>
      <c r="G255" s="173"/>
      <c r="H255" s="173"/>
      <c r="I255" s="173"/>
      <c r="J255" s="173"/>
      <c r="K255" s="173"/>
      <c r="L255" s="173"/>
      <c r="M255" s="173"/>
      <c r="N255" s="173"/>
      <c r="O255" s="173"/>
      <c r="P255" s="173"/>
      <c r="Q255" s="173"/>
      <c r="R255" s="173"/>
      <c r="S255" s="173"/>
      <c r="T255" s="173"/>
      <c r="U255" s="173"/>
      <c r="V255" s="173"/>
      <c r="W255" s="173"/>
      <c r="X255" s="173"/>
      <c r="Y255" s="173"/>
      <c r="Z255" s="173"/>
    </row>
    <row r="256" spans="1:26" ht="11.25" customHeight="1">
      <c r="A256" s="173"/>
      <c r="B256" s="207"/>
      <c r="C256" s="208"/>
      <c r="D256" s="244"/>
      <c r="E256" s="173"/>
      <c r="F256" s="173"/>
      <c r="G256" s="173"/>
      <c r="H256" s="173"/>
      <c r="I256" s="173"/>
      <c r="J256" s="173"/>
      <c r="K256" s="173"/>
      <c r="L256" s="173"/>
      <c r="M256" s="173"/>
      <c r="N256" s="173"/>
      <c r="O256" s="173"/>
      <c r="P256" s="173"/>
      <c r="Q256" s="173"/>
      <c r="R256" s="173"/>
      <c r="S256" s="173"/>
      <c r="T256" s="173"/>
      <c r="U256" s="173"/>
      <c r="V256" s="173"/>
      <c r="W256" s="173"/>
      <c r="X256" s="173"/>
      <c r="Y256" s="173"/>
      <c r="Z256" s="173"/>
    </row>
    <row r="257" spans="1:26" ht="11.25" customHeight="1">
      <c r="A257" s="173"/>
      <c r="B257" s="207"/>
      <c r="C257" s="208"/>
      <c r="D257" s="244"/>
      <c r="E257" s="173"/>
      <c r="F257" s="173"/>
      <c r="G257" s="173"/>
      <c r="H257" s="173"/>
      <c r="I257" s="173"/>
      <c r="J257" s="173"/>
      <c r="K257" s="173"/>
      <c r="L257" s="173"/>
      <c r="M257" s="173"/>
      <c r="N257" s="173"/>
      <c r="O257" s="173"/>
      <c r="P257" s="173"/>
      <c r="Q257" s="173"/>
      <c r="R257" s="173"/>
      <c r="S257" s="173"/>
      <c r="T257" s="173"/>
      <c r="U257" s="173"/>
      <c r="V257" s="173"/>
      <c r="W257" s="173"/>
      <c r="X257" s="173"/>
      <c r="Y257" s="173"/>
      <c r="Z257" s="173"/>
    </row>
    <row r="258" spans="1:26" ht="11.25" customHeight="1">
      <c r="A258" s="173"/>
      <c r="B258" s="207"/>
      <c r="C258" s="208"/>
      <c r="D258" s="244"/>
      <c r="E258" s="173"/>
      <c r="F258" s="173"/>
      <c r="G258" s="173"/>
      <c r="H258" s="173"/>
      <c r="I258" s="173"/>
      <c r="J258" s="173"/>
      <c r="K258" s="173"/>
      <c r="L258" s="173"/>
      <c r="M258" s="173"/>
      <c r="N258" s="173"/>
      <c r="O258" s="173"/>
      <c r="P258" s="173"/>
      <c r="Q258" s="173"/>
      <c r="R258" s="173"/>
      <c r="S258" s="173"/>
      <c r="T258" s="173"/>
      <c r="U258" s="173"/>
      <c r="V258" s="173"/>
      <c r="W258" s="173"/>
      <c r="X258" s="173"/>
      <c r="Y258" s="173"/>
      <c r="Z258" s="173"/>
    </row>
    <row r="259" spans="1:26" ht="11.25" customHeight="1">
      <c r="A259" s="173"/>
      <c r="B259" s="207"/>
      <c r="C259" s="208"/>
      <c r="D259" s="244"/>
      <c r="E259" s="173"/>
      <c r="F259" s="173"/>
      <c r="G259" s="173"/>
      <c r="H259" s="173"/>
      <c r="I259" s="173"/>
      <c r="J259" s="173"/>
      <c r="K259" s="173"/>
      <c r="L259" s="173"/>
      <c r="M259" s="173"/>
      <c r="N259" s="173"/>
      <c r="O259" s="173"/>
      <c r="P259" s="173"/>
      <c r="Q259" s="173"/>
      <c r="R259" s="173"/>
      <c r="S259" s="173"/>
      <c r="T259" s="173"/>
      <c r="U259" s="173"/>
      <c r="V259" s="173"/>
      <c r="W259" s="173"/>
      <c r="X259" s="173"/>
      <c r="Y259" s="173"/>
      <c r="Z259" s="173"/>
    </row>
    <row r="260" spans="1:26" ht="11.25" customHeight="1">
      <c r="A260" s="173"/>
      <c r="B260" s="207"/>
      <c r="C260" s="208"/>
      <c r="D260" s="244"/>
      <c r="E260" s="173"/>
      <c r="F260" s="173"/>
      <c r="G260" s="173"/>
      <c r="H260" s="173"/>
      <c r="I260" s="173"/>
      <c r="J260" s="173"/>
      <c r="K260" s="173"/>
      <c r="L260" s="173"/>
      <c r="M260" s="173"/>
      <c r="N260" s="173"/>
      <c r="O260" s="173"/>
      <c r="P260" s="173"/>
      <c r="Q260" s="173"/>
      <c r="R260" s="173"/>
      <c r="S260" s="173"/>
      <c r="T260" s="173"/>
      <c r="U260" s="173"/>
      <c r="V260" s="173"/>
      <c r="W260" s="173"/>
      <c r="X260" s="173"/>
      <c r="Y260" s="173"/>
      <c r="Z260" s="173"/>
    </row>
    <row r="261" spans="1:26" ht="11.25" customHeight="1">
      <c r="A261" s="173"/>
      <c r="B261" s="207"/>
      <c r="C261" s="208"/>
      <c r="D261" s="244"/>
      <c r="E261" s="173"/>
      <c r="F261" s="173"/>
      <c r="G261" s="173"/>
      <c r="H261" s="173"/>
      <c r="I261" s="173"/>
      <c r="J261" s="173"/>
      <c r="K261" s="173"/>
      <c r="L261" s="173"/>
      <c r="M261" s="173"/>
      <c r="N261" s="173"/>
      <c r="O261" s="173"/>
      <c r="P261" s="173"/>
      <c r="Q261" s="173"/>
      <c r="R261" s="173"/>
      <c r="S261" s="173"/>
      <c r="T261" s="173"/>
      <c r="U261" s="173"/>
      <c r="V261" s="173"/>
      <c r="W261" s="173"/>
      <c r="X261" s="173"/>
      <c r="Y261" s="173"/>
      <c r="Z261" s="173"/>
    </row>
    <row r="262" spans="1:26" ht="11.25" customHeight="1">
      <c r="A262" s="173"/>
      <c r="B262" s="207"/>
      <c r="C262" s="208"/>
      <c r="D262" s="244"/>
      <c r="E262" s="173"/>
      <c r="F262" s="173"/>
      <c r="G262" s="173"/>
      <c r="H262" s="173"/>
      <c r="I262" s="173"/>
      <c r="J262" s="173"/>
      <c r="K262" s="173"/>
      <c r="L262" s="173"/>
      <c r="M262" s="173"/>
      <c r="N262" s="173"/>
      <c r="O262" s="173"/>
      <c r="P262" s="173"/>
      <c r="Q262" s="173"/>
      <c r="R262" s="173"/>
      <c r="S262" s="173"/>
      <c r="T262" s="173"/>
      <c r="U262" s="173"/>
      <c r="V262" s="173"/>
      <c r="W262" s="173"/>
      <c r="X262" s="173"/>
      <c r="Y262" s="173"/>
      <c r="Z262" s="173"/>
    </row>
    <row r="263" spans="1:26" ht="11.25" customHeight="1">
      <c r="A263" s="173"/>
      <c r="B263" s="207"/>
      <c r="C263" s="208"/>
      <c r="D263" s="244"/>
      <c r="E263" s="173"/>
      <c r="F263" s="173"/>
      <c r="G263" s="173"/>
      <c r="H263" s="173"/>
      <c r="I263" s="173"/>
      <c r="J263" s="173"/>
      <c r="K263" s="173"/>
      <c r="L263" s="173"/>
      <c r="M263" s="173"/>
      <c r="N263" s="173"/>
      <c r="O263" s="173"/>
      <c r="P263" s="173"/>
      <c r="Q263" s="173"/>
      <c r="R263" s="173"/>
      <c r="S263" s="173"/>
      <c r="T263" s="173"/>
      <c r="U263" s="173"/>
      <c r="V263" s="173"/>
      <c r="W263" s="173"/>
      <c r="X263" s="173"/>
      <c r="Y263" s="173"/>
      <c r="Z263" s="173"/>
    </row>
    <row r="264" spans="1:26" ht="11.25" customHeight="1">
      <c r="A264" s="173"/>
      <c r="B264" s="207"/>
      <c r="C264" s="208"/>
      <c r="D264" s="244"/>
      <c r="E264" s="173"/>
      <c r="F264" s="173"/>
      <c r="G264" s="173"/>
      <c r="H264" s="173"/>
      <c r="I264" s="173"/>
      <c r="J264" s="173"/>
      <c r="K264" s="173"/>
      <c r="L264" s="173"/>
      <c r="M264" s="173"/>
      <c r="N264" s="173"/>
      <c r="O264" s="173"/>
      <c r="P264" s="173"/>
      <c r="Q264" s="173"/>
      <c r="R264" s="173"/>
      <c r="S264" s="173"/>
      <c r="T264" s="173"/>
      <c r="U264" s="173"/>
      <c r="V264" s="173"/>
      <c r="W264" s="173"/>
      <c r="X264" s="173"/>
      <c r="Y264" s="173"/>
      <c r="Z264" s="173"/>
    </row>
    <row r="265" spans="1:26" ht="11.25" customHeight="1">
      <c r="A265" s="173"/>
      <c r="B265" s="207"/>
      <c r="C265" s="208"/>
      <c r="D265" s="244"/>
      <c r="E265" s="173"/>
      <c r="F265" s="173"/>
      <c r="G265" s="173"/>
      <c r="H265" s="173"/>
      <c r="I265" s="173"/>
      <c r="J265" s="173"/>
      <c r="K265" s="173"/>
      <c r="L265" s="173"/>
      <c r="M265" s="173"/>
      <c r="N265" s="173"/>
      <c r="O265" s="173"/>
      <c r="P265" s="173"/>
      <c r="Q265" s="173"/>
      <c r="R265" s="173"/>
      <c r="S265" s="173"/>
      <c r="T265" s="173"/>
      <c r="U265" s="173"/>
      <c r="V265" s="173"/>
      <c r="W265" s="173"/>
      <c r="X265" s="173"/>
      <c r="Y265" s="173"/>
      <c r="Z265" s="173"/>
    </row>
    <row r="266" spans="1:26" ht="11.25" customHeight="1">
      <c r="A266" s="173"/>
      <c r="B266" s="207"/>
      <c r="C266" s="208"/>
      <c r="D266" s="244"/>
      <c r="E266" s="173"/>
      <c r="F266" s="173"/>
      <c r="G266" s="173"/>
      <c r="H266" s="173"/>
      <c r="I266" s="173"/>
      <c r="J266" s="173"/>
      <c r="K266" s="173"/>
      <c r="L266" s="173"/>
      <c r="M266" s="173"/>
      <c r="N266" s="173"/>
      <c r="O266" s="173"/>
      <c r="P266" s="173"/>
      <c r="Q266" s="173"/>
      <c r="R266" s="173"/>
      <c r="S266" s="173"/>
      <c r="T266" s="173"/>
      <c r="U266" s="173"/>
      <c r="V266" s="173"/>
      <c r="W266" s="173"/>
      <c r="X266" s="173"/>
      <c r="Y266" s="173"/>
      <c r="Z266" s="173"/>
    </row>
    <row r="267" spans="1:26" ht="11.25" customHeight="1">
      <c r="A267" s="173"/>
      <c r="B267" s="207"/>
      <c r="C267" s="208"/>
      <c r="D267" s="244"/>
      <c r="E267" s="173"/>
      <c r="F267" s="173"/>
      <c r="G267" s="173"/>
      <c r="H267" s="173"/>
      <c r="I267" s="173"/>
      <c r="J267" s="173"/>
      <c r="K267" s="173"/>
      <c r="L267" s="173"/>
      <c r="M267" s="173"/>
      <c r="N267" s="173"/>
      <c r="O267" s="173"/>
      <c r="P267" s="173"/>
      <c r="Q267" s="173"/>
      <c r="R267" s="173"/>
      <c r="S267" s="173"/>
      <c r="T267" s="173"/>
      <c r="U267" s="173"/>
      <c r="V267" s="173"/>
      <c r="W267" s="173"/>
      <c r="X267" s="173"/>
      <c r="Y267" s="173"/>
      <c r="Z267" s="173"/>
    </row>
    <row r="268" spans="1:26" ht="11.25" customHeight="1">
      <c r="A268" s="173"/>
      <c r="B268" s="207"/>
      <c r="C268" s="208"/>
      <c r="D268" s="244"/>
      <c r="E268" s="173"/>
      <c r="F268" s="173"/>
      <c r="G268" s="173"/>
      <c r="H268" s="173"/>
      <c r="I268" s="173"/>
      <c r="J268" s="173"/>
      <c r="K268" s="173"/>
      <c r="L268" s="173"/>
      <c r="M268" s="173"/>
      <c r="N268" s="173"/>
      <c r="O268" s="173"/>
      <c r="P268" s="173"/>
      <c r="Q268" s="173"/>
      <c r="R268" s="173"/>
      <c r="S268" s="173"/>
      <c r="T268" s="173"/>
      <c r="U268" s="173"/>
      <c r="V268" s="173"/>
      <c r="W268" s="173"/>
      <c r="X268" s="173"/>
      <c r="Y268" s="173"/>
      <c r="Z268" s="173"/>
    </row>
    <row r="269" spans="1:26" ht="11.25" customHeight="1">
      <c r="A269" s="173"/>
      <c r="B269" s="207"/>
      <c r="C269" s="208"/>
      <c r="D269" s="244"/>
      <c r="E269" s="173"/>
      <c r="F269" s="173"/>
      <c r="G269" s="173"/>
      <c r="H269" s="173"/>
      <c r="I269" s="173"/>
      <c r="J269" s="173"/>
      <c r="K269" s="173"/>
      <c r="L269" s="173"/>
      <c r="M269" s="173"/>
      <c r="N269" s="173"/>
      <c r="O269" s="173"/>
      <c r="P269" s="173"/>
      <c r="Q269" s="173"/>
      <c r="R269" s="173"/>
      <c r="S269" s="173"/>
      <c r="T269" s="173"/>
      <c r="U269" s="173"/>
      <c r="V269" s="173"/>
      <c r="W269" s="173"/>
      <c r="X269" s="173"/>
      <c r="Y269" s="173"/>
      <c r="Z269" s="173"/>
    </row>
    <row r="270" spans="1:26" ht="11.25" customHeight="1">
      <c r="A270" s="173"/>
      <c r="B270" s="207"/>
      <c r="C270" s="208"/>
      <c r="D270" s="244"/>
      <c r="E270" s="173"/>
      <c r="F270" s="173"/>
      <c r="G270" s="173"/>
      <c r="H270" s="173"/>
      <c r="I270" s="173"/>
      <c r="J270" s="173"/>
      <c r="K270" s="173"/>
      <c r="L270" s="173"/>
      <c r="M270" s="173"/>
      <c r="N270" s="173"/>
      <c r="O270" s="173"/>
      <c r="P270" s="173"/>
      <c r="Q270" s="173"/>
      <c r="R270" s="173"/>
      <c r="S270" s="173"/>
      <c r="T270" s="173"/>
      <c r="U270" s="173"/>
      <c r="V270" s="173"/>
      <c r="W270" s="173"/>
      <c r="X270" s="173"/>
      <c r="Y270" s="173"/>
      <c r="Z270" s="173"/>
    </row>
    <row r="271" spans="1:26" ht="11.25" customHeight="1">
      <c r="A271" s="173"/>
      <c r="B271" s="207"/>
      <c r="C271" s="208"/>
      <c r="D271" s="244"/>
      <c r="E271" s="173"/>
      <c r="F271" s="173"/>
      <c r="G271" s="173"/>
      <c r="H271" s="173"/>
      <c r="I271" s="173"/>
      <c r="J271" s="173"/>
      <c r="K271" s="173"/>
      <c r="L271" s="173"/>
      <c r="M271" s="173"/>
      <c r="N271" s="173"/>
      <c r="O271" s="173"/>
      <c r="P271" s="173"/>
      <c r="Q271" s="173"/>
      <c r="R271" s="173"/>
      <c r="S271" s="173"/>
      <c r="T271" s="173"/>
      <c r="U271" s="173"/>
      <c r="V271" s="173"/>
      <c r="W271" s="173"/>
      <c r="X271" s="173"/>
      <c r="Y271" s="173"/>
      <c r="Z271" s="173"/>
    </row>
    <row r="272" spans="1:26" ht="11.25" customHeight="1">
      <c r="A272" s="173"/>
      <c r="B272" s="207"/>
      <c r="C272" s="208"/>
      <c r="D272" s="244"/>
      <c r="E272" s="173"/>
      <c r="F272" s="173"/>
      <c r="G272" s="173"/>
      <c r="H272" s="173"/>
      <c r="I272" s="173"/>
      <c r="J272" s="173"/>
      <c r="K272" s="173"/>
      <c r="L272" s="173"/>
      <c r="M272" s="173"/>
      <c r="N272" s="173"/>
      <c r="O272" s="173"/>
      <c r="P272" s="173"/>
      <c r="Q272" s="173"/>
      <c r="R272" s="173"/>
      <c r="S272" s="173"/>
      <c r="T272" s="173"/>
      <c r="U272" s="173"/>
      <c r="V272" s="173"/>
      <c r="W272" s="173"/>
      <c r="X272" s="173"/>
      <c r="Y272" s="173"/>
      <c r="Z272" s="173"/>
    </row>
    <row r="273" spans="1:26" ht="11.25" customHeight="1">
      <c r="A273" s="173"/>
      <c r="B273" s="207"/>
      <c r="C273" s="208"/>
      <c r="D273" s="244"/>
      <c r="E273" s="173"/>
      <c r="F273" s="173"/>
      <c r="G273" s="173"/>
      <c r="H273" s="173"/>
      <c r="I273" s="173"/>
      <c r="J273" s="173"/>
      <c r="K273" s="173"/>
      <c r="L273" s="173"/>
      <c r="M273" s="173"/>
      <c r="N273" s="173"/>
      <c r="O273" s="173"/>
      <c r="P273" s="173"/>
      <c r="Q273" s="173"/>
      <c r="R273" s="173"/>
      <c r="S273" s="173"/>
      <c r="T273" s="173"/>
      <c r="U273" s="173"/>
      <c r="V273" s="173"/>
      <c r="W273" s="173"/>
      <c r="X273" s="173"/>
      <c r="Y273" s="173"/>
      <c r="Z273" s="173"/>
    </row>
    <row r="274" spans="1:26" ht="11.25" customHeight="1">
      <c r="A274" s="173"/>
      <c r="B274" s="207"/>
      <c r="C274" s="208"/>
      <c r="D274" s="244"/>
      <c r="E274" s="173"/>
      <c r="F274" s="173"/>
      <c r="G274" s="173"/>
      <c r="H274" s="173"/>
      <c r="I274" s="173"/>
      <c r="J274" s="173"/>
      <c r="K274" s="173"/>
      <c r="L274" s="173"/>
      <c r="M274" s="173"/>
      <c r="N274" s="173"/>
      <c r="O274" s="173"/>
      <c r="P274" s="173"/>
      <c r="Q274" s="173"/>
      <c r="R274" s="173"/>
      <c r="S274" s="173"/>
      <c r="T274" s="173"/>
      <c r="U274" s="173"/>
      <c r="V274" s="173"/>
      <c r="W274" s="173"/>
      <c r="X274" s="173"/>
      <c r="Y274" s="173"/>
      <c r="Z274" s="173"/>
    </row>
    <row r="275" spans="1:26" ht="11.25" customHeight="1">
      <c r="A275" s="173"/>
      <c r="B275" s="207"/>
      <c r="C275" s="208"/>
      <c r="D275" s="244"/>
      <c r="E275" s="173"/>
      <c r="F275" s="173"/>
      <c r="G275" s="173"/>
      <c r="H275" s="173"/>
      <c r="I275" s="173"/>
      <c r="J275" s="173"/>
      <c r="K275" s="173"/>
      <c r="L275" s="173"/>
      <c r="M275" s="173"/>
      <c r="N275" s="173"/>
      <c r="O275" s="173"/>
      <c r="P275" s="173"/>
      <c r="Q275" s="173"/>
      <c r="R275" s="173"/>
      <c r="S275" s="173"/>
      <c r="T275" s="173"/>
      <c r="U275" s="173"/>
      <c r="V275" s="173"/>
      <c r="W275" s="173"/>
      <c r="X275" s="173"/>
      <c r="Y275" s="173"/>
      <c r="Z275" s="173"/>
    </row>
    <row r="276" spans="1:26" ht="11.25" customHeight="1">
      <c r="A276" s="173"/>
      <c r="B276" s="207"/>
      <c r="C276" s="208"/>
      <c r="D276" s="244"/>
      <c r="E276" s="173"/>
      <c r="F276" s="173"/>
      <c r="G276" s="173"/>
      <c r="H276" s="173"/>
      <c r="I276" s="173"/>
      <c r="J276" s="173"/>
      <c r="K276" s="173"/>
      <c r="L276" s="173"/>
      <c r="M276" s="173"/>
      <c r="N276" s="173"/>
      <c r="O276" s="173"/>
      <c r="P276" s="173"/>
      <c r="Q276" s="173"/>
      <c r="R276" s="173"/>
      <c r="S276" s="173"/>
      <c r="T276" s="173"/>
      <c r="U276" s="173"/>
      <c r="V276" s="173"/>
      <c r="W276" s="173"/>
      <c r="X276" s="173"/>
      <c r="Y276" s="173"/>
      <c r="Z276" s="173"/>
    </row>
    <row r="277" spans="1:26" ht="11.25" customHeight="1">
      <c r="A277" s="173"/>
      <c r="B277" s="207"/>
      <c r="C277" s="208"/>
      <c r="D277" s="244"/>
      <c r="E277" s="173"/>
      <c r="F277" s="173"/>
      <c r="G277" s="173"/>
      <c r="H277" s="173"/>
      <c r="I277" s="173"/>
      <c r="J277" s="173"/>
      <c r="K277" s="173"/>
      <c r="L277" s="173"/>
      <c r="M277" s="173"/>
      <c r="N277" s="173"/>
      <c r="O277" s="173"/>
      <c r="P277" s="173"/>
      <c r="Q277" s="173"/>
      <c r="R277" s="173"/>
      <c r="S277" s="173"/>
      <c r="T277" s="173"/>
      <c r="U277" s="173"/>
      <c r="V277" s="173"/>
      <c r="W277" s="173"/>
      <c r="X277" s="173"/>
      <c r="Y277" s="173"/>
      <c r="Z277" s="173"/>
    </row>
    <row r="278" spans="1:26" ht="11.25" customHeight="1">
      <c r="A278" s="173"/>
      <c r="B278" s="207"/>
      <c r="C278" s="208"/>
      <c r="D278" s="244"/>
      <c r="E278" s="173"/>
      <c r="F278" s="173"/>
      <c r="G278" s="173"/>
      <c r="H278" s="173"/>
      <c r="I278" s="173"/>
      <c r="J278" s="173"/>
      <c r="K278" s="173"/>
      <c r="L278" s="173"/>
      <c r="M278" s="173"/>
      <c r="N278" s="173"/>
      <c r="O278" s="173"/>
      <c r="P278" s="173"/>
      <c r="Q278" s="173"/>
      <c r="R278" s="173"/>
      <c r="S278" s="173"/>
      <c r="T278" s="173"/>
      <c r="U278" s="173"/>
      <c r="V278" s="173"/>
      <c r="W278" s="173"/>
      <c r="X278" s="173"/>
      <c r="Y278" s="173"/>
      <c r="Z278" s="173"/>
    </row>
    <row r="279" spans="1:26" ht="11.25" customHeight="1">
      <c r="A279" s="173"/>
      <c r="B279" s="207"/>
      <c r="C279" s="208"/>
      <c r="D279" s="244"/>
      <c r="E279" s="173"/>
      <c r="F279" s="173"/>
      <c r="G279" s="173"/>
      <c r="H279" s="173"/>
      <c r="I279" s="173"/>
      <c r="J279" s="173"/>
      <c r="K279" s="173"/>
      <c r="L279" s="173"/>
      <c r="M279" s="173"/>
      <c r="N279" s="173"/>
      <c r="O279" s="173"/>
      <c r="P279" s="173"/>
      <c r="Q279" s="173"/>
      <c r="R279" s="173"/>
      <c r="S279" s="173"/>
      <c r="T279" s="173"/>
      <c r="U279" s="173"/>
      <c r="V279" s="173"/>
      <c r="W279" s="173"/>
      <c r="X279" s="173"/>
      <c r="Y279" s="173"/>
      <c r="Z279" s="173"/>
    </row>
    <row r="280" spans="1:26" ht="11.25" customHeight="1">
      <c r="A280" s="173"/>
      <c r="B280" s="207"/>
      <c r="C280" s="208"/>
      <c r="D280" s="244"/>
      <c r="E280" s="173"/>
      <c r="F280" s="173"/>
      <c r="G280" s="173"/>
      <c r="H280" s="173"/>
      <c r="I280" s="173"/>
      <c r="J280" s="173"/>
      <c r="K280" s="173"/>
      <c r="L280" s="173"/>
      <c r="M280" s="173"/>
      <c r="N280" s="173"/>
      <c r="O280" s="173"/>
      <c r="P280" s="173"/>
      <c r="Q280" s="173"/>
      <c r="R280" s="173"/>
      <c r="S280" s="173"/>
      <c r="T280" s="173"/>
      <c r="U280" s="173"/>
      <c r="V280" s="173"/>
      <c r="W280" s="173"/>
      <c r="X280" s="173"/>
      <c r="Y280" s="173"/>
      <c r="Z280" s="173"/>
    </row>
    <row r="281" spans="1:26" ht="11.25" customHeight="1">
      <c r="A281" s="173"/>
      <c r="B281" s="207"/>
      <c r="C281" s="208"/>
      <c r="D281" s="244"/>
      <c r="E281" s="173"/>
      <c r="F281" s="173"/>
      <c r="G281" s="173"/>
      <c r="H281" s="173"/>
      <c r="I281" s="173"/>
      <c r="J281" s="173"/>
      <c r="K281" s="173"/>
      <c r="L281" s="173"/>
      <c r="M281" s="173"/>
      <c r="N281" s="173"/>
      <c r="O281" s="173"/>
      <c r="P281" s="173"/>
      <c r="Q281" s="173"/>
      <c r="R281" s="173"/>
      <c r="S281" s="173"/>
      <c r="T281" s="173"/>
      <c r="U281" s="173"/>
      <c r="V281" s="173"/>
      <c r="W281" s="173"/>
      <c r="X281" s="173"/>
      <c r="Y281" s="173"/>
      <c r="Z281" s="173"/>
    </row>
    <row r="282" spans="1:26" ht="11.25" customHeight="1">
      <c r="A282" s="173"/>
      <c r="B282" s="207"/>
      <c r="C282" s="208"/>
      <c r="D282" s="244"/>
      <c r="E282" s="173"/>
      <c r="F282" s="173"/>
      <c r="G282" s="173"/>
      <c r="H282" s="173"/>
      <c r="I282" s="173"/>
      <c r="J282" s="173"/>
      <c r="K282" s="173"/>
      <c r="L282" s="173"/>
      <c r="M282" s="173"/>
      <c r="N282" s="173"/>
      <c r="O282" s="173"/>
      <c r="P282" s="173"/>
      <c r="Q282" s="173"/>
      <c r="R282" s="173"/>
      <c r="S282" s="173"/>
      <c r="T282" s="173"/>
      <c r="U282" s="173"/>
      <c r="V282" s="173"/>
      <c r="W282" s="173"/>
      <c r="X282" s="173"/>
      <c r="Y282" s="173"/>
      <c r="Z282" s="173"/>
    </row>
    <row r="283" spans="1:26" ht="11.25" customHeight="1">
      <c r="A283" s="173"/>
      <c r="B283" s="207"/>
      <c r="C283" s="208"/>
      <c r="D283" s="244"/>
      <c r="E283" s="173"/>
      <c r="F283" s="173"/>
      <c r="G283" s="173"/>
      <c r="H283" s="173"/>
      <c r="I283" s="173"/>
      <c r="J283" s="173"/>
      <c r="K283" s="173"/>
      <c r="L283" s="173"/>
      <c r="M283" s="173"/>
      <c r="N283" s="173"/>
      <c r="O283" s="173"/>
      <c r="P283" s="173"/>
      <c r="Q283" s="173"/>
      <c r="R283" s="173"/>
      <c r="S283" s="173"/>
      <c r="T283" s="173"/>
      <c r="U283" s="173"/>
      <c r="V283" s="173"/>
      <c r="W283" s="173"/>
      <c r="X283" s="173"/>
      <c r="Y283" s="173"/>
      <c r="Z283" s="173"/>
    </row>
    <row r="284" spans="1:26" ht="11.25" customHeight="1">
      <c r="A284" s="173"/>
      <c r="B284" s="207"/>
      <c r="C284" s="208"/>
      <c r="D284" s="244"/>
      <c r="E284" s="173"/>
      <c r="F284" s="173"/>
      <c r="G284" s="173"/>
      <c r="H284" s="173"/>
      <c r="I284" s="173"/>
      <c r="J284" s="173"/>
      <c r="K284" s="173"/>
      <c r="L284" s="173"/>
      <c r="M284" s="173"/>
      <c r="N284" s="173"/>
      <c r="O284" s="173"/>
      <c r="P284" s="173"/>
      <c r="Q284" s="173"/>
      <c r="R284" s="173"/>
      <c r="S284" s="173"/>
      <c r="T284" s="173"/>
      <c r="U284" s="173"/>
      <c r="V284" s="173"/>
      <c r="W284" s="173"/>
      <c r="X284" s="173"/>
      <c r="Y284" s="173"/>
      <c r="Z284" s="173"/>
    </row>
    <row r="285" spans="1:26" ht="11.25" customHeight="1">
      <c r="A285" s="173"/>
      <c r="B285" s="207"/>
      <c r="C285" s="208"/>
      <c r="D285" s="244"/>
      <c r="E285" s="173"/>
      <c r="F285" s="173"/>
      <c r="G285" s="173"/>
      <c r="H285" s="173"/>
      <c r="I285" s="173"/>
      <c r="J285" s="173"/>
      <c r="K285" s="173"/>
      <c r="L285" s="173"/>
      <c r="M285" s="173"/>
      <c r="N285" s="173"/>
      <c r="O285" s="173"/>
      <c r="P285" s="173"/>
      <c r="Q285" s="173"/>
      <c r="R285" s="173"/>
      <c r="S285" s="173"/>
      <c r="T285" s="173"/>
      <c r="U285" s="173"/>
      <c r="V285" s="173"/>
      <c r="W285" s="173"/>
      <c r="X285" s="173"/>
      <c r="Y285" s="173"/>
      <c r="Z285" s="173"/>
    </row>
    <row r="286" spans="1:26" ht="11.25" customHeight="1">
      <c r="A286" s="173"/>
      <c r="B286" s="207"/>
      <c r="C286" s="208"/>
      <c r="D286" s="244"/>
      <c r="E286" s="173"/>
      <c r="F286" s="173"/>
      <c r="G286" s="173"/>
      <c r="H286" s="173"/>
      <c r="I286" s="173"/>
      <c r="J286" s="173"/>
      <c r="K286" s="173"/>
      <c r="L286" s="173"/>
      <c r="M286" s="173"/>
      <c r="N286" s="173"/>
      <c r="O286" s="173"/>
      <c r="P286" s="173"/>
      <c r="Q286" s="173"/>
      <c r="R286" s="173"/>
      <c r="S286" s="173"/>
      <c r="T286" s="173"/>
      <c r="U286" s="173"/>
      <c r="V286" s="173"/>
      <c r="W286" s="173"/>
      <c r="X286" s="173"/>
      <c r="Y286" s="173"/>
      <c r="Z286" s="173"/>
    </row>
    <row r="287" spans="1:26" ht="11.25" customHeight="1">
      <c r="A287" s="173"/>
      <c r="B287" s="207"/>
      <c r="C287" s="208"/>
      <c r="D287" s="244"/>
      <c r="E287" s="173"/>
      <c r="F287" s="173"/>
      <c r="G287" s="173"/>
      <c r="H287" s="173"/>
      <c r="I287" s="173"/>
      <c r="J287" s="173"/>
      <c r="K287" s="173"/>
      <c r="L287" s="173"/>
      <c r="M287" s="173"/>
      <c r="N287" s="173"/>
      <c r="O287" s="173"/>
      <c r="P287" s="173"/>
      <c r="Q287" s="173"/>
      <c r="R287" s="173"/>
      <c r="S287" s="173"/>
      <c r="T287" s="173"/>
      <c r="U287" s="173"/>
      <c r="V287" s="173"/>
      <c r="W287" s="173"/>
      <c r="X287" s="173"/>
      <c r="Y287" s="173"/>
      <c r="Z287" s="173"/>
    </row>
    <row r="288" spans="1:26" ht="11.25" customHeight="1">
      <c r="A288" s="173"/>
      <c r="B288" s="207"/>
      <c r="C288" s="208"/>
      <c r="D288" s="244"/>
      <c r="E288" s="173"/>
      <c r="F288" s="173"/>
      <c r="G288" s="173"/>
      <c r="H288" s="173"/>
      <c r="I288" s="173"/>
      <c r="J288" s="173"/>
      <c r="K288" s="173"/>
      <c r="L288" s="173"/>
      <c r="M288" s="173"/>
      <c r="N288" s="173"/>
      <c r="O288" s="173"/>
      <c r="P288" s="173"/>
      <c r="Q288" s="173"/>
      <c r="R288" s="173"/>
      <c r="S288" s="173"/>
      <c r="T288" s="173"/>
      <c r="U288" s="173"/>
      <c r="V288" s="173"/>
      <c r="W288" s="173"/>
      <c r="X288" s="173"/>
      <c r="Y288" s="173"/>
      <c r="Z288" s="173"/>
    </row>
    <row r="289" spans="1:26" ht="11.25" customHeight="1">
      <c r="A289" s="173"/>
      <c r="B289" s="207"/>
      <c r="C289" s="208"/>
      <c r="D289" s="244"/>
      <c r="E289" s="173"/>
      <c r="F289" s="173"/>
      <c r="G289" s="173"/>
      <c r="H289" s="173"/>
      <c r="I289" s="173"/>
      <c r="J289" s="173"/>
      <c r="K289" s="173"/>
      <c r="L289" s="173"/>
      <c r="M289" s="173"/>
      <c r="N289" s="173"/>
      <c r="O289" s="173"/>
      <c r="P289" s="173"/>
      <c r="Q289" s="173"/>
      <c r="R289" s="173"/>
      <c r="S289" s="173"/>
      <c r="T289" s="173"/>
      <c r="U289" s="173"/>
      <c r="V289" s="173"/>
      <c r="W289" s="173"/>
      <c r="X289" s="173"/>
      <c r="Y289" s="173"/>
      <c r="Z289" s="173"/>
    </row>
    <row r="290" spans="1:26" ht="11.25" customHeight="1">
      <c r="A290" s="173"/>
      <c r="B290" s="207"/>
      <c r="C290" s="208"/>
      <c r="D290" s="244"/>
      <c r="E290" s="173"/>
      <c r="F290" s="173"/>
      <c r="G290" s="173"/>
      <c r="H290" s="173"/>
      <c r="I290" s="173"/>
      <c r="J290" s="173"/>
      <c r="K290" s="173"/>
      <c r="L290" s="173"/>
      <c r="M290" s="173"/>
      <c r="N290" s="173"/>
      <c r="O290" s="173"/>
      <c r="P290" s="173"/>
      <c r="Q290" s="173"/>
      <c r="R290" s="173"/>
      <c r="S290" s="173"/>
      <c r="T290" s="173"/>
      <c r="U290" s="173"/>
      <c r="V290" s="173"/>
      <c r="W290" s="173"/>
      <c r="X290" s="173"/>
      <c r="Y290" s="173"/>
      <c r="Z290" s="173"/>
    </row>
    <row r="291" spans="1:26" ht="11.25" customHeight="1">
      <c r="A291" s="173"/>
      <c r="B291" s="207"/>
      <c r="C291" s="208"/>
      <c r="D291" s="244"/>
      <c r="E291" s="173"/>
      <c r="F291" s="173"/>
      <c r="G291" s="173"/>
      <c r="H291" s="173"/>
      <c r="I291" s="173"/>
      <c r="J291" s="173"/>
      <c r="K291" s="173"/>
      <c r="L291" s="173"/>
      <c r="M291" s="173"/>
      <c r="N291" s="173"/>
      <c r="O291" s="173"/>
      <c r="P291" s="173"/>
      <c r="Q291" s="173"/>
      <c r="R291" s="173"/>
      <c r="S291" s="173"/>
      <c r="T291" s="173"/>
      <c r="U291" s="173"/>
      <c r="V291" s="173"/>
      <c r="W291" s="173"/>
      <c r="X291" s="173"/>
      <c r="Y291" s="173"/>
      <c r="Z291" s="173"/>
    </row>
    <row r="292" spans="1:26" ht="11.25" customHeight="1">
      <c r="A292" s="173"/>
      <c r="B292" s="207"/>
      <c r="C292" s="208"/>
      <c r="D292" s="244"/>
      <c r="E292" s="173"/>
      <c r="F292" s="173"/>
      <c r="G292" s="173"/>
      <c r="H292" s="173"/>
      <c r="I292" s="173"/>
      <c r="J292" s="173"/>
      <c r="K292" s="173"/>
      <c r="L292" s="173"/>
      <c r="M292" s="173"/>
      <c r="N292" s="173"/>
      <c r="O292" s="173"/>
      <c r="P292" s="173"/>
      <c r="Q292" s="173"/>
      <c r="R292" s="173"/>
      <c r="S292" s="173"/>
      <c r="T292" s="173"/>
      <c r="U292" s="173"/>
      <c r="V292" s="173"/>
      <c r="W292" s="173"/>
      <c r="X292" s="173"/>
      <c r="Y292" s="173"/>
      <c r="Z292" s="173"/>
    </row>
    <row r="293" spans="1:26" ht="11.25" customHeight="1">
      <c r="A293" s="173"/>
      <c r="B293" s="207"/>
      <c r="C293" s="208"/>
      <c r="D293" s="244"/>
      <c r="E293" s="173"/>
      <c r="F293" s="173"/>
      <c r="G293" s="173"/>
      <c r="H293" s="173"/>
      <c r="I293" s="173"/>
      <c r="J293" s="173"/>
      <c r="K293" s="173"/>
      <c r="L293" s="173"/>
      <c r="M293" s="173"/>
      <c r="N293" s="173"/>
      <c r="O293" s="173"/>
      <c r="P293" s="173"/>
      <c r="Q293" s="173"/>
      <c r="R293" s="173"/>
      <c r="S293" s="173"/>
      <c r="T293" s="173"/>
      <c r="U293" s="173"/>
      <c r="V293" s="173"/>
      <c r="W293" s="173"/>
      <c r="X293" s="173"/>
      <c r="Y293" s="173"/>
      <c r="Z293" s="173"/>
    </row>
    <row r="294" spans="1:26" ht="11.25" customHeight="1">
      <c r="A294" s="173"/>
      <c r="B294" s="207"/>
      <c r="C294" s="208"/>
      <c r="D294" s="244"/>
      <c r="E294" s="173"/>
      <c r="F294" s="173"/>
      <c r="G294" s="173"/>
      <c r="H294" s="173"/>
      <c r="I294" s="173"/>
      <c r="J294" s="173"/>
      <c r="K294" s="173"/>
      <c r="L294" s="173"/>
      <c r="M294" s="173"/>
      <c r="N294" s="173"/>
      <c r="O294" s="173"/>
      <c r="P294" s="173"/>
      <c r="Q294" s="173"/>
      <c r="R294" s="173"/>
      <c r="S294" s="173"/>
      <c r="T294" s="173"/>
      <c r="U294" s="173"/>
      <c r="V294" s="173"/>
      <c r="W294" s="173"/>
      <c r="X294" s="173"/>
      <c r="Y294" s="173"/>
      <c r="Z294" s="173"/>
    </row>
    <row r="295" spans="1:26" ht="11.25" customHeight="1">
      <c r="A295" s="173"/>
      <c r="B295" s="207"/>
      <c r="C295" s="208"/>
      <c r="D295" s="244"/>
      <c r="E295" s="173"/>
      <c r="F295" s="173"/>
      <c r="G295" s="173"/>
      <c r="H295" s="173"/>
      <c r="I295" s="173"/>
      <c r="J295" s="173"/>
      <c r="K295" s="173"/>
      <c r="L295" s="173"/>
      <c r="M295" s="173"/>
      <c r="N295" s="173"/>
      <c r="O295" s="173"/>
      <c r="P295" s="173"/>
      <c r="Q295" s="173"/>
      <c r="R295" s="173"/>
      <c r="S295" s="173"/>
      <c r="T295" s="173"/>
      <c r="U295" s="173"/>
      <c r="V295" s="173"/>
      <c r="W295" s="173"/>
      <c r="X295" s="173"/>
      <c r="Y295" s="173"/>
      <c r="Z295" s="173"/>
    </row>
    <row r="296" spans="1:26" ht="11.25" customHeight="1">
      <c r="A296" s="173"/>
      <c r="B296" s="207"/>
      <c r="C296" s="208"/>
      <c r="D296" s="244"/>
      <c r="E296" s="173"/>
      <c r="F296" s="173"/>
      <c r="G296" s="173"/>
      <c r="H296" s="173"/>
      <c r="I296" s="173"/>
      <c r="J296" s="173"/>
      <c r="K296" s="173"/>
      <c r="L296" s="173"/>
      <c r="M296" s="173"/>
      <c r="N296" s="173"/>
      <c r="O296" s="173"/>
      <c r="P296" s="173"/>
      <c r="Q296" s="173"/>
      <c r="R296" s="173"/>
      <c r="S296" s="173"/>
      <c r="T296" s="173"/>
      <c r="U296" s="173"/>
      <c r="V296" s="173"/>
      <c r="W296" s="173"/>
      <c r="X296" s="173"/>
      <c r="Y296" s="173"/>
      <c r="Z296" s="173"/>
    </row>
    <row r="297" spans="1:26" ht="11.25" customHeight="1">
      <c r="A297" s="173"/>
      <c r="B297" s="207"/>
      <c r="C297" s="208"/>
      <c r="D297" s="244"/>
      <c r="E297" s="173"/>
      <c r="F297" s="173"/>
      <c r="G297" s="173"/>
      <c r="H297" s="173"/>
      <c r="I297" s="173"/>
      <c r="J297" s="173"/>
      <c r="K297" s="173"/>
      <c r="L297" s="173"/>
      <c r="M297" s="173"/>
      <c r="N297" s="173"/>
      <c r="O297" s="173"/>
      <c r="P297" s="173"/>
      <c r="Q297" s="173"/>
      <c r="R297" s="173"/>
      <c r="S297" s="173"/>
      <c r="T297" s="173"/>
      <c r="U297" s="173"/>
      <c r="V297" s="173"/>
      <c r="W297" s="173"/>
      <c r="X297" s="173"/>
      <c r="Y297" s="173"/>
      <c r="Z297" s="173"/>
    </row>
    <row r="298" spans="1:26" ht="11.25" customHeight="1">
      <c r="A298" s="173"/>
      <c r="B298" s="207"/>
      <c r="C298" s="208"/>
      <c r="D298" s="244"/>
      <c r="E298" s="173"/>
      <c r="F298" s="173"/>
      <c r="G298" s="173"/>
      <c r="H298" s="173"/>
      <c r="I298" s="173"/>
      <c r="J298" s="173"/>
      <c r="K298" s="173"/>
      <c r="L298" s="173"/>
      <c r="M298" s="173"/>
      <c r="N298" s="173"/>
      <c r="O298" s="173"/>
      <c r="P298" s="173"/>
      <c r="Q298" s="173"/>
      <c r="R298" s="173"/>
      <c r="S298" s="173"/>
      <c r="T298" s="173"/>
      <c r="U298" s="173"/>
      <c r="V298" s="173"/>
      <c r="W298" s="173"/>
      <c r="X298" s="173"/>
      <c r="Y298" s="173"/>
      <c r="Z298" s="173"/>
    </row>
    <row r="299" spans="1:26" ht="11.25" customHeight="1">
      <c r="A299" s="173"/>
      <c r="B299" s="207"/>
      <c r="C299" s="208"/>
      <c r="D299" s="244"/>
      <c r="E299" s="173"/>
      <c r="F299" s="173"/>
      <c r="G299" s="173"/>
      <c r="H299" s="173"/>
      <c r="I299" s="173"/>
      <c r="J299" s="173"/>
      <c r="K299" s="173"/>
      <c r="L299" s="173"/>
      <c r="M299" s="173"/>
      <c r="N299" s="173"/>
      <c r="O299" s="173"/>
      <c r="P299" s="173"/>
      <c r="Q299" s="173"/>
      <c r="R299" s="173"/>
      <c r="S299" s="173"/>
      <c r="T299" s="173"/>
      <c r="U299" s="173"/>
      <c r="V299" s="173"/>
      <c r="W299" s="173"/>
      <c r="X299" s="173"/>
      <c r="Y299" s="173"/>
      <c r="Z299" s="173"/>
    </row>
    <row r="300" spans="1:26" ht="11.25" customHeight="1">
      <c r="A300" s="173"/>
      <c r="B300" s="207"/>
      <c r="C300" s="208"/>
      <c r="D300" s="244"/>
      <c r="E300" s="173"/>
      <c r="F300" s="173"/>
      <c r="G300" s="173"/>
      <c r="H300" s="173"/>
      <c r="I300" s="173"/>
      <c r="J300" s="173"/>
      <c r="K300" s="173"/>
      <c r="L300" s="173"/>
      <c r="M300" s="173"/>
      <c r="N300" s="173"/>
      <c r="O300" s="173"/>
      <c r="P300" s="173"/>
      <c r="Q300" s="173"/>
      <c r="R300" s="173"/>
      <c r="S300" s="173"/>
      <c r="T300" s="173"/>
      <c r="U300" s="173"/>
      <c r="V300" s="173"/>
      <c r="W300" s="173"/>
      <c r="X300" s="173"/>
      <c r="Y300" s="173"/>
      <c r="Z300" s="173"/>
    </row>
    <row r="301" spans="1:26" ht="11.25" customHeight="1">
      <c r="A301" s="173"/>
      <c r="B301" s="207"/>
      <c r="C301" s="208"/>
      <c r="D301" s="244"/>
      <c r="E301" s="173"/>
      <c r="F301" s="173"/>
      <c r="G301" s="173"/>
      <c r="H301" s="173"/>
      <c r="I301" s="173"/>
      <c r="J301" s="173"/>
      <c r="K301" s="173"/>
      <c r="L301" s="173"/>
      <c r="M301" s="173"/>
      <c r="N301" s="173"/>
      <c r="O301" s="173"/>
      <c r="P301" s="173"/>
      <c r="Q301" s="173"/>
      <c r="R301" s="173"/>
      <c r="S301" s="173"/>
      <c r="T301" s="173"/>
      <c r="U301" s="173"/>
      <c r="V301" s="173"/>
      <c r="W301" s="173"/>
      <c r="X301" s="173"/>
      <c r="Y301" s="173"/>
      <c r="Z301" s="173"/>
    </row>
    <row r="302" spans="1:26" ht="11.25" customHeight="1">
      <c r="A302" s="173"/>
      <c r="B302" s="207"/>
      <c r="C302" s="208"/>
      <c r="D302" s="244"/>
      <c r="E302" s="173"/>
      <c r="F302" s="173"/>
      <c r="G302" s="173"/>
      <c r="H302" s="173"/>
      <c r="I302" s="173"/>
      <c r="J302" s="173"/>
      <c r="K302" s="173"/>
      <c r="L302" s="173"/>
      <c r="M302" s="173"/>
      <c r="N302" s="173"/>
      <c r="O302" s="173"/>
      <c r="P302" s="173"/>
      <c r="Q302" s="173"/>
      <c r="R302" s="173"/>
      <c r="S302" s="173"/>
      <c r="T302" s="173"/>
      <c r="U302" s="173"/>
      <c r="V302" s="173"/>
      <c r="W302" s="173"/>
      <c r="X302" s="173"/>
      <c r="Y302" s="173"/>
      <c r="Z302" s="173"/>
    </row>
    <row r="303" spans="1:26" ht="11.25" customHeight="1">
      <c r="A303" s="173"/>
      <c r="B303" s="207"/>
      <c r="C303" s="208"/>
      <c r="D303" s="244"/>
      <c r="E303" s="173"/>
      <c r="F303" s="173"/>
      <c r="G303" s="173"/>
      <c r="H303" s="173"/>
      <c r="I303" s="173"/>
      <c r="J303" s="173"/>
      <c r="K303" s="173"/>
      <c r="L303" s="173"/>
      <c r="M303" s="173"/>
      <c r="N303" s="173"/>
      <c r="O303" s="173"/>
      <c r="P303" s="173"/>
      <c r="Q303" s="173"/>
      <c r="R303" s="173"/>
      <c r="S303" s="173"/>
      <c r="T303" s="173"/>
      <c r="U303" s="173"/>
      <c r="V303" s="173"/>
      <c r="W303" s="173"/>
      <c r="X303" s="173"/>
      <c r="Y303" s="173"/>
      <c r="Z303" s="173"/>
    </row>
    <row r="304" spans="1:26" ht="11.25" customHeight="1">
      <c r="A304" s="173"/>
      <c r="B304" s="207"/>
      <c r="C304" s="208"/>
      <c r="D304" s="244"/>
      <c r="E304" s="173"/>
      <c r="F304" s="173"/>
      <c r="G304" s="173"/>
      <c r="H304" s="173"/>
      <c r="I304" s="173"/>
      <c r="J304" s="173"/>
      <c r="K304" s="173"/>
      <c r="L304" s="173"/>
      <c r="M304" s="173"/>
      <c r="N304" s="173"/>
      <c r="O304" s="173"/>
      <c r="P304" s="173"/>
      <c r="Q304" s="173"/>
      <c r="R304" s="173"/>
      <c r="S304" s="173"/>
      <c r="T304" s="173"/>
      <c r="U304" s="173"/>
      <c r="V304" s="173"/>
      <c r="W304" s="173"/>
      <c r="X304" s="173"/>
      <c r="Y304" s="173"/>
      <c r="Z304" s="173"/>
    </row>
    <row r="305" spans="1:26" ht="11.25" customHeight="1">
      <c r="A305" s="173"/>
      <c r="B305" s="207"/>
      <c r="C305" s="208"/>
      <c r="D305" s="244"/>
      <c r="E305" s="173"/>
      <c r="F305" s="173"/>
      <c r="G305" s="173"/>
      <c r="H305" s="173"/>
      <c r="I305" s="173"/>
      <c r="J305" s="173"/>
      <c r="K305" s="173"/>
      <c r="L305" s="173"/>
      <c r="M305" s="173"/>
      <c r="N305" s="173"/>
      <c r="O305" s="173"/>
      <c r="P305" s="173"/>
      <c r="Q305" s="173"/>
      <c r="R305" s="173"/>
      <c r="S305" s="173"/>
      <c r="T305" s="173"/>
      <c r="U305" s="173"/>
      <c r="V305" s="173"/>
      <c r="W305" s="173"/>
      <c r="X305" s="173"/>
      <c r="Y305" s="173"/>
      <c r="Z305" s="173"/>
    </row>
    <row r="306" spans="1:26" ht="11.25" customHeight="1">
      <c r="A306" s="173"/>
      <c r="B306" s="207"/>
      <c r="C306" s="208"/>
      <c r="D306" s="244"/>
      <c r="E306" s="173"/>
      <c r="F306" s="173"/>
      <c r="G306" s="173"/>
      <c r="H306" s="173"/>
      <c r="I306" s="173"/>
      <c r="J306" s="173"/>
      <c r="K306" s="173"/>
      <c r="L306" s="173"/>
      <c r="M306" s="173"/>
      <c r="N306" s="173"/>
      <c r="O306" s="173"/>
      <c r="P306" s="173"/>
      <c r="Q306" s="173"/>
      <c r="R306" s="173"/>
      <c r="S306" s="173"/>
      <c r="T306" s="173"/>
      <c r="U306" s="173"/>
      <c r="V306" s="173"/>
      <c r="W306" s="173"/>
      <c r="X306" s="173"/>
      <c r="Y306" s="173"/>
      <c r="Z306" s="173"/>
    </row>
    <row r="307" spans="1:26" ht="11.25" customHeight="1">
      <c r="A307" s="173"/>
      <c r="B307" s="207"/>
      <c r="C307" s="208"/>
      <c r="D307" s="244"/>
      <c r="E307" s="173"/>
      <c r="F307" s="173"/>
      <c r="G307" s="173"/>
      <c r="H307" s="173"/>
      <c r="I307" s="173"/>
      <c r="J307" s="173"/>
      <c r="K307" s="173"/>
      <c r="L307" s="173"/>
      <c r="M307" s="173"/>
      <c r="N307" s="173"/>
      <c r="O307" s="173"/>
      <c r="P307" s="173"/>
      <c r="Q307" s="173"/>
      <c r="R307" s="173"/>
      <c r="S307" s="173"/>
      <c r="T307" s="173"/>
      <c r="U307" s="173"/>
      <c r="V307" s="173"/>
      <c r="W307" s="173"/>
      <c r="X307" s="173"/>
      <c r="Y307" s="173"/>
      <c r="Z307" s="173"/>
    </row>
    <row r="308" spans="1:26" ht="11.25" customHeight="1">
      <c r="A308" s="173"/>
      <c r="B308" s="207"/>
      <c r="C308" s="208"/>
      <c r="D308" s="244"/>
      <c r="E308" s="173"/>
      <c r="F308" s="173"/>
      <c r="G308" s="173"/>
      <c r="H308" s="173"/>
      <c r="I308" s="173"/>
      <c r="J308" s="173"/>
      <c r="K308" s="173"/>
      <c r="L308" s="173"/>
      <c r="M308" s="173"/>
      <c r="N308" s="173"/>
      <c r="O308" s="173"/>
      <c r="P308" s="173"/>
      <c r="Q308" s="173"/>
      <c r="R308" s="173"/>
      <c r="S308" s="173"/>
      <c r="T308" s="173"/>
      <c r="U308" s="173"/>
      <c r="V308" s="173"/>
      <c r="W308" s="173"/>
      <c r="X308" s="173"/>
      <c r="Y308" s="173"/>
      <c r="Z308" s="173"/>
    </row>
    <row r="309" spans="1:26" ht="11.25" customHeight="1">
      <c r="A309" s="173"/>
      <c r="B309" s="207"/>
      <c r="C309" s="208"/>
      <c r="D309" s="244"/>
      <c r="E309" s="173"/>
      <c r="F309" s="173"/>
      <c r="G309" s="173"/>
      <c r="H309" s="173"/>
      <c r="I309" s="173"/>
      <c r="J309" s="173"/>
      <c r="K309" s="173"/>
      <c r="L309" s="173"/>
      <c r="M309" s="173"/>
      <c r="N309" s="173"/>
      <c r="O309" s="173"/>
      <c r="P309" s="173"/>
      <c r="Q309" s="173"/>
      <c r="R309" s="173"/>
      <c r="S309" s="173"/>
      <c r="T309" s="173"/>
      <c r="U309" s="173"/>
      <c r="V309" s="173"/>
      <c r="W309" s="173"/>
      <c r="X309" s="173"/>
      <c r="Y309" s="173"/>
      <c r="Z309" s="173"/>
    </row>
    <row r="310" spans="1:26" ht="11.25" customHeight="1">
      <c r="A310" s="173"/>
      <c r="B310" s="207"/>
      <c r="C310" s="208"/>
      <c r="D310" s="244"/>
      <c r="E310" s="173"/>
      <c r="F310" s="173"/>
      <c r="G310" s="173"/>
      <c r="H310" s="173"/>
      <c r="I310" s="173"/>
      <c r="J310" s="173"/>
      <c r="K310" s="173"/>
      <c r="L310" s="173"/>
      <c r="M310" s="173"/>
      <c r="N310" s="173"/>
      <c r="O310" s="173"/>
      <c r="P310" s="173"/>
      <c r="Q310" s="173"/>
      <c r="R310" s="173"/>
      <c r="S310" s="173"/>
      <c r="T310" s="173"/>
      <c r="U310" s="173"/>
      <c r="V310" s="173"/>
      <c r="W310" s="173"/>
      <c r="X310" s="173"/>
      <c r="Y310" s="173"/>
      <c r="Z310" s="173"/>
    </row>
    <row r="311" spans="1:26" ht="11.25" customHeight="1">
      <c r="A311" s="173"/>
      <c r="B311" s="207"/>
      <c r="C311" s="208"/>
      <c r="D311" s="244"/>
      <c r="E311" s="173"/>
      <c r="F311" s="173"/>
      <c r="G311" s="173"/>
      <c r="H311" s="173"/>
      <c r="I311" s="173"/>
      <c r="J311" s="173"/>
      <c r="K311" s="173"/>
      <c r="L311" s="173"/>
      <c r="M311" s="173"/>
      <c r="N311" s="173"/>
      <c r="O311" s="173"/>
      <c r="P311" s="173"/>
      <c r="Q311" s="173"/>
      <c r="R311" s="173"/>
      <c r="S311" s="173"/>
      <c r="T311" s="173"/>
      <c r="U311" s="173"/>
      <c r="V311" s="173"/>
      <c r="W311" s="173"/>
      <c r="X311" s="173"/>
      <c r="Y311" s="173"/>
      <c r="Z311" s="173"/>
    </row>
    <row r="312" spans="1:26" ht="11.25" customHeight="1">
      <c r="A312" s="173"/>
      <c r="B312" s="207"/>
      <c r="C312" s="208"/>
      <c r="D312" s="244"/>
      <c r="E312" s="173"/>
      <c r="F312" s="173"/>
      <c r="G312" s="173"/>
      <c r="H312" s="173"/>
      <c r="I312" s="173"/>
      <c r="J312" s="173"/>
      <c r="K312" s="173"/>
      <c r="L312" s="173"/>
      <c r="M312" s="173"/>
      <c r="N312" s="173"/>
      <c r="O312" s="173"/>
      <c r="P312" s="173"/>
      <c r="Q312" s="173"/>
      <c r="R312" s="173"/>
      <c r="S312" s="173"/>
      <c r="T312" s="173"/>
      <c r="U312" s="173"/>
      <c r="V312" s="173"/>
      <c r="W312" s="173"/>
      <c r="X312" s="173"/>
      <c r="Y312" s="173"/>
      <c r="Z312" s="173"/>
    </row>
    <row r="313" spans="1:26" ht="11.25" customHeight="1">
      <c r="A313" s="173"/>
      <c r="B313" s="207"/>
      <c r="C313" s="208"/>
      <c r="D313" s="244"/>
      <c r="E313" s="173"/>
      <c r="F313" s="173"/>
      <c r="G313" s="173"/>
      <c r="H313" s="173"/>
      <c r="I313" s="173"/>
      <c r="J313" s="173"/>
      <c r="K313" s="173"/>
      <c r="L313" s="173"/>
      <c r="M313" s="173"/>
      <c r="N313" s="173"/>
      <c r="O313" s="173"/>
      <c r="P313" s="173"/>
      <c r="Q313" s="173"/>
      <c r="R313" s="173"/>
      <c r="S313" s="173"/>
      <c r="T313" s="173"/>
      <c r="U313" s="173"/>
      <c r="V313" s="173"/>
      <c r="W313" s="173"/>
      <c r="X313" s="173"/>
      <c r="Y313" s="173"/>
      <c r="Z313" s="173"/>
    </row>
    <row r="314" spans="1:26" ht="11.25" customHeight="1">
      <c r="A314" s="173"/>
      <c r="B314" s="207"/>
      <c r="C314" s="208"/>
      <c r="D314" s="244"/>
      <c r="E314" s="173"/>
      <c r="F314" s="173"/>
      <c r="G314" s="173"/>
      <c r="H314" s="173"/>
      <c r="I314" s="173"/>
      <c r="J314" s="173"/>
      <c r="K314" s="173"/>
      <c r="L314" s="173"/>
      <c r="M314" s="173"/>
      <c r="N314" s="173"/>
      <c r="O314" s="173"/>
      <c r="P314" s="173"/>
      <c r="Q314" s="173"/>
      <c r="R314" s="173"/>
      <c r="S314" s="173"/>
      <c r="T314" s="173"/>
      <c r="U314" s="173"/>
      <c r="V314" s="173"/>
      <c r="W314" s="173"/>
      <c r="X314" s="173"/>
      <c r="Y314" s="173"/>
      <c r="Z314" s="173"/>
    </row>
    <row r="315" spans="1:26" ht="11.25" customHeight="1">
      <c r="A315" s="173"/>
      <c r="B315" s="207"/>
      <c r="C315" s="208"/>
      <c r="D315" s="244"/>
      <c r="E315" s="173"/>
      <c r="F315" s="173"/>
      <c r="G315" s="173"/>
      <c r="H315" s="173"/>
      <c r="I315" s="173"/>
      <c r="J315" s="173"/>
      <c r="K315" s="173"/>
      <c r="L315" s="173"/>
      <c r="M315" s="173"/>
      <c r="N315" s="173"/>
      <c r="O315" s="173"/>
      <c r="P315" s="173"/>
      <c r="Q315" s="173"/>
      <c r="R315" s="173"/>
      <c r="S315" s="173"/>
      <c r="T315" s="173"/>
      <c r="U315" s="173"/>
      <c r="V315" s="173"/>
      <c r="W315" s="173"/>
      <c r="X315" s="173"/>
      <c r="Y315" s="173"/>
      <c r="Z315" s="173"/>
    </row>
    <row r="316" spans="1:26" ht="11.25" customHeight="1">
      <c r="A316" s="173"/>
      <c r="B316" s="207"/>
      <c r="C316" s="208"/>
      <c r="D316" s="244"/>
      <c r="E316" s="173"/>
      <c r="F316" s="173"/>
      <c r="G316" s="173"/>
      <c r="H316" s="173"/>
      <c r="I316" s="173"/>
      <c r="J316" s="173"/>
      <c r="K316" s="173"/>
      <c r="L316" s="173"/>
      <c r="M316" s="173"/>
      <c r="N316" s="173"/>
      <c r="O316" s="173"/>
      <c r="P316" s="173"/>
      <c r="Q316" s="173"/>
      <c r="R316" s="173"/>
      <c r="S316" s="173"/>
      <c r="T316" s="173"/>
      <c r="U316" s="173"/>
      <c r="V316" s="173"/>
      <c r="W316" s="173"/>
      <c r="X316" s="173"/>
      <c r="Y316" s="173"/>
      <c r="Z316" s="173"/>
    </row>
    <row r="317" spans="1:26" ht="11.25" customHeight="1">
      <c r="A317" s="173"/>
      <c r="B317" s="207"/>
      <c r="C317" s="208"/>
      <c r="D317" s="244"/>
      <c r="E317" s="173"/>
      <c r="F317" s="173"/>
      <c r="G317" s="173"/>
      <c r="H317" s="173"/>
      <c r="I317" s="173"/>
      <c r="J317" s="173"/>
      <c r="K317" s="173"/>
      <c r="L317" s="173"/>
      <c r="M317" s="173"/>
      <c r="N317" s="173"/>
      <c r="O317" s="173"/>
      <c r="P317" s="173"/>
      <c r="Q317" s="173"/>
      <c r="R317" s="173"/>
      <c r="S317" s="173"/>
      <c r="T317" s="173"/>
      <c r="U317" s="173"/>
      <c r="V317" s="173"/>
      <c r="W317" s="173"/>
      <c r="X317" s="173"/>
      <c r="Y317" s="173"/>
      <c r="Z317" s="173"/>
    </row>
    <row r="318" spans="1:26" ht="11.25" customHeight="1">
      <c r="A318" s="173"/>
      <c r="B318" s="207"/>
      <c r="C318" s="208"/>
      <c r="D318" s="244"/>
      <c r="E318" s="173"/>
      <c r="F318" s="173"/>
      <c r="G318" s="173"/>
      <c r="H318" s="173"/>
      <c r="I318" s="173"/>
      <c r="J318" s="173"/>
      <c r="K318" s="173"/>
      <c r="L318" s="173"/>
      <c r="M318" s="173"/>
      <c r="N318" s="173"/>
      <c r="O318" s="173"/>
      <c r="P318" s="173"/>
      <c r="Q318" s="173"/>
      <c r="R318" s="173"/>
      <c r="S318" s="173"/>
      <c r="T318" s="173"/>
      <c r="U318" s="173"/>
      <c r="V318" s="173"/>
      <c r="W318" s="173"/>
      <c r="X318" s="173"/>
      <c r="Y318" s="173"/>
      <c r="Z318" s="173"/>
    </row>
    <row r="319" spans="1:26" ht="11.25" customHeight="1">
      <c r="A319" s="173"/>
      <c r="B319" s="207"/>
      <c r="C319" s="208"/>
      <c r="D319" s="244"/>
      <c r="E319" s="173"/>
      <c r="F319" s="173"/>
      <c r="G319" s="173"/>
      <c r="H319" s="173"/>
      <c r="I319" s="173"/>
      <c r="J319" s="173"/>
      <c r="K319" s="173"/>
      <c r="L319" s="173"/>
      <c r="M319" s="173"/>
      <c r="N319" s="173"/>
      <c r="O319" s="173"/>
      <c r="P319" s="173"/>
      <c r="Q319" s="173"/>
      <c r="R319" s="173"/>
      <c r="S319" s="173"/>
      <c r="T319" s="173"/>
      <c r="U319" s="173"/>
      <c r="V319" s="173"/>
      <c r="W319" s="173"/>
      <c r="X319" s="173"/>
      <c r="Y319" s="173"/>
      <c r="Z319" s="173"/>
    </row>
    <row r="320" spans="1:26" ht="11.25" customHeight="1">
      <c r="A320" s="173"/>
      <c r="B320" s="207"/>
      <c r="C320" s="208"/>
      <c r="D320" s="244"/>
      <c r="E320" s="173"/>
      <c r="F320" s="173"/>
      <c r="G320" s="173"/>
      <c r="H320" s="173"/>
      <c r="I320" s="173"/>
      <c r="J320" s="173"/>
      <c r="K320" s="173"/>
      <c r="L320" s="173"/>
      <c r="M320" s="173"/>
      <c r="N320" s="173"/>
      <c r="O320" s="173"/>
      <c r="P320" s="173"/>
      <c r="Q320" s="173"/>
      <c r="R320" s="173"/>
      <c r="S320" s="173"/>
      <c r="T320" s="173"/>
      <c r="U320" s="173"/>
      <c r="V320" s="173"/>
      <c r="W320" s="173"/>
      <c r="X320" s="173"/>
      <c r="Y320" s="173"/>
      <c r="Z320" s="173"/>
    </row>
    <row r="321" spans="1:26" ht="11.25" customHeight="1">
      <c r="A321" s="173"/>
      <c r="B321" s="207"/>
      <c r="C321" s="208"/>
      <c r="D321" s="244"/>
      <c r="E321" s="173"/>
      <c r="F321" s="173"/>
      <c r="G321" s="173"/>
      <c r="H321" s="173"/>
      <c r="I321" s="173"/>
      <c r="J321" s="173"/>
      <c r="K321" s="173"/>
      <c r="L321" s="173"/>
      <c r="M321" s="173"/>
      <c r="N321" s="173"/>
      <c r="O321" s="173"/>
      <c r="P321" s="173"/>
      <c r="Q321" s="173"/>
      <c r="R321" s="173"/>
      <c r="S321" s="173"/>
      <c r="T321" s="173"/>
      <c r="U321" s="173"/>
      <c r="V321" s="173"/>
      <c r="W321" s="173"/>
      <c r="X321" s="173"/>
      <c r="Y321" s="173"/>
      <c r="Z321" s="173"/>
    </row>
    <row r="322" spans="1:26" ht="11.25" customHeight="1">
      <c r="A322" s="173"/>
      <c r="B322" s="207"/>
      <c r="C322" s="208"/>
      <c r="D322" s="244"/>
      <c r="E322" s="173"/>
      <c r="F322" s="173"/>
      <c r="G322" s="173"/>
      <c r="H322" s="173"/>
      <c r="I322" s="173"/>
      <c r="J322" s="173"/>
      <c r="K322" s="173"/>
      <c r="L322" s="173"/>
      <c r="M322" s="173"/>
      <c r="N322" s="173"/>
      <c r="O322" s="173"/>
      <c r="P322" s="173"/>
      <c r="Q322" s="173"/>
      <c r="R322" s="173"/>
      <c r="S322" s="173"/>
      <c r="T322" s="173"/>
      <c r="U322" s="173"/>
      <c r="V322" s="173"/>
      <c r="W322" s="173"/>
      <c r="X322" s="173"/>
      <c r="Y322" s="173"/>
      <c r="Z322" s="173"/>
    </row>
    <row r="323" spans="1:26" ht="11.25" customHeight="1">
      <c r="A323" s="173"/>
      <c r="B323" s="207"/>
      <c r="C323" s="208"/>
      <c r="D323" s="244"/>
      <c r="E323" s="173"/>
      <c r="F323" s="173"/>
      <c r="G323" s="173"/>
      <c r="H323" s="173"/>
      <c r="I323" s="173"/>
      <c r="J323" s="173"/>
      <c r="K323" s="173"/>
      <c r="L323" s="173"/>
      <c r="M323" s="173"/>
      <c r="N323" s="173"/>
      <c r="O323" s="173"/>
      <c r="P323" s="173"/>
      <c r="Q323" s="173"/>
      <c r="R323" s="173"/>
      <c r="S323" s="173"/>
      <c r="T323" s="173"/>
      <c r="U323" s="173"/>
      <c r="V323" s="173"/>
      <c r="W323" s="173"/>
      <c r="X323" s="173"/>
      <c r="Y323" s="173"/>
      <c r="Z323" s="173"/>
    </row>
    <row r="324" spans="1:26" ht="11.25" customHeight="1">
      <c r="A324" s="173"/>
      <c r="B324" s="207"/>
      <c r="C324" s="208"/>
      <c r="D324" s="244"/>
      <c r="E324" s="173"/>
      <c r="F324" s="173"/>
      <c r="G324" s="173"/>
      <c r="H324" s="173"/>
      <c r="I324" s="173"/>
      <c r="J324" s="173"/>
      <c r="K324" s="173"/>
      <c r="L324" s="173"/>
      <c r="M324" s="173"/>
      <c r="N324" s="173"/>
      <c r="O324" s="173"/>
      <c r="P324" s="173"/>
      <c r="Q324" s="173"/>
      <c r="R324" s="173"/>
      <c r="S324" s="173"/>
      <c r="T324" s="173"/>
      <c r="U324" s="173"/>
      <c r="V324" s="173"/>
      <c r="W324" s="173"/>
      <c r="X324" s="173"/>
      <c r="Y324" s="173"/>
      <c r="Z324" s="173"/>
    </row>
    <row r="325" spans="1:26" ht="11.25" customHeight="1">
      <c r="A325" s="173"/>
      <c r="B325" s="207"/>
      <c r="C325" s="208"/>
      <c r="D325" s="244"/>
      <c r="E325" s="173"/>
      <c r="F325" s="173"/>
      <c r="G325" s="173"/>
      <c r="H325" s="173"/>
      <c r="I325" s="173"/>
      <c r="J325" s="173"/>
      <c r="K325" s="173"/>
      <c r="L325" s="173"/>
      <c r="M325" s="173"/>
      <c r="N325" s="173"/>
      <c r="O325" s="173"/>
      <c r="P325" s="173"/>
      <c r="Q325" s="173"/>
      <c r="R325" s="173"/>
      <c r="S325" s="173"/>
      <c r="T325" s="173"/>
      <c r="U325" s="173"/>
      <c r="V325" s="173"/>
      <c r="W325" s="173"/>
      <c r="X325" s="173"/>
      <c r="Y325" s="173"/>
      <c r="Z325" s="173"/>
    </row>
    <row r="326" spans="1:26" ht="11.25" customHeight="1">
      <c r="A326" s="173"/>
      <c r="B326" s="207"/>
      <c r="C326" s="208"/>
      <c r="D326" s="244"/>
      <c r="E326" s="173"/>
      <c r="F326" s="173"/>
      <c r="G326" s="173"/>
      <c r="H326" s="173"/>
      <c r="I326" s="173"/>
      <c r="J326" s="173"/>
      <c r="K326" s="173"/>
      <c r="L326" s="173"/>
      <c r="M326" s="173"/>
      <c r="N326" s="173"/>
      <c r="O326" s="173"/>
      <c r="P326" s="173"/>
      <c r="Q326" s="173"/>
      <c r="R326" s="173"/>
      <c r="S326" s="173"/>
      <c r="T326" s="173"/>
      <c r="U326" s="173"/>
      <c r="V326" s="173"/>
      <c r="W326" s="173"/>
      <c r="X326" s="173"/>
      <c r="Y326" s="173"/>
      <c r="Z326" s="173"/>
    </row>
    <row r="327" spans="1:26" ht="11.25" customHeight="1">
      <c r="A327" s="173"/>
      <c r="B327" s="207"/>
      <c r="C327" s="208"/>
      <c r="D327" s="244"/>
      <c r="E327" s="173"/>
      <c r="F327" s="173"/>
      <c r="G327" s="173"/>
      <c r="H327" s="173"/>
      <c r="I327" s="173"/>
      <c r="J327" s="173"/>
      <c r="K327" s="173"/>
      <c r="L327" s="173"/>
      <c r="M327" s="173"/>
      <c r="N327" s="173"/>
      <c r="O327" s="173"/>
      <c r="P327" s="173"/>
      <c r="Q327" s="173"/>
      <c r="R327" s="173"/>
      <c r="S327" s="173"/>
      <c r="T327" s="173"/>
      <c r="U327" s="173"/>
      <c r="V327" s="173"/>
      <c r="W327" s="173"/>
      <c r="X327" s="173"/>
      <c r="Y327" s="173"/>
      <c r="Z327" s="173"/>
    </row>
    <row r="328" spans="1:26" ht="11.25" customHeight="1">
      <c r="A328" s="173"/>
      <c r="B328" s="207"/>
      <c r="C328" s="208"/>
      <c r="D328" s="244"/>
      <c r="E328" s="173"/>
      <c r="F328" s="173"/>
      <c r="G328" s="173"/>
      <c r="H328" s="173"/>
      <c r="I328" s="173"/>
      <c r="J328" s="173"/>
      <c r="K328" s="173"/>
      <c r="L328" s="173"/>
      <c r="M328" s="173"/>
      <c r="N328" s="173"/>
      <c r="O328" s="173"/>
      <c r="P328" s="173"/>
      <c r="Q328" s="173"/>
      <c r="R328" s="173"/>
      <c r="S328" s="173"/>
      <c r="T328" s="173"/>
      <c r="U328" s="173"/>
      <c r="V328" s="173"/>
      <c r="W328" s="173"/>
      <c r="X328" s="173"/>
      <c r="Y328" s="173"/>
      <c r="Z328" s="173"/>
    </row>
    <row r="329" spans="1:26" ht="11.25" customHeight="1">
      <c r="A329" s="173"/>
      <c r="B329" s="207"/>
      <c r="C329" s="208"/>
      <c r="D329" s="244"/>
      <c r="E329" s="173"/>
      <c r="F329" s="173"/>
      <c r="G329" s="173"/>
      <c r="H329" s="173"/>
      <c r="I329" s="173"/>
      <c r="J329" s="173"/>
      <c r="K329" s="173"/>
      <c r="L329" s="173"/>
      <c r="M329" s="173"/>
      <c r="N329" s="173"/>
      <c r="O329" s="173"/>
      <c r="P329" s="173"/>
      <c r="Q329" s="173"/>
      <c r="R329" s="173"/>
      <c r="S329" s="173"/>
      <c r="T329" s="173"/>
      <c r="U329" s="173"/>
      <c r="V329" s="173"/>
      <c r="W329" s="173"/>
      <c r="X329" s="173"/>
      <c r="Y329" s="173"/>
      <c r="Z329" s="173"/>
    </row>
    <row r="330" spans="1:26" ht="11.25" customHeight="1">
      <c r="A330" s="173"/>
      <c r="B330" s="207"/>
      <c r="C330" s="208"/>
      <c r="D330" s="244"/>
      <c r="E330" s="173"/>
      <c r="F330" s="173"/>
      <c r="G330" s="173"/>
      <c r="H330" s="173"/>
      <c r="I330" s="173"/>
      <c r="J330" s="173"/>
      <c r="K330" s="173"/>
      <c r="L330" s="173"/>
      <c r="M330" s="173"/>
      <c r="N330" s="173"/>
      <c r="O330" s="173"/>
      <c r="P330" s="173"/>
      <c r="Q330" s="173"/>
      <c r="R330" s="173"/>
      <c r="S330" s="173"/>
      <c r="T330" s="173"/>
      <c r="U330" s="173"/>
      <c r="V330" s="173"/>
      <c r="W330" s="173"/>
      <c r="X330" s="173"/>
      <c r="Y330" s="173"/>
      <c r="Z330" s="173"/>
    </row>
    <row r="331" spans="1:26" ht="11.25" customHeight="1">
      <c r="A331" s="173"/>
      <c r="B331" s="207"/>
      <c r="C331" s="208"/>
      <c r="D331" s="244"/>
      <c r="E331" s="173"/>
      <c r="F331" s="173"/>
      <c r="G331" s="173"/>
      <c r="H331" s="173"/>
      <c r="I331" s="173"/>
      <c r="J331" s="173"/>
      <c r="K331" s="173"/>
      <c r="L331" s="173"/>
      <c r="M331" s="173"/>
      <c r="N331" s="173"/>
      <c r="O331" s="173"/>
      <c r="P331" s="173"/>
      <c r="Q331" s="173"/>
      <c r="R331" s="173"/>
      <c r="S331" s="173"/>
      <c r="T331" s="173"/>
      <c r="U331" s="173"/>
      <c r="V331" s="173"/>
      <c r="W331" s="173"/>
      <c r="X331" s="173"/>
      <c r="Y331" s="173"/>
      <c r="Z331" s="173"/>
    </row>
    <row r="332" spans="1:26" ht="11.25" customHeight="1">
      <c r="A332" s="173"/>
      <c r="B332" s="207"/>
      <c r="C332" s="208"/>
      <c r="D332" s="244"/>
      <c r="E332" s="173"/>
      <c r="F332" s="173"/>
      <c r="G332" s="173"/>
      <c r="H332" s="173"/>
      <c r="I332" s="173"/>
      <c r="J332" s="173"/>
      <c r="K332" s="173"/>
      <c r="L332" s="173"/>
      <c r="M332" s="173"/>
      <c r="N332" s="173"/>
      <c r="O332" s="173"/>
      <c r="P332" s="173"/>
      <c r="Q332" s="173"/>
      <c r="R332" s="173"/>
      <c r="S332" s="173"/>
      <c r="T332" s="173"/>
      <c r="U332" s="173"/>
      <c r="V332" s="173"/>
      <c r="W332" s="173"/>
      <c r="X332" s="173"/>
      <c r="Y332" s="173"/>
      <c r="Z332" s="173"/>
    </row>
    <row r="333" spans="1:26" ht="11.25" customHeight="1">
      <c r="A333" s="173"/>
      <c r="B333" s="207"/>
      <c r="C333" s="208"/>
      <c r="D333" s="244"/>
      <c r="E333" s="173"/>
      <c r="F333" s="173"/>
      <c r="G333" s="173"/>
      <c r="H333" s="173"/>
      <c r="I333" s="173"/>
      <c r="J333" s="173"/>
      <c r="K333" s="173"/>
      <c r="L333" s="173"/>
      <c r="M333" s="173"/>
      <c r="N333" s="173"/>
      <c r="O333" s="173"/>
      <c r="P333" s="173"/>
      <c r="Q333" s="173"/>
      <c r="R333" s="173"/>
      <c r="S333" s="173"/>
      <c r="T333" s="173"/>
      <c r="U333" s="173"/>
      <c r="V333" s="173"/>
      <c r="W333" s="173"/>
      <c r="X333" s="173"/>
      <c r="Y333" s="173"/>
      <c r="Z333" s="173"/>
    </row>
    <row r="334" spans="1:26" ht="11.25" customHeight="1">
      <c r="A334" s="173"/>
      <c r="B334" s="207"/>
      <c r="C334" s="208"/>
      <c r="D334" s="244"/>
      <c r="E334" s="173"/>
      <c r="F334" s="173"/>
      <c r="G334" s="173"/>
      <c r="H334" s="173"/>
      <c r="I334" s="173"/>
      <c r="J334" s="173"/>
      <c r="K334" s="173"/>
      <c r="L334" s="173"/>
      <c r="M334" s="173"/>
      <c r="N334" s="173"/>
      <c r="O334" s="173"/>
      <c r="P334" s="173"/>
      <c r="Q334" s="173"/>
      <c r="R334" s="173"/>
      <c r="S334" s="173"/>
      <c r="T334" s="173"/>
      <c r="U334" s="173"/>
      <c r="V334" s="173"/>
      <c r="W334" s="173"/>
      <c r="X334" s="173"/>
      <c r="Y334" s="173"/>
      <c r="Z334" s="173"/>
    </row>
    <row r="335" spans="1:26" ht="11.25" customHeight="1">
      <c r="A335" s="173"/>
      <c r="B335" s="207"/>
      <c r="C335" s="208"/>
      <c r="D335" s="244"/>
      <c r="E335" s="173"/>
      <c r="F335" s="173"/>
      <c r="G335" s="173"/>
      <c r="H335" s="173"/>
      <c r="I335" s="173"/>
      <c r="J335" s="173"/>
      <c r="K335" s="173"/>
      <c r="L335" s="173"/>
      <c r="M335" s="173"/>
      <c r="N335" s="173"/>
      <c r="O335" s="173"/>
      <c r="P335" s="173"/>
      <c r="Q335" s="173"/>
      <c r="R335" s="173"/>
      <c r="S335" s="173"/>
      <c r="T335" s="173"/>
      <c r="U335" s="173"/>
      <c r="V335" s="173"/>
      <c r="W335" s="173"/>
      <c r="X335" s="173"/>
      <c r="Y335" s="173"/>
      <c r="Z335" s="173"/>
    </row>
    <row r="336" spans="1:26" ht="11.25" customHeight="1">
      <c r="A336" s="173"/>
      <c r="B336" s="207"/>
      <c r="C336" s="208"/>
      <c r="D336" s="244"/>
      <c r="E336" s="173"/>
      <c r="F336" s="173"/>
      <c r="G336" s="173"/>
      <c r="H336" s="173"/>
      <c r="I336" s="173"/>
      <c r="J336" s="173"/>
      <c r="K336" s="173"/>
      <c r="L336" s="173"/>
      <c r="M336" s="173"/>
      <c r="N336" s="173"/>
      <c r="O336" s="173"/>
      <c r="P336" s="173"/>
      <c r="Q336" s="173"/>
      <c r="R336" s="173"/>
      <c r="S336" s="173"/>
      <c r="T336" s="173"/>
      <c r="U336" s="173"/>
      <c r="V336" s="173"/>
      <c r="W336" s="173"/>
      <c r="X336" s="173"/>
      <c r="Y336" s="173"/>
      <c r="Z336" s="173"/>
    </row>
    <row r="337" spans="1:26" ht="11.25" customHeight="1">
      <c r="A337" s="173"/>
      <c r="B337" s="207"/>
      <c r="C337" s="208"/>
      <c r="D337" s="244"/>
      <c r="E337" s="173"/>
      <c r="F337" s="173"/>
      <c r="G337" s="173"/>
      <c r="H337" s="173"/>
      <c r="I337" s="173"/>
      <c r="J337" s="173"/>
      <c r="K337" s="173"/>
      <c r="L337" s="173"/>
      <c r="M337" s="173"/>
      <c r="N337" s="173"/>
      <c r="O337" s="173"/>
      <c r="P337" s="173"/>
      <c r="Q337" s="173"/>
      <c r="R337" s="173"/>
      <c r="S337" s="173"/>
      <c r="T337" s="173"/>
      <c r="U337" s="173"/>
      <c r="V337" s="173"/>
      <c r="W337" s="173"/>
      <c r="X337" s="173"/>
      <c r="Y337" s="173"/>
      <c r="Z337" s="173"/>
    </row>
    <row r="338" spans="1:26" ht="11.25" customHeight="1">
      <c r="A338" s="173"/>
      <c r="B338" s="207"/>
      <c r="C338" s="208"/>
      <c r="D338" s="244"/>
      <c r="E338" s="173"/>
      <c r="F338" s="173"/>
      <c r="G338" s="173"/>
      <c r="H338" s="173"/>
      <c r="I338" s="173"/>
      <c r="J338" s="173"/>
      <c r="K338" s="173"/>
      <c r="L338" s="173"/>
      <c r="M338" s="173"/>
      <c r="N338" s="173"/>
      <c r="O338" s="173"/>
      <c r="P338" s="173"/>
      <c r="Q338" s="173"/>
      <c r="R338" s="173"/>
      <c r="S338" s="173"/>
      <c r="T338" s="173"/>
      <c r="U338" s="173"/>
      <c r="V338" s="173"/>
      <c r="W338" s="173"/>
      <c r="X338" s="173"/>
      <c r="Y338" s="173"/>
      <c r="Z338" s="173"/>
    </row>
    <row r="339" spans="1:26" ht="11.25" customHeight="1">
      <c r="A339" s="173"/>
      <c r="B339" s="207"/>
      <c r="C339" s="208"/>
      <c r="D339" s="244"/>
      <c r="E339" s="173"/>
      <c r="F339" s="173"/>
      <c r="G339" s="173"/>
      <c r="H339" s="173"/>
      <c r="I339" s="173"/>
      <c r="J339" s="173"/>
      <c r="K339" s="173"/>
      <c r="L339" s="173"/>
      <c r="M339" s="173"/>
      <c r="N339" s="173"/>
      <c r="O339" s="173"/>
      <c r="P339" s="173"/>
      <c r="Q339" s="173"/>
      <c r="R339" s="173"/>
      <c r="S339" s="173"/>
      <c r="T339" s="173"/>
      <c r="U339" s="173"/>
      <c r="V339" s="173"/>
      <c r="W339" s="173"/>
      <c r="X339" s="173"/>
      <c r="Y339" s="173"/>
      <c r="Z339" s="173"/>
    </row>
    <row r="340" spans="1:26" ht="11.25" customHeight="1">
      <c r="A340" s="173"/>
      <c r="B340" s="207"/>
      <c r="C340" s="208"/>
      <c r="D340" s="244"/>
      <c r="E340" s="173"/>
      <c r="F340" s="173"/>
      <c r="G340" s="173"/>
      <c r="H340" s="173"/>
      <c r="I340" s="173"/>
      <c r="J340" s="173"/>
      <c r="K340" s="173"/>
      <c r="L340" s="173"/>
      <c r="M340" s="173"/>
      <c r="N340" s="173"/>
      <c r="O340" s="173"/>
      <c r="P340" s="173"/>
      <c r="Q340" s="173"/>
      <c r="R340" s="173"/>
      <c r="S340" s="173"/>
      <c r="T340" s="173"/>
      <c r="U340" s="173"/>
      <c r="V340" s="173"/>
      <c r="W340" s="173"/>
      <c r="X340" s="173"/>
      <c r="Y340" s="173"/>
      <c r="Z340" s="173"/>
    </row>
    <row r="341" spans="1:26" ht="11.25" customHeight="1">
      <c r="A341" s="173"/>
      <c r="B341" s="207"/>
      <c r="C341" s="208"/>
      <c r="D341" s="244"/>
      <c r="E341" s="173"/>
      <c r="F341" s="173"/>
      <c r="G341" s="173"/>
      <c r="H341" s="173"/>
      <c r="I341" s="173"/>
      <c r="J341" s="173"/>
      <c r="K341" s="173"/>
      <c r="L341" s="173"/>
      <c r="M341" s="173"/>
      <c r="N341" s="173"/>
      <c r="O341" s="173"/>
      <c r="P341" s="173"/>
      <c r="Q341" s="173"/>
      <c r="R341" s="173"/>
      <c r="S341" s="173"/>
      <c r="T341" s="173"/>
      <c r="U341" s="173"/>
      <c r="V341" s="173"/>
      <c r="W341" s="173"/>
      <c r="X341" s="173"/>
      <c r="Y341" s="173"/>
      <c r="Z341" s="173"/>
    </row>
    <row r="342" spans="1:26" ht="11.25" customHeight="1">
      <c r="A342" s="173"/>
      <c r="B342" s="207"/>
      <c r="C342" s="208"/>
      <c r="D342" s="244"/>
      <c r="E342" s="173"/>
      <c r="F342" s="173"/>
      <c r="G342" s="173"/>
      <c r="H342" s="173"/>
      <c r="I342" s="173"/>
      <c r="J342" s="173"/>
      <c r="K342" s="173"/>
      <c r="L342" s="173"/>
      <c r="M342" s="173"/>
      <c r="N342" s="173"/>
      <c r="O342" s="173"/>
      <c r="P342" s="173"/>
      <c r="Q342" s="173"/>
      <c r="R342" s="173"/>
      <c r="S342" s="173"/>
      <c r="T342" s="173"/>
      <c r="U342" s="173"/>
      <c r="V342" s="173"/>
      <c r="W342" s="173"/>
      <c r="X342" s="173"/>
      <c r="Y342" s="173"/>
      <c r="Z342" s="173"/>
    </row>
    <row r="343" spans="1:26" ht="11.25" customHeight="1">
      <c r="A343" s="173"/>
      <c r="B343" s="207"/>
      <c r="C343" s="208"/>
      <c r="D343" s="244"/>
      <c r="E343" s="173"/>
      <c r="F343" s="173"/>
      <c r="G343" s="173"/>
      <c r="H343" s="173"/>
      <c r="I343" s="173"/>
      <c r="J343" s="173"/>
      <c r="K343" s="173"/>
      <c r="L343" s="173"/>
      <c r="M343" s="173"/>
      <c r="N343" s="173"/>
      <c r="O343" s="173"/>
      <c r="P343" s="173"/>
      <c r="Q343" s="173"/>
      <c r="R343" s="173"/>
      <c r="S343" s="173"/>
      <c r="T343" s="173"/>
      <c r="U343" s="173"/>
      <c r="V343" s="173"/>
      <c r="W343" s="173"/>
      <c r="X343" s="173"/>
      <c r="Y343" s="173"/>
      <c r="Z343" s="173"/>
    </row>
    <row r="344" spans="1:26" ht="11.25" customHeight="1">
      <c r="A344" s="173"/>
      <c r="B344" s="207"/>
      <c r="C344" s="208"/>
      <c r="D344" s="244"/>
      <c r="E344" s="173"/>
      <c r="F344" s="173"/>
      <c r="G344" s="173"/>
      <c r="H344" s="173"/>
      <c r="I344" s="173"/>
      <c r="J344" s="173"/>
      <c r="K344" s="173"/>
      <c r="L344" s="173"/>
      <c r="M344" s="173"/>
      <c r="N344" s="173"/>
      <c r="O344" s="173"/>
      <c r="P344" s="173"/>
      <c r="Q344" s="173"/>
      <c r="R344" s="173"/>
      <c r="S344" s="173"/>
      <c r="T344" s="173"/>
      <c r="U344" s="173"/>
      <c r="V344" s="173"/>
      <c r="W344" s="173"/>
      <c r="X344" s="173"/>
      <c r="Y344" s="173"/>
      <c r="Z344" s="173"/>
    </row>
    <row r="345" spans="1:26" ht="11.25" customHeight="1">
      <c r="A345" s="173"/>
      <c r="B345" s="207"/>
      <c r="C345" s="208"/>
      <c r="D345" s="244"/>
      <c r="E345" s="173"/>
      <c r="F345" s="173"/>
      <c r="G345" s="173"/>
      <c r="H345" s="173"/>
      <c r="I345" s="173"/>
      <c r="J345" s="173"/>
      <c r="K345" s="173"/>
      <c r="L345" s="173"/>
      <c r="M345" s="173"/>
      <c r="N345" s="173"/>
      <c r="O345" s="173"/>
      <c r="P345" s="173"/>
      <c r="Q345" s="173"/>
      <c r="R345" s="173"/>
      <c r="S345" s="173"/>
      <c r="T345" s="173"/>
      <c r="U345" s="173"/>
      <c r="V345" s="173"/>
      <c r="W345" s="173"/>
      <c r="X345" s="173"/>
      <c r="Y345" s="173"/>
      <c r="Z345" s="173"/>
    </row>
    <row r="346" spans="1:26" ht="11.25" customHeight="1">
      <c r="A346" s="173"/>
      <c r="B346" s="207"/>
      <c r="C346" s="208"/>
      <c r="D346" s="244"/>
      <c r="E346" s="173"/>
      <c r="F346" s="173"/>
      <c r="G346" s="173"/>
      <c r="H346" s="173"/>
      <c r="I346" s="173"/>
      <c r="J346" s="173"/>
      <c r="K346" s="173"/>
      <c r="L346" s="173"/>
      <c r="M346" s="173"/>
      <c r="N346" s="173"/>
      <c r="O346" s="173"/>
      <c r="P346" s="173"/>
      <c r="Q346" s="173"/>
      <c r="R346" s="173"/>
      <c r="S346" s="173"/>
      <c r="T346" s="173"/>
      <c r="U346" s="173"/>
      <c r="V346" s="173"/>
      <c r="W346" s="173"/>
      <c r="X346" s="173"/>
      <c r="Y346" s="173"/>
      <c r="Z346" s="173"/>
    </row>
    <row r="347" spans="1:26" ht="11.25" customHeight="1">
      <c r="A347" s="173"/>
      <c r="B347" s="207"/>
      <c r="C347" s="208"/>
      <c r="D347" s="244"/>
      <c r="E347" s="173"/>
      <c r="F347" s="173"/>
      <c r="G347" s="173"/>
      <c r="H347" s="173"/>
      <c r="I347" s="173"/>
      <c r="J347" s="173"/>
      <c r="K347" s="173"/>
      <c r="L347" s="173"/>
      <c r="M347" s="173"/>
      <c r="N347" s="173"/>
      <c r="O347" s="173"/>
      <c r="P347" s="173"/>
      <c r="Q347" s="173"/>
      <c r="R347" s="173"/>
      <c r="S347" s="173"/>
      <c r="T347" s="173"/>
      <c r="U347" s="173"/>
      <c r="V347" s="173"/>
      <c r="W347" s="173"/>
      <c r="X347" s="173"/>
      <c r="Y347" s="173"/>
      <c r="Z347" s="173"/>
    </row>
    <row r="348" spans="1:26" ht="11.25" customHeight="1">
      <c r="A348" s="173"/>
      <c r="B348" s="207"/>
      <c r="C348" s="208"/>
      <c r="D348" s="244"/>
      <c r="E348" s="173"/>
      <c r="F348" s="173"/>
      <c r="G348" s="173"/>
      <c r="H348" s="173"/>
      <c r="I348" s="173"/>
      <c r="J348" s="173"/>
      <c r="K348" s="173"/>
      <c r="L348" s="173"/>
      <c r="M348" s="173"/>
      <c r="N348" s="173"/>
      <c r="O348" s="173"/>
      <c r="P348" s="173"/>
      <c r="Q348" s="173"/>
      <c r="R348" s="173"/>
      <c r="S348" s="173"/>
      <c r="T348" s="173"/>
      <c r="U348" s="173"/>
      <c r="V348" s="173"/>
      <c r="W348" s="173"/>
      <c r="X348" s="173"/>
      <c r="Y348" s="173"/>
      <c r="Z348" s="173"/>
    </row>
    <row r="349" spans="1:26" ht="11.25" customHeight="1">
      <c r="A349" s="173"/>
      <c r="B349" s="207"/>
      <c r="C349" s="208"/>
      <c r="D349" s="244"/>
      <c r="E349" s="173"/>
      <c r="F349" s="173"/>
      <c r="G349" s="173"/>
      <c r="H349" s="173"/>
      <c r="I349" s="173"/>
      <c r="J349" s="173"/>
      <c r="K349" s="173"/>
      <c r="L349" s="173"/>
      <c r="M349" s="173"/>
      <c r="N349" s="173"/>
      <c r="O349" s="173"/>
      <c r="P349" s="173"/>
      <c r="Q349" s="173"/>
      <c r="R349" s="173"/>
      <c r="S349" s="173"/>
      <c r="T349" s="173"/>
      <c r="U349" s="173"/>
      <c r="V349" s="173"/>
      <c r="W349" s="173"/>
      <c r="X349" s="173"/>
      <c r="Y349" s="173"/>
      <c r="Z349" s="173"/>
    </row>
    <row r="350" spans="1:26" ht="11.25" customHeight="1">
      <c r="A350" s="173"/>
      <c r="B350" s="207"/>
      <c r="C350" s="208"/>
      <c r="D350" s="244"/>
      <c r="E350" s="173"/>
      <c r="F350" s="173"/>
      <c r="G350" s="173"/>
      <c r="H350" s="173"/>
      <c r="I350" s="173"/>
      <c r="J350" s="173"/>
      <c r="K350" s="173"/>
      <c r="L350" s="173"/>
      <c r="M350" s="173"/>
      <c r="N350" s="173"/>
      <c r="O350" s="173"/>
      <c r="P350" s="173"/>
      <c r="Q350" s="173"/>
      <c r="R350" s="173"/>
      <c r="S350" s="173"/>
      <c r="T350" s="173"/>
      <c r="U350" s="173"/>
      <c r="V350" s="173"/>
      <c r="W350" s="173"/>
      <c r="X350" s="173"/>
      <c r="Y350" s="173"/>
      <c r="Z350" s="173"/>
    </row>
    <row r="351" spans="1:26" ht="11.25" customHeight="1">
      <c r="A351" s="173"/>
      <c r="B351" s="207"/>
      <c r="C351" s="208"/>
      <c r="D351" s="244"/>
      <c r="E351" s="173"/>
      <c r="F351" s="173"/>
      <c r="G351" s="173"/>
      <c r="H351" s="173"/>
      <c r="I351" s="173"/>
      <c r="J351" s="173"/>
      <c r="K351" s="173"/>
      <c r="L351" s="173"/>
      <c r="M351" s="173"/>
      <c r="N351" s="173"/>
      <c r="O351" s="173"/>
      <c r="P351" s="173"/>
      <c r="Q351" s="173"/>
      <c r="R351" s="173"/>
      <c r="S351" s="173"/>
      <c r="T351" s="173"/>
      <c r="U351" s="173"/>
      <c r="V351" s="173"/>
      <c r="W351" s="173"/>
      <c r="X351" s="173"/>
      <c r="Y351" s="173"/>
      <c r="Z351" s="173"/>
    </row>
    <row r="352" spans="1:26" ht="11.25" customHeight="1">
      <c r="A352" s="173"/>
      <c r="B352" s="207"/>
      <c r="C352" s="208"/>
      <c r="D352" s="244"/>
      <c r="E352" s="173"/>
      <c r="F352" s="173"/>
      <c r="G352" s="173"/>
      <c r="H352" s="173"/>
      <c r="I352" s="173"/>
      <c r="J352" s="173"/>
      <c r="K352" s="173"/>
      <c r="L352" s="173"/>
      <c r="M352" s="173"/>
      <c r="N352" s="173"/>
      <c r="O352" s="173"/>
      <c r="P352" s="173"/>
      <c r="Q352" s="173"/>
      <c r="R352" s="173"/>
      <c r="S352" s="173"/>
      <c r="T352" s="173"/>
      <c r="U352" s="173"/>
      <c r="V352" s="173"/>
      <c r="W352" s="173"/>
      <c r="X352" s="173"/>
      <c r="Y352" s="173"/>
      <c r="Z352" s="173"/>
    </row>
    <row r="353" spans="1:26" ht="11.25" customHeight="1">
      <c r="A353" s="173"/>
      <c r="B353" s="207"/>
      <c r="C353" s="208"/>
      <c r="D353" s="244"/>
      <c r="E353" s="173"/>
      <c r="F353" s="173"/>
      <c r="G353" s="173"/>
      <c r="H353" s="173"/>
      <c r="I353" s="173"/>
      <c r="J353" s="173"/>
      <c r="K353" s="173"/>
      <c r="L353" s="173"/>
      <c r="M353" s="173"/>
      <c r="N353" s="173"/>
      <c r="O353" s="173"/>
      <c r="P353" s="173"/>
      <c r="Q353" s="173"/>
      <c r="R353" s="173"/>
      <c r="S353" s="173"/>
      <c r="T353" s="173"/>
      <c r="U353" s="173"/>
      <c r="V353" s="173"/>
      <c r="W353" s="173"/>
      <c r="X353" s="173"/>
      <c r="Y353" s="173"/>
      <c r="Z353" s="173"/>
    </row>
    <row r="354" spans="1:26" ht="11.25" customHeight="1">
      <c r="A354" s="173"/>
      <c r="B354" s="207"/>
      <c r="C354" s="208"/>
      <c r="D354" s="244"/>
      <c r="E354" s="173"/>
      <c r="F354" s="173"/>
      <c r="G354" s="173"/>
      <c r="H354" s="173"/>
      <c r="I354" s="173"/>
      <c r="J354" s="173"/>
      <c r="K354" s="173"/>
      <c r="L354" s="173"/>
      <c r="M354" s="173"/>
      <c r="N354" s="173"/>
      <c r="O354" s="173"/>
      <c r="P354" s="173"/>
      <c r="Q354" s="173"/>
      <c r="R354" s="173"/>
      <c r="S354" s="173"/>
      <c r="T354" s="173"/>
      <c r="U354" s="173"/>
      <c r="V354" s="173"/>
      <c r="W354" s="173"/>
      <c r="X354" s="173"/>
      <c r="Y354" s="173"/>
      <c r="Z354" s="173"/>
    </row>
    <row r="355" spans="1:26" ht="11.25" customHeight="1">
      <c r="A355" s="173"/>
      <c r="B355" s="207"/>
      <c r="C355" s="208"/>
      <c r="D355" s="244"/>
      <c r="E355" s="173"/>
      <c r="F355" s="173"/>
      <c r="G355" s="173"/>
      <c r="H355" s="173"/>
      <c r="I355" s="173"/>
      <c r="J355" s="173"/>
      <c r="K355" s="173"/>
      <c r="L355" s="173"/>
      <c r="M355" s="173"/>
      <c r="N355" s="173"/>
      <c r="O355" s="173"/>
      <c r="P355" s="173"/>
      <c r="Q355" s="173"/>
      <c r="R355" s="173"/>
      <c r="S355" s="173"/>
      <c r="T355" s="173"/>
      <c r="U355" s="173"/>
      <c r="V355" s="173"/>
      <c r="W355" s="173"/>
      <c r="X355" s="173"/>
      <c r="Y355" s="173"/>
      <c r="Z355" s="173"/>
    </row>
    <row r="356" spans="1:26" ht="11.25" customHeight="1">
      <c r="A356" s="173"/>
      <c r="B356" s="207"/>
      <c r="C356" s="208"/>
      <c r="D356" s="244"/>
      <c r="E356" s="173"/>
      <c r="F356" s="173"/>
      <c r="G356" s="173"/>
      <c r="H356" s="173"/>
      <c r="I356" s="173"/>
      <c r="J356" s="173"/>
      <c r="K356" s="173"/>
      <c r="L356" s="173"/>
      <c r="M356" s="173"/>
      <c r="N356" s="173"/>
      <c r="O356" s="173"/>
      <c r="P356" s="173"/>
      <c r="Q356" s="173"/>
      <c r="R356" s="173"/>
      <c r="S356" s="173"/>
      <c r="T356" s="173"/>
      <c r="U356" s="173"/>
      <c r="V356" s="173"/>
      <c r="W356" s="173"/>
      <c r="X356" s="173"/>
      <c r="Y356" s="173"/>
      <c r="Z356" s="173"/>
    </row>
    <row r="357" spans="1:26" ht="11.25" customHeight="1">
      <c r="A357" s="173"/>
      <c r="B357" s="207"/>
      <c r="C357" s="208"/>
      <c r="D357" s="244"/>
      <c r="E357" s="173"/>
      <c r="F357" s="173"/>
      <c r="G357" s="173"/>
      <c r="H357" s="173"/>
      <c r="I357" s="173"/>
      <c r="J357" s="173"/>
      <c r="K357" s="173"/>
      <c r="L357" s="173"/>
      <c r="M357" s="173"/>
      <c r="N357" s="173"/>
      <c r="O357" s="173"/>
      <c r="P357" s="173"/>
      <c r="Q357" s="173"/>
      <c r="R357" s="173"/>
      <c r="S357" s="173"/>
      <c r="T357" s="173"/>
      <c r="U357" s="173"/>
      <c r="V357" s="173"/>
      <c r="W357" s="173"/>
      <c r="X357" s="173"/>
      <c r="Y357" s="173"/>
      <c r="Z357" s="173"/>
    </row>
    <row r="358" spans="1:26" ht="11.25" customHeight="1">
      <c r="A358" s="173"/>
      <c r="B358" s="207"/>
      <c r="C358" s="208"/>
      <c r="D358" s="244"/>
      <c r="E358" s="173"/>
      <c r="F358" s="173"/>
      <c r="G358" s="173"/>
      <c r="H358" s="173"/>
      <c r="I358" s="173"/>
      <c r="J358" s="173"/>
      <c r="K358" s="173"/>
      <c r="L358" s="173"/>
      <c r="M358" s="173"/>
      <c r="N358" s="173"/>
      <c r="O358" s="173"/>
      <c r="P358" s="173"/>
      <c r="Q358" s="173"/>
      <c r="R358" s="173"/>
      <c r="S358" s="173"/>
      <c r="T358" s="173"/>
      <c r="U358" s="173"/>
      <c r="V358" s="173"/>
      <c r="W358" s="173"/>
      <c r="X358" s="173"/>
      <c r="Y358" s="173"/>
      <c r="Z358" s="173"/>
    </row>
    <row r="359" spans="1:26" ht="11.25" customHeight="1">
      <c r="A359" s="173"/>
      <c r="B359" s="207"/>
      <c r="C359" s="208"/>
      <c r="D359" s="244"/>
      <c r="E359" s="173"/>
      <c r="F359" s="173"/>
      <c r="G359" s="173"/>
      <c r="H359" s="173"/>
      <c r="I359" s="173"/>
      <c r="J359" s="173"/>
      <c r="K359" s="173"/>
      <c r="L359" s="173"/>
      <c r="M359" s="173"/>
      <c r="N359" s="173"/>
      <c r="O359" s="173"/>
      <c r="P359" s="173"/>
      <c r="Q359" s="173"/>
      <c r="R359" s="173"/>
      <c r="S359" s="173"/>
      <c r="T359" s="173"/>
      <c r="U359" s="173"/>
      <c r="V359" s="173"/>
      <c r="W359" s="173"/>
      <c r="X359" s="173"/>
      <c r="Y359" s="173"/>
      <c r="Z359" s="173"/>
    </row>
    <row r="360" spans="1:26" ht="11.25" customHeight="1">
      <c r="A360" s="173"/>
      <c r="B360" s="207"/>
      <c r="C360" s="208"/>
      <c r="D360" s="244"/>
      <c r="E360" s="173"/>
      <c r="F360" s="173"/>
      <c r="G360" s="173"/>
      <c r="H360" s="173"/>
      <c r="I360" s="173"/>
      <c r="J360" s="173"/>
      <c r="K360" s="173"/>
      <c r="L360" s="173"/>
      <c r="M360" s="173"/>
      <c r="N360" s="173"/>
      <c r="O360" s="173"/>
      <c r="P360" s="173"/>
      <c r="Q360" s="173"/>
      <c r="R360" s="173"/>
      <c r="S360" s="173"/>
      <c r="T360" s="173"/>
      <c r="U360" s="173"/>
      <c r="V360" s="173"/>
      <c r="W360" s="173"/>
      <c r="X360" s="173"/>
      <c r="Y360" s="173"/>
      <c r="Z360" s="173"/>
    </row>
    <row r="361" spans="1:26" ht="11.25" customHeight="1">
      <c r="A361" s="173"/>
      <c r="B361" s="207"/>
      <c r="C361" s="208"/>
      <c r="D361" s="244"/>
      <c r="E361" s="173"/>
      <c r="F361" s="173"/>
      <c r="G361" s="173"/>
      <c r="H361" s="173"/>
      <c r="I361" s="173"/>
      <c r="J361" s="173"/>
      <c r="K361" s="173"/>
      <c r="L361" s="173"/>
      <c r="M361" s="173"/>
      <c r="N361" s="173"/>
      <c r="O361" s="173"/>
      <c r="P361" s="173"/>
      <c r="Q361" s="173"/>
      <c r="R361" s="173"/>
      <c r="S361" s="173"/>
      <c r="T361" s="173"/>
      <c r="U361" s="173"/>
      <c r="V361" s="173"/>
      <c r="W361" s="173"/>
      <c r="X361" s="173"/>
      <c r="Y361" s="173"/>
      <c r="Z361" s="173"/>
    </row>
    <row r="362" spans="1:26" ht="11.25" customHeight="1">
      <c r="A362" s="173"/>
      <c r="B362" s="207"/>
      <c r="C362" s="208"/>
      <c r="D362" s="244"/>
      <c r="E362" s="173"/>
      <c r="F362" s="173"/>
      <c r="G362" s="173"/>
      <c r="H362" s="173"/>
      <c r="I362" s="173"/>
      <c r="J362" s="173"/>
      <c r="K362" s="173"/>
      <c r="L362" s="173"/>
      <c r="M362" s="173"/>
      <c r="N362" s="173"/>
      <c r="O362" s="173"/>
      <c r="P362" s="173"/>
      <c r="Q362" s="173"/>
      <c r="R362" s="173"/>
      <c r="S362" s="173"/>
      <c r="T362" s="173"/>
      <c r="U362" s="173"/>
      <c r="V362" s="173"/>
      <c r="W362" s="173"/>
      <c r="X362" s="173"/>
      <c r="Y362" s="173"/>
      <c r="Z362" s="173"/>
    </row>
    <row r="363" spans="1:26" ht="11.25" customHeight="1">
      <c r="A363" s="173"/>
      <c r="B363" s="207"/>
      <c r="C363" s="208"/>
      <c r="D363" s="244"/>
      <c r="E363" s="173"/>
      <c r="F363" s="173"/>
      <c r="G363" s="173"/>
      <c r="H363" s="173"/>
      <c r="I363" s="173"/>
      <c r="J363" s="173"/>
      <c r="K363" s="173"/>
      <c r="L363" s="173"/>
      <c r="M363" s="173"/>
      <c r="N363" s="173"/>
      <c r="O363" s="173"/>
      <c r="P363" s="173"/>
      <c r="Q363" s="173"/>
      <c r="R363" s="173"/>
      <c r="S363" s="173"/>
      <c r="T363" s="173"/>
      <c r="U363" s="173"/>
      <c r="V363" s="173"/>
      <c r="W363" s="173"/>
      <c r="X363" s="173"/>
      <c r="Y363" s="173"/>
      <c r="Z363" s="173"/>
    </row>
    <row r="364" spans="1:26" ht="11.25" customHeight="1">
      <c r="A364" s="173"/>
      <c r="B364" s="207"/>
      <c r="C364" s="208"/>
      <c r="D364" s="244"/>
      <c r="E364" s="173"/>
      <c r="F364" s="173"/>
      <c r="G364" s="173"/>
      <c r="H364" s="173"/>
      <c r="I364" s="173"/>
      <c r="J364" s="173"/>
      <c r="K364" s="173"/>
      <c r="L364" s="173"/>
      <c r="M364" s="173"/>
      <c r="N364" s="173"/>
      <c r="O364" s="173"/>
      <c r="P364" s="173"/>
      <c r="Q364" s="173"/>
      <c r="R364" s="173"/>
      <c r="S364" s="173"/>
      <c r="T364" s="173"/>
      <c r="U364" s="173"/>
      <c r="V364" s="173"/>
      <c r="W364" s="173"/>
      <c r="X364" s="173"/>
      <c r="Y364" s="173"/>
      <c r="Z364" s="173"/>
    </row>
    <row r="365" spans="1:26" ht="11.25" customHeight="1">
      <c r="A365" s="173"/>
      <c r="B365" s="207"/>
      <c r="C365" s="208"/>
      <c r="D365" s="244"/>
      <c r="E365" s="173"/>
      <c r="F365" s="173"/>
      <c r="G365" s="173"/>
      <c r="H365" s="173"/>
      <c r="I365" s="173"/>
      <c r="J365" s="173"/>
      <c r="K365" s="173"/>
      <c r="L365" s="173"/>
      <c r="M365" s="173"/>
      <c r="N365" s="173"/>
      <c r="O365" s="173"/>
      <c r="P365" s="173"/>
      <c r="Q365" s="173"/>
      <c r="R365" s="173"/>
      <c r="S365" s="173"/>
      <c r="T365" s="173"/>
      <c r="U365" s="173"/>
      <c r="V365" s="173"/>
      <c r="W365" s="173"/>
      <c r="X365" s="173"/>
      <c r="Y365" s="173"/>
      <c r="Z365" s="173"/>
    </row>
    <row r="366" spans="1:26" ht="11.25" customHeight="1">
      <c r="A366" s="173"/>
      <c r="B366" s="207"/>
      <c r="C366" s="208"/>
      <c r="D366" s="244"/>
      <c r="E366" s="173"/>
      <c r="F366" s="173"/>
      <c r="G366" s="173"/>
      <c r="H366" s="173"/>
      <c r="I366" s="173"/>
      <c r="J366" s="173"/>
      <c r="K366" s="173"/>
      <c r="L366" s="173"/>
      <c r="M366" s="173"/>
      <c r="N366" s="173"/>
      <c r="O366" s="173"/>
      <c r="P366" s="173"/>
      <c r="Q366" s="173"/>
      <c r="R366" s="173"/>
      <c r="S366" s="173"/>
      <c r="T366" s="173"/>
      <c r="U366" s="173"/>
      <c r="V366" s="173"/>
      <c r="W366" s="173"/>
      <c r="X366" s="173"/>
      <c r="Y366" s="173"/>
      <c r="Z366" s="173"/>
    </row>
    <row r="367" spans="1:26" ht="11.25" customHeight="1">
      <c r="A367" s="173"/>
      <c r="B367" s="207"/>
      <c r="C367" s="208"/>
      <c r="D367" s="244"/>
      <c r="E367" s="173"/>
      <c r="F367" s="173"/>
      <c r="G367" s="173"/>
      <c r="H367" s="173"/>
      <c r="I367" s="173"/>
      <c r="J367" s="173"/>
      <c r="K367" s="173"/>
      <c r="L367" s="173"/>
      <c r="M367" s="173"/>
      <c r="N367" s="173"/>
      <c r="O367" s="173"/>
      <c r="P367" s="173"/>
      <c r="Q367" s="173"/>
      <c r="R367" s="173"/>
      <c r="S367" s="173"/>
      <c r="T367" s="173"/>
      <c r="U367" s="173"/>
      <c r="V367" s="173"/>
      <c r="W367" s="173"/>
      <c r="X367" s="173"/>
      <c r="Y367" s="173"/>
      <c r="Z367" s="173"/>
    </row>
    <row r="368" spans="1:26" ht="11.25" customHeight="1">
      <c r="A368" s="173"/>
      <c r="B368" s="207"/>
      <c r="C368" s="208"/>
      <c r="D368" s="244"/>
      <c r="E368" s="173"/>
      <c r="F368" s="173"/>
      <c r="G368" s="173"/>
      <c r="H368" s="173"/>
      <c r="I368" s="173"/>
      <c r="J368" s="173"/>
      <c r="K368" s="173"/>
      <c r="L368" s="173"/>
      <c r="M368" s="173"/>
      <c r="N368" s="173"/>
      <c r="O368" s="173"/>
      <c r="P368" s="173"/>
      <c r="Q368" s="173"/>
      <c r="R368" s="173"/>
      <c r="S368" s="173"/>
      <c r="T368" s="173"/>
      <c r="U368" s="173"/>
      <c r="V368" s="173"/>
      <c r="W368" s="173"/>
      <c r="X368" s="173"/>
      <c r="Y368" s="173"/>
      <c r="Z368" s="173"/>
    </row>
    <row r="369" spans="1:26" ht="11.25" customHeight="1">
      <c r="A369" s="173"/>
      <c r="B369" s="207"/>
      <c r="C369" s="208"/>
      <c r="D369" s="244"/>
      <c r="E369" s="173"/>
      <c r="F369" s="173"/>
      <c r="G369" s="173"/>
      <c r="H369" s="173"/>
      <c r="I369" s="173"/>
      <c r="J369" s="173"/>
      <c r="K369" s="173"/>
      <c r="L369" s="173"/>
      <c r="M369" s="173"/>
      <c r="N369" s="173"/>
      <c r="O369" s="173"/>
      <c r="P369" s="173"/>
      <c r="Q369" s="173"/>
      <c r="R369" s="173"/>
      <c r="S369" s="173"/>
      <c r="T369" s="173"/>
      <c r="U369" s="173"/>
      <c r="V369" s="173"/>
      <c r="W369" s="173"/>
      <c r="X369" s="173"/>
      <c r="Y369" s="173"/>
      <c r="Z369" s="173"/>
    </row>
    <row r="370" spans="1:26" ht="11.25" customHeight="1">
      <c r="A370" s="173"/>
      <c r="B370" s="207"/>
      <c r="C370" s="208"/>
      <c r="D370" s="244"/>
      <c r="E370" s="173"/>
      <c r="F370" s="173"/>
      <c r="G370" s="173"/>
      <c r="H370" s="173"/>
      <c r="I370" s="173"/>
      <c r="J370" s="173"/>
      <c r="K370" s="173"/>
      <c r="L370" s="173"/>
      <c r="M370" s="173"/>
      <c r="N370" s="173"/>
      <c r="O370" s="173"/>
      <c r="P370" s="173"/>
      <c r="Q370" s="173"/>
      <c r="R370" s="173"/>
      <c r="S370" s="173"/>
      <c r="T370" s="173"/>
      <c r="U370" s="173"/>
      <c r="V370" s="173"/>
      <c r="W370" s="173"/>
      <c r="X370" s="173"/>
      <c r="Y370" s="173"/>
      <c r="Z370" s="173"/>
    </row>
    <row r="371" spans="1:26" ht="11.25" customHeight="1">
      <c r="A371" s="173"/>
      <c r="B371" s="207"/>
      <c r="C371" s="208"/>
      <c r="D371" s="244"/>
      <c r="E371" s="173"/>
      <c r="F371" s="173"/>
      <c r="G371" s="173"/>
      <c r="H371" s="173"/>
      <c r="I371" s="173"/>
      <c r="J371" s="173"/>
      <c r="K371" s="173"/>
      <c r="L371" s="173"/>
      <c r="M371" s="173"/>
      <c r="N371" s="173"/>
      <c r="O371" s="173"/>
      <c r="P371" s="173"/>
      <c r="Q371" s="173"/>
      <c r="R371" s="173"/>
      <c r="S371" s="173"/>
      <c r="T371" s="173"/>
      <c r="U371" s="173"/>
      <c r="V371" s="173"/>
      <c r="W371" s="173"/>
      <c r="X371" s="173"/>
      <c r="Y371" s="173"/>
      <c r="Z371" s="173"/>
    </row>
    <row r="372" spans="1:26" ht="11.25" customHeight="1">
      <c r="A372" s="173"/>
      <c r="B372" s="207"/>
      <c r="C372" s="208"/>
      <c r="D372" s="244"/>
      <c r="E372" s="173"/>
      <c r="F372" s="173"/>
      <c r="G372" s="173"/>
      <c r="H372" s="173"/>
      <c r="I372" s="173"/>
      <c r="J372" s="173"/>
      <c r="K372" s="173"/>
      <c r="L372" s="173"/>
      <c r="M372" s="173"/>
      <c r="N372" s="173"/>
      <c r="O372" s="173"/>
      <c r="P372" s="173"/>
      <c r="Q372" s="173"/>
      <c r="R372" s="173"/>
      <c r="S372" s="173"/>
      <c r="T372" s="173"/>
      <c r="U372" s="173"/>
      <c r="V372" s="173"/>
      <c r="W372" s="173"/>
      <c r="X372" s="173"/>
      <c r="Y372" s="173"/>
      <c r="Z372" s="173"/>
    </row>
    <row r="373" spans="1:26" ht="11.25" customHeight="1">
      <c r="A373" s="173"/>
      <c r="B373" s="207"/>
      <c r="C373" s="208"/>
      <c r="D373" s="244"/>
      <c r="E373" s="173"/>
      <c r="F373" s="173"/>
      <c r="G373" s="173"/>
      <c r="H373" s="173"/>
      <c r="I373" s="173"/>
      <c r="J373" s="173"/>
      <c r="K373" s="173"/>
      <c r="L373" s="173"/>
      <c r="M373" s="173"/>
      <c r="N373" s="173"/>
      <c r="O373" s="173"/>
      <c r="P373" s="173"/>
      <c r="Q373" s="173"/>
      <c r="R373" s="173"/>
      <c r="S373" s="173"/>
      <c r="T373" s="173"/>
      <c r="U373" s="173"/>
      <c r="V373" s="173"/>
      <c r="W373" s="173"/>
      <c r="X373" s="173"/>
      <c r="Y373" s="173"/>
      <c r="Z373" s="173"/>
    </row>
    <row r="374" spans="1:26" ht="11.25" customHeight="1">
      <c r="A374" s="173"/>
      <c r="B374" s="207"/>
      <c r="C374" s="208"/>
      <c r="D374" s="244"/>
      <c r="E374" s="173"/>
      <c r="F374" s="173"/>
      <c r="G374" s="173"/>
      <c r="H374" s="173"/>
      <c r="I374" s="173"/>
      <c r="J374" s="173"/>
      <c r="K374" s="173"/>
      <c r="L374" s="173"/>
      <c r="M374" s="173"/>
      <c r="N374" s="173"/>
      <c r="O374" s="173"/>
      <c r="P374" s="173"/>
      <c r="Q374" s="173"/>
      <c r="R374" s="173"/>
      <c r="S374" s="173"/>
      <c r="T374" s="173"/>
      <c r="U374" s="173"/>
      <c r="V374" s="173"/>
      <c r="W374" s="173"/>
      <c r="X374" s="173"/>
      <c r="Y374" s="173"/>
      <c r="Z374" s="173"/>
    </row>
    <row r="375" spans="1:26" ht="11.25" customHeight="1">
      <c r="A375" s="173"/>
      <c r="B375" s="207"/>
      <c r="C375" s="208"/>
      <c r="D375" s="244"/>
      <c r="E375" s="173"/>
      <c r="F375" s="173"/>
      <c r="G375" s="173"/>
      <c r="H375" s="173"/>
      <c r="I375" s="173"/>
      <c r="J375" s="173"/>
      <c r="K375" s="173"/>
      <c r="L375" s="173"/>
      <c r="M375" s="173"/>
      <c r="N375" s="173"/>
      <c r="O375" s="173"/>
      <c r="P375" s="173"/>
      <c r="Q375" s="173"/>
      <c r="R375" s="173"/>
      <c r="S375" s="173"/>
      <c r="T375" s="173"/>
      <c r="U375" s="173"/>
      <c r="V375" s="173"/>
      <c r="W375" s="173"/>
      <c r="X375" s="173"/>
      <c r="Y375" s="173"/>
      <c r="Z375" s="173"/>
    </row>
    <row r="376" spans="1:26" ht="11.25" customHeight="1">
      <c r="A376" s="173"/>
      <c r="B376" s="207"/>
      <c r="C376" s="208"/>
      <c r="D376" s="244"/>
      <c r="E376" s="173"/>
      <c r="F376" s="173"/>
      <c r="G376" s="173"/>
      <c r="H376" s="173"/>
      <c r="I376" s="173"/>
      <c r="J376" s="173"/>
      <c r="K376" s="173"/>
      <c r="L376" s="173"/>
      <c r="M376" s="173"/>
      <c r="N376" s="173"/>
      <c r="O376" s="173"/>
      <c r="P376" s="173"/>
      <c r="Q376" s="173"/>
      <c r="R376" s="173"/>
      <c r="S376" s="173"/>
      <c r="T376" s="173"/>
      <c r="U376" s="173"/>
      <c r="V376" s="173"/>
      <c r="W376" s="173"/>
      <c r="X376" s="173"/>
      <c r="Y376" s="173"/>
      <c r="Z376" s="173"/>
    </row>
    <row r="377" spans="1:26" ht="11.25" customHeight="1">
      <c r="A377" s="173"/>
      <c r="B377" s="207"/>
      <c r="C377" s="208"/>
      <c r="D377" s="244"/>
      <c r="E377" s="173"/>
      <c r="F377" s="173"/>
      <c r="G377" s="173"/>
      <c r="H377" s="173"/>
      <c r="I377" s="173"/>
      <c r="J377" s="173"/>
      <c r="K377" s="173"/>
      <c r="L377" s="173"/>
      <c r="M377" s="173"/>
      <c r="N377" s="173"/>
      <c r="O377" s="173"/>
      <c r="P377" s="173"/>
      <c r="Q377" s="173"/>
      <c r="R377" s="173"/>
      <c r="S377" s="173"/>
      <c r="T377" s="173"/>
      <c r="U377" s="173"/>
      <c r="V377" s="173"/>
      <c r="W377" s="173"/>
      <c r="X377" s="173"/>
      <c r="Y377" s="173"/>
      <c r="Z377" s="173"/>
    </row>
    <row r="378" spans="1:26" ht="11.25" customHeight="1">
      <c r="A378" s="173"/>
      <c r="B378" s="207"/>
      <c r="C378" s="208"/>
      <c r="D378" s="244"/>
      <c r="E378" s="173"/>
      <c r="F378" s="173"/>
      <c r="G378" s="173"/>
      <c r="H378" s="173"/>
      <c r="I378" s="173"/>
      <c r="J378" s="173"/>
      <c r="K378" s="173"/>
      <c r="L378" s="173"/>
      <c r="M378" s="173"/>
      <c r="N378" s="173"/>
      <c r="O378" s="173"/>
      <c r="P378" s="173"/>
      <c r="Q378" s="173"/>
      <c r="R378" s="173"/>
      <c r="S378" s="173"/>
      <c r="T378" s="173"/>
      <c r="U378" s="173"/>
      <c r="V378" s="173"/>
      <c r="W378" s="173"/>
      <c r="X378" s="173"/>
      <c r="Y378" s="173"/>
      <c r="Z378" s="173"/>
    </row>
    <row r="379" spans="1:26" ht="11.25" customHeight="1">
      <c r="A379" s="173"/>
      <c r="B379" s="207"/>
      <c r="C379" s="208"/>
      <c r="D379" s="244"/>
      <c r="E379" s="173"/>
      <c r="F379" s="173"/>
      <c r="G379" s="173"/>
      <c r="H379" s="173"/>
      <c r="I379" s="173"/>
      <c r="J379" s="173"/>
      <c r="K379" s="173"/>
      <c r="L379" s="173"/>
      <c r="M379" s="173"/>
      <c r="N379" s="173"/>
      <c r="O379" s="173"/>
      <c r="P379" s="173"/>
      <c r="Q379" s="173"/>
      <c r="R379" s="173"/>
      <c r="S379" s="173"/>
      <c r="T379" s="173"/>
      <c r="U379" s="173"/>
      <c r="V379" s="173"/>
      <c r="W379" s="173"/>
      <c r="X379" s="173"/>
      <c r="Y379" s="173"/>
      <c r="Z379" s="173"/>
    </row>
    <row r="380" spans="1:26" ht="11.25" customHeight="1">
      <c r="A380" s="173"/>
      <c r="B380" s="207"/>
      <c r="C380" s="208"/>
      <c r="D380" s="244"/>
      <c r="E380" s="173"/>
      <c r="F380" s="173"/>
      <c r="G380" s="173"/>
      <c r="H380" s="173"/>
      <c r="I380" s="173"/>
      <c r="J380" s="173"/>
      <c r="K380" s="173"/>
      <c r="L380" s="173"/>
      <c r="M380" s="173"/>
      <c r="N380" s="173"/>
      <c r="O380" s="173"/>
      <c r="P380" s="173"/>
      <c r="Q380" s="173"/>
      <c r="R380" s="173"/>
      <c r="S380" s="173"/>
      <c r="T380" s="173"/>
      <c r="U380" s="173"/>
      <c r="V380" s="173"/>
      <c r="W380" s="173"/>
      <c r="X380" s="173"/>
      <c r="Y380" s="173"/>
      <c r="Z380" s="173"/>
    </row>
    <row r="381" spans="1:26" ht="11.25" customHeight="1">
      <c r="A381" s="173"/>
      <c r="B381" s="207"/>
      <c r="C381" s="208"/>
      <c r="D381" s="244"/>
      <c r="E381" s="173"/>
      <c r="F381" s="173"/>
      <c r="G381" s="173"/>
      <c r="H381" s="173"/>
      <c r="I381" s="173"/>
      <c r="J381" s="173"/>
      <c r="K381" s="173"/>
      <c r="L381" s="173"/>
      <c r="M381" s="173"/>
      <c r="N381" s="173"/>
      <c r="O381" s="173"/>
      <c r="P381" s="173"/>
      <c r="Q381" s="173"/>
      <c r="R381" s="173"/>
      <c r="S381" s="173"/>
      <c r="T381" s="173"/>
      <c r="U381" s="173"/>
      <c r="V381" s="173"/>
      <c r="W381" s="173"/>
      <c r="X381" s="173"/>
      <c r="Y381" s="173"/>
      <c r="Z381" s="173"/>
    </row>
    <row r="382" spans="1:26" ht="11.25" customHeight="1">
      <c r="A382" s="173"/>
      <c r="B382" s="207"/>
      <c r="C382" s="208"/>
      <c r="D382" s="244"/>
      <c r="E382" s="173"/>
      <c r="F382" s="173"/>
      <c r="G382" s="173"/>
      <c r="H382" s="173"/>
      <c r="I382" s="173"/>
      <c r="J382" s="173"/>
      <c r="K382" s="173"/>
      <c r="L382" s="173"/>
      <c r="M382" s="173"/>
      <c r="N382" s="173"/>
      <c r="O382" s="173"/>
      <c r="P382" s="173"/>
      <c r="Q382" s="173"/>
      <c r="R382" s="173"/>
      <c r="S382" s="173"/>
      <c r="T382" s="173"/>
      <c r="U382" s="173"/>
      <c r="V382" s="173"/>
      <c r="W382" s="173"/>
      <c r="X382" s="173"/>
      <c r="Y382" s="173"/>
      <c r="Z382" s="173"/>
    </row>
    <row r="383" spans="1:26" ht="11.25" customHeight="1">
      <c r="A383" s="173"/>
      <c r="B383" s="207"/>
      <c r="C383" s="208"/>
      <c r="D383" s="244"/>
      <c r="E383" s="173"/>
      <c r="F383" s="173"/>
      <c r="G383" s="173"/>
      <c r="H383" s="173"/>
      <c r="I383" s="173"/>
      <c r="J383" s="173"/>
      <c r="K383" s="173"/>
      <c r="L383" s="173"/>
      <c r="M383" s="173"/>
      <c r="N383" s="173"/>
      <c r="O383" s="173"/>
      <c r="P383" s="173"/>
      <c r="Q383" s="173"/>
      <c r="R383" s="173"/>
      <c r="S383" s="173"/>
      <c r="T383" s="173"/>
      <c r="U383" s="173"/>
      <c r="V383" s="173"/>
      <c r="W383" s="173"/>
      <c r="X383" s="173"/>
      <c r="Y383" s="173"/>
      <c r="Z383" s="173"/>
    </row>
    <row r="384" spans="1:26" ht="11.25" customHeight="1">
      <c r="A384" s="173"/>
      <c r="B384" s="207"/>
      <c r="C384" s="208"/>
      <c r="D384" s="244"/>
      <c r="E384" s="173"/>
      <c r="F384" s="173"/>
      <c r="G384" s="173"/>
      <c r="H384" s="173"/>
      <c r="I384" s="173"/>
      <c r="J384" s="173"/>
      <c r="K384" s="173"/>
      <c r="L384" s="173"/>
      <c r="M384" s="173"/>
      <c r="N384" s="173"/>
      <c r="O384" s="173"/>
      <c r="P384" s="173"/>
      <c r="Q384" s="173"/>
      <c r="R384" s="173"/>
      <c r="S384" s="173"/>
      <c r="T384" s="173"/>
      <c r="U384" s="173"/>
      <c r="V384" s="173"/>
      <c r="W384" s="173"/>
      <c r="X384" s="173"/>
      <c r="Y384" s="173"/>
      <c r="Z384" s="173"/>
    </row>
    <row r="385" spans="1:26" ht="11.25" customHeight="1">
      <c r="A385" s="173"/>
      <c r="B385" s="207"/>
      <c r="C385" s="208"/>
      <c r="D385" s="244"/>
      <c r="E385" s="173"/>
      <c r="F385" s="173"/>
      <c r="G385" s="173"/>
      <c r="H385" s="173"/>
      <c r="I385" s="173"/>
      <c r="J385" s="173"/>
      <c r="K385" s="173"/>
      <c r="L385" s="173"/>
      <c r="M385" s="173"/>
      <c r="N385" s="173"/>
      <c r="O385" s="173"/>
      <c r="P385" s="173"/>
      <c r="Q385" s="173"/>
      <c r="R385" s="173"/>
      <c r="S385" s="173"/>
      <c r="T385" s="173"/>
      <c r="U385" s="173"/>
      <c r="V385" s="173"/>
      <c r="W385" s="173"/>
      <c r="X385" s="173"/>
      <c r="Y385" s="173"/>
      <c r="Z385" s="173"/>
    </row>
    <row r="386" spans="1:26" ht="11.25" customHeight="1">
      <c r="A386" s="173"/>
      <c r="B386" s="207"/>
      <c r="C386" s="208"/>
      <c r="D386" s="244"/>
      <c r="E386" s="173"/>
      <c r="F386" s="173"/>
      <c r="G386" s="173"/>
      <c r="H386" s="173"/>
      <c r="I386" s="173"/>
      <c r="J386" s="173"/>
      <c r="K386" s="173"/>
      <c r="L386" s="173"/>
      <c r="M386" s="173"/>
      <c r="N386" s="173"/>
      <c r="O386" s="173"/>
      <c r="P386" s="173"/>
      <c r="Q386" s="173"/>
      <c r="R386" s="173"/>
      <c r="S386" s="173"/>
      <c r="T386" s="173"/>
      <c r="U386" s="173"/>
      <c r="V386" s="173"/>
      <c r="W386" s="173"/>
      <c r="X386" s="173"/>
      <c r="Y386" s="173"/>
      <c r="Z386" s="173"/>
    </row>
    <row r="387" spans="1:26" ht="11.25" customHeight="1">
      <c r="A387" s="173"/>
      <c r="B387" s="207"/>
      <c r="C387" s="208"/>
      <c r="D387" s="244"/>
      <c r="E387" s="173"/>
      <c r="F387" s="173"/>
      <c r="G387" s="173"/>
      <c r="H387" s="173"/>
      <c r="I387" s="173"/>
      <c r="J387" s="173"/>
      <c r="K387" s="173"/>
      <c r="L387" s="173"/>
      <c r="M387" s="173"/>
      <c r="N387" s="173"/>
      <c r="O387" s="173"/>
      <c r="P387" s="173"/>
      <c r="Q387" s="173"/>
      <c r="R387" s="173"/>
      <c r="S387" s="173"/>
      <c r="T387" s="173"/>
      <c r="U387" s="173"/>
      <c r="V387" s="173"/>
      <c r="W387" s="173"/>
      <c r="X387" s="173"/>
      <c r="Y387" s="173"/>
      <c r="Z387" s="173"/>
    </row>
    <row r="388" spans="1:26" ht="11.25" customHeight="1">
      <c r="A388" s="173"/>
      <c r="B388" s="207"/>
      <c r="C388" s="208"/>
      <c r="D388" s="244"/>
      <c r="E388" s="173"/>
      <c r="F388" s="173"/>
      <c r="G388" s="173"/>
      <c r="H388" s="173"/>
      <c r="I388" s="173"/>
      <c r="J388" s="173"/>
      <c r="K388" s="173"/>
      <c r="L388" s="173"/>
      <c r="M388" s="173"/>
      <c r="N388" s="173"/>
      <c r="O388" s="173"/>
      <c r="P388" s="173"/>
      <c r="Q388" s="173"/>
      <c r="R388" s="173"/>
      <c r="S388" s="173"/>
      <c r="T388" s="173"/>
      <c r="U388" s="173"/>
      <c r="V388" s="173"/>
      <c r="W388" s="173"/>
      <c r="X388" s="173"/>
      <c r="Y388" s="173"/>
      <c r="Z388" s="173"/>
    </row>
    <row r="389" spans="1:26" ht="11.25" customHeight="1">
      <c r="A389" s="173"/>
      <c r="B389" s="207"/>
      <c r="C389" s="208"/>
      <c r="D389" s="244"/>
      <c r="E389" s="173"/>
      <c r="F389" s="173"/>
      <c r="G389" s="173"/>
      <c r="H389" s="173"/>
      <c r="I389" s="173"/>
      <c r="J389" s="173"/>
      <c r="K389" s="173"/>
      <c r="L389" s="173"/>
      <c r="M389" s="173"/>
      <c r="N389" s="173"/>
      <c r="O389" s="173"/>
      <c r="P389" s="173"/>
      <c r="Q389" s="173"/>
      <c r="R389" s="173"/>
      <c r="S389" s="173"/>
      <c r="T389" s="173"/>
      <c r="U389" s="173"/>
      <c r="V389" s="173"/>
      <c r="W389" s="173"/>
      <c r="X389" s="173"/>
      <c r="Y389" s="173"/>
      <c r="Z389" s="173"/>
    </row>
    <row r="390" spans="1:26" ht="11.25" customHeight="1">
      <c r="A390" s="173"/>
      <c r="B390" s="207"/>
      <c r="C390" s="208"/>
      <c r="D390" s="244"/>
      <c r="E390" s="173"/>
      <c r="F390" s="173"/>
      <c r="G390" s="173"/>
      <c r="H390" s="173"/>
      <c r="I390" s="173"/>
      <c r="J390" s="173"/>
      <c r="K390" s="173"/>
      <c r="L390" s="173"/>
      <c r="M390" s="173"/>
      <c r="N390" s="173"/>
      <c r="O390" s="173"/>
      <c r="P390" s="173"/>
      <c r="Q390" s="173"/>
      <c r="R390" s="173"/>
      <c r="S390" s="173"/>
      <c r="T390" s="173"/>
      <c r="U390" s="173"/>
      <c r="V390" s="173"/>
      <c r="W390" s="173"/>
      <c r="X390" s="173"/>
      <c r="Y390" s="173"/>
      <c r="Z390" s="173"/>
    </row>
    <row r="391" spans="1:26" ht="11.25" customHeight="1">
      <c r="A391" s="173"/>
      <c r="B391" s="207"/>
      <c r="C391" s="208"/>
      <c r="D391" s="244"/>
      <c r="E391" s="173"/>
      <c r="F391" s="173"/>
      <c r="G391" s="173"/>
      <c r="H391" s="173"/>
      <c r="I391" s="173"/>
      <c r="J391" s="173"/>
      <c r="K391" s="173"/>
      <c r="L391" s="173"/>
      <c r="M391" s="173"/>
      <c r="N391" s="173"/>
      <c r="O391" s="173"/>
      <c r="P391" s="173"/>
      <c r="Q391" s="173"/>
      <c r="R391" s="173"/>
      <c r="S391" s="173"/>
      <c r="T391" s="173"/>
      <c r="U391" s="173"/>
      <c r="V391" s="173"/>
      <c r="W391" s="173"/>
      <c r="X391" s="173"/>
      <c r="Y391" s="173"/>
      <c r="Z391" s="173"/>
    </row>
    <row r="392" spans="1:26" ht="11.25" customHeight="1">
      <c r="A392" s="173"/>
      <c r="B392" s="207"/>
      <c r="C392" s="208"/>
      <c r="D392" s="244"/>
      <c r="E392" s="173"/>
      <c r="F392" s="173"/>
      <c r="G392" s="173"/>
      <c r="H392" s="173"/>
      <c r="I392" s="173"/>
      <c r="J392" s="173"/>
      <c r="K392" s="173"/>
      <c r="L392" s="173"/>
      <c r="M392" s="173"/>
      <c r="N392" s="173"/>
      <c r="O392" s="173"/>
      <c r="P392" s="173"/>
      <c r="Q392" s="173"/>
      <c r="R392" s="173"/>
      <c r="S392" s="173"/>
      <c r="T392" s="173"/>
      <c r="U392" s="173"/>
      <c r="V392" s="173"/>
      <c r="W392" s="173"/>
      <c r="X392" s="173"/>
      <c r="Y392" s="173"/>
      <c r="Z392" s="173"/>
    </row>
    <row r="393" spans="1:26" ht="11.25" customHeight="1">
      <c r="A393" s="173"/>
      <c r="B393" s="207"/>
      <c r="C393" s="208"/>
      <c r="D393" s="244"/>
      <c r="E393" s="173"/>
      <c r="F393" s="173"/>
      <c r="G393" s="173"/>
      <c r="H393" s="173"/>
      <c r="I393" s="173"/>
      <c r="J393" s="173"/>
      <c r="K393" s="173"/>
      <c r="L393" s="173"/>
      <c r="M393" s="173"/>
      <c r="N393" s="173"/>
      <c r="O393" s="173"/>
      <c r="P393" s="173"/>
      <c r="Q393" s="173"/>
      <c r="R393" s="173"/>
      <c r="S393" s="173"/>
      <c r="T393" s="173"/>
      <c r="U393" s="173"/>
      <c r="V393" s="173"/>
      <c r="W393" s="173"/>
      <c r="X393" s="173"/>
      <c r="Y393" s="173"/>
      <c r="Z393" s="173"/>
    </row>
    <row r="394" spans="1:26" ht="11.25" customHeight="1">
      <c r="A394" s="173"/>
      <c r="B394" s="207"/>
      <c r="C394" s="208"/>
      <c r="D394" s="244"/>
      <c r="E394" s="173"/>
      <c r="F394" s="173"/>
      <c r="G394" s="173"/>
      <c r="H394" s="173"/>
      <c r="I394" s="173"/>
      <c r="J394" s="173"/>
      <c r="K394" s="173"/>
      <c r="L394" s="173"/>
      <c r="M394" s="173"/>
      <c r="N394" s="173"/>
      <c r="O394" s="173"/>
      <c r="P394" s="173"/>
      <c r="Q394" s="173"/>
      <c r="R394" s="173"/>
      <c r="S394" s="173"/>
      <c r="T394" s="173"/>
      <c r="U394" s="173"/>
      <c r="V394" s="173"/>
      <c r="W394" s="173"/>
      <c r="X394" s="173"/>
      <c r="Y394" s="173"/>
      <c r="Z394" s="173"/>
    </row>
    <row r="395" spans="1:26" ht="11.25" customHeight="1">
      <c r="A395" s="173"/>
      <c r="B395" s="207"/>
      <c r="C395" s="208"/>
      <c r="D395" s="244"/>
      <c r="E395" s="173"/>
      <c r="F395" s="173"/>
      <c r="G395" s="173"/>
      <c r="H395" s="173"/>
      <c r="I395" s="173"/>
      <c r="J395" s="173"/>
      <c r="K395" s="173"/>
      <c r="L395" s="173"/>
      <c r="M395" s="173"/>
      <c r="N395" s="173"/>
      <c r="O395" s="173"/>
      <c r="P395" s="173"/>
      <c r="Q395" s="173"/>
      <c r="R395" s="173"/>
      <c r="S395" s="173"/>
      <c r="T395" s="173"/>
      <c r="U395" s="173"/>
      <c r="V395" s="173"/>
      <c r="W395" s="173"/>
      <c r="X395" s="173"/>
      <c r="Y395" s="173"/>
      <c r="Z395" s="173"/>
    </row>
    <row r="396" spans="1:26" ht="11.25" customHeight="1">
      <c r="A396" s="173"/>
      <c r="B396" s="207"/>
      <c r="C396" s="208"/>
      <c r="D396" s="244"/>
      <c r="E396" s="173"/>
      <c r="F396" s="173"/>
      <c r="G396" s="173"/>
      <c r="H396" s="173"/>
      <c r="I396" s="173"/>
      <c r="J396" s="173"/>
      <c r="K396" s="173"/>
      <c r="L396" s="173"/>
      <c r="M396" s="173"/>
      <c r="N396" s="173"/>
      <c r="O396" s="173"/>
      <c r="P396" s="173"/>
      <c r="Q396" s="173"/>
      <c r="R396" s="173"/>
      <c r="S396" s="173"/>
      <c r="T396" s="173"/>
      <c r="U396" s="173"/>
      <c r="V396" s="173"/>
      <c r="W396" s="173"/>
      <c r="X396" s="173"/>
      <c r="Y396" s="173"/>
      <c r="Z396" s="173"/>
    </row>
    <row r="397" spans="1:26" ht="11.25" customHeight="1">
      <c r="A397" s="173"/>
      <c r="B397" s="207"/>
      <c r="C397" s="208"/>
      <c r="D397" s="244"/>
      <c r="E397" s="173"/>
      <c r="F397" s="173"/>
      <c r="G397" s="173"/>
      <c r="H397" s="173"/>
      <c r="I397" s="173"/>
      <c r="J397" s="173"/>
      <c r="K397" s="173"/>
      <c r="L397" s="173"/>
      <c r="M397" s="173"/>
      <c r="N397" s="173"/>
      <c r="O397" s="173"/>
      <c r="P397" s="173"/>
      <c r="Q397" s="173"/>
      <c r="R397" s="173"/>
      <c r="S397" s="173"/>
      <c r="T397" s="173"/>
      <c r="U397" s="173"/>
      <c r="V397" s="173"/>
      <c r="W397" s="173"/>
      <c r="X397" s="173"/>
      <c r="Y397" s="173"/>
      <c r="Z397" s="173"/>
    </row>
    <row r="398" spans="1:26" ht="11.25" customHeight="1">
      <c r="A398" s="173"/>
      <c r="B398" s="207"/>
      <c r="C398" s="208"/>
      <c r="D398" s="244"/>
      <c r="E398" s="173"/>
      <c r="F398" s="173"/>
      <c r="G398" s="173"/>
      <c r="H398" s="173"/>
      <c r="I398" s="173"/>
      <c r="J398" s="173"/>
      <c r="K398" s="173"/>
      <c r="L398" s="173"/>
      <c r="M398" s="173"/>
      <c r="N398" s="173"/>
      <c r="O398" s="173"/>
      <c r="P398" s="173"/>
      <c r="Q398" s="173"/>
      <c r="R398" s="173"/>
      <c r="S398" s="173"/>
      <c r="T398" s="173"/>
      <c r="U398" s="173"/>
      <c r="V398" s="173"/>
      <c r="W398" s="173"/>
      <c r="X398" s="173"/>
      <c r="Y398" s="173"/>
      <c r="Z398" s="173"/>
    </row>
    <row r="399" spans="1:26" ht="11.25" customHeight="1">
      <c r="A399" s="173"/>
      <c r="B399" s="207"/>
      <c r="C399" s="208"/>
      <c r="D399" s="244"/>
      <c r="E399" s="173"/>
      <c r="F399" s="173"/>
      <c r="G399" s="173"/>
      <c r="H399" s="173"/>
      <c r="I399" s="173"/>
      <c r="J399" s="173"/>
      <c r="K399" s="173"/>
      <c r="L399" s="173"/>
      <c r="M399" s="173"/>
      <c r="N399" s="173"/>
      <c r="O399" s="173"/>
      <c r="P399" s="173"/>
      <c r="Q399" s="173"/>
      <c r="R399" s="173"/>
      <c r="S399" s="173"/>
      <c r="T399" s="173"/>
      <c r="U399" s="173"/>
      <c r="V399" s="173"/>
      <c r="W399" s="173"/>
      <c r="X399" s="173"/>
      <c r="Y399" s="173"/>
      <c r="Z399" s="173"/>
    </row>
    <row r="400" spans="1:26" ht="11.25" customHeight="1">
      <c r="A400" s="173"/>
      <c r="B400" s="207"/>
      <c r="C400" s="208"/>
      <c r="D400" s="244"/>
      <c r="E400" s="173"/>
      <c r="F400" s="173"/>
      <c r="G400" s="173"/>
      <c r="H400" s="173"/>
      <c r="I400" s="173"/>
      <c r="J400" s="173"/>
      <c r="K400" s="173"/>
      <c r="L400" s="173"/>
      <c r="M400" s="173"/>
      <c r="N400" s="173"/>
      <c r="O400" s="173"/>
      <c r="P400" s="173"/>
      <c r="Q400" s="173"/>
      <c r="R400" s="173"/>
      <c r="S400" s="173"/>
      <c r="T400" s="173"/>
      <c r="U400" s="173"/>
      <c r="V400" s="173"/>
      <c r="W400" s="173"/>
      <c r="X400" s="173"/>
      <c r="Y400" s="173"/>
      <c r="Z400" s="173"/>
    </row>
    <row r="401" spans="1:26" ht="11.25" customHeight="1">
      <c r="A401" s="173"/>
      <c r="B401" s="207"/>
      <c r="C401" s="208"/>
      <c r="D401" s="244"/>
      <c r="E401" s="173"/>
      <c r="F401" s="173"/>
      <c r="G401" s="173"/>
      <c r="H401" s="173"/>
      <c r="I401" s="173"/>
      <c r="J401" s="173"/>
      <c r="K401" s="173"/>
      <c r="L401" s="173"/>
      <c r="M401" s="173"/>
      <c r="N401" s="173"/>
      <c r="O401" s="173"/>
      <c r="P401" s="173"/>
      <c r="Q401" s="173"/>
      <c r="R401" s="173"/>
      <c r="S401" s="173"/>
      <c r="T401" s="173"/>
      <c r="U401" s="173"/>
      <c r="V401" s="173"/>
      <c r="W401" s="173"/>
      <c r="X401" s="173"/>
      <c r="Y401" s="173"/>
      <c r="Z401" s="173"/>
    </row>
    <row r="402" spans="1:26" ht="11.25" customHeight="1">
      <c r="A402" s="173"/>
      <c r="B402" s="207"/>
      <c r="C402" s="208"/>
      <c r="D402" s="244"/>
      <c r="E402" s="173"/>
      <c r="F402" s="173"/>
      <c r="G402" s="173"/>
      <c r="H402" s="173"/>
      <c r="I402" s="173"/>
      <c r="J402" s="173"/>
      <c r="K402" s="173"/>
      <c r="L402" s="173"/>
      <c r="M402" s="173"/>
      <c r="N402" s="173"/>
      <c r="O402" s="173"/>
      <c r="P402" s="173"/>
      <c r="Q402" s="173"/>
      <c r="R402" s="173"/>
      <c r="S402" s="173"/>
      <c r="T402" s="173"/>
      <c r="U402" s="173"/>
      <c r="V402" s="173"/>
      <c r="W402" s="173"/>
      <c r="X402" s="173"/>
      <c r="Y402" s="173"/>
      <c r="Z402" s="173"/>
    </row>
    <row r="403" spans="1:26" ht="11.25" customHeight="1">
      <c r="A403" s="173"/>
      <c r="B403" s="207"/>
      <c r="C403" s="208"/>
      <c r="D403" s="244"/>
      <c r="E403" s="173"/>
      <c r="F403" s="173"/>
      <c r="G403" s="173"/>
      <c r="H403" s="173"/>
      <c r="I403" s="173"/>
      <c r="J403" s="173"/>
      <c r="K403" s="173"/>
      <c r="L403" s="173"/>
      <c r="M403" s="173"/>
      <c r="N403" s="173"/>
      <c r="O403" s="173"/>
      <c r="P403" s="173"/>
      <c r="Q403" s="173"/>
      <c r="R403" s="173"/>
      <c r="S403" s="173"/>
      <c r="T403" s="173"/>
      <c r="U403" s="173"/>
      <c r="V403" s="173"/>
      <c r="W403" s="173"/>
      <c r="X403" s="173"/>
      <c r="Y403" s="173"/>
      <c r="Z403" s="173"/>
    </row>
    <row r="404" spans="1:26" ht="11.25" customHeight="1">
      <c r="A404" s="173"/>
      <c r="B404" s="207"/>
      <c r="C404" s="208"/>
      <c r="D404" s="244"/>
      <c r="E404" s="173"/>
      <c r="F404" s="173"/>
      <c r="G404" s="173"/>
      <c r="H404" s="173"/>
      <c r="I404" s="173"/>
      <c r="J404" s="173"/>
      <c r="K404" s="173"/>
      <c r="L404" s="173"/>
      <c r="M404" s="173"/>
      <c r="N404" s="173"/>
      <c r="O404" s="173"/>
      <c r="P404" s="173"/>
      <c r="Q404" s="173"/>
      <c r="R404" s="173"/>
      <c r="S404" s="173"/>
      <c r="T404" s="173"/>
      <c r="U404" s="173"/>
      <c r="V404" s="173"/>
      <c r="W404" s="173"/>
      <c r="X404" s="173"/>
      <c r="Y404" s="173"/>
      <c r="Z404" s="173"/>
    </row>
    <row r="405" spans="1:26" ht="11.25" customHeight="1">
      <c r="A405" s="173"/>
      <c r="B405" s="207"/>
      <c r="C405" s="208"/>
      <c r="D405" s="244"/>
      <c r="E405" s="173"/>
      <c r="F405" s="173"/>
      <c r="G405" s="173"/>
      <c r="H405" s="173"/>
      <c r="I405" s="173"/>
      <c r="J405" s="173"/>
      <c r="K405" s="173"/>
      <c r="L405" s="173"/>
      <c r="M405" s="173"/>
      <c r="N405" s="173"/>
      <c r="O405" s="173"/>
      <c r="P405" s="173"/>
      <c r="Q405" s="173"/>
      <c r="R405" s="173"/>
      <c r="S405" s="173"/>
      <c r="T405" s="173"/>
      <c r="U405" s="173"/>
      <c r="V405" s="173"/>
      <c r="W405" s="173"/>
      <c r="X405" s="173"/>
      <c r="Y405" s="173"/>
      <c r="Z405" s="173"/>
    </row>
    <row r="406" spans="1:26" ht="11.25" customHeight="1">
      <c r="A406" s="173"/>
      <c r="B406" s="207"/>
      <c r="C406" s="208"/>
      <c r="D406" s="244"/>
      <c r="E406" s="173"/>
      <c r="F406" s="173"/>
      <c r="G406" s="173"/>
      <c r="H406" s="173"/>
      <c r="I406" s="173"/>
      <c r="J406" s="173"/>
      <c r="K406" s="173"/>
      <c r="L406" s="173"/>
      <c r="M406" s="173"/>
      <c r="N406" s="173"/>
      <c r="O406" s="173"/>
      <c r="P406" s="173"/>
      <c r="Q406" s="173"/>
      <c r="R406" s="173"/>
      <c r="S406" s="173"/>
      <c r="T406" s="173"/>
      <c r="U406" s="173"/>
      <c r="V406" s="173"/>
      <c r="W406" s="173"/>
      <c r="X406" s="173"/>
      <c r="Y406" s="173"/>
      <c r="Z406" s="173"/>
    </row>
    <row r="407" spans="1:26" ht="11.25" customHeight="1">
      <c r="A407" s="173"/>
      <c r="B407" s="207"/>
      <c r="C407" s="208"/>
      <c r="D407" s="244"/>
      <c r="E407" s="173"/>
      <c r="F407" s="173"/>
      <c r="G407" s="173"/>
      <c r="H407" s="173"/>
      <c r="I407" s="173"/>
      <c r="J407" s="173"/>
      <c r="K407" s="173"/>
      <c r="L407" s="173"/>
      <c r="M407" s="173"/>
      <c r="N407" s="173"/>
      <c r="O407" s="173"/>
      <c r="P407" s="173"/>
      <c r="Q407" s="173"/>
      <c r="R407" s="173"/>
      <c r="S407" s="173"/>
      <c r="T407" s="173"/>
      <c r="U407" s="173"/>
      <c r="V407" s="173"/>
      <c r="W407" s="173"/>
      <c r="X407" s="173"/>
      <c r="Y407" s="173"/>
      <c r="Z407" s="173"/>
    </row>
    <row r="408" spans="1:26" ht="11.25" customHeight="1">
      <c r="A408" s="173"/>
      <c r="B408" s="207"/>
      <c r="C408" s="208"/>
      <c r="D408" s="244"/>
      <c r="E408" s="173"/>
      <c r="F408" s="173"/>
      <c r="G408" s="173"/>
      <c r="H408" s="173"/>
      <c r="I408" s="173"/>
      <c r="J408" s="173"/>
      <c r="K408" s="173"/>
      <c r="L408" s="173"/>
      <c r="M408" s="173"/>
      <c r="N408" s="173"/>
      <c r="O408" s="173"/>
      <c r="P408" s="173"/>
      <c r="Q408" s="173"/>
      <c r="R408" s="173"/>
      <c r="S408" s="173"/>
      <c r="T408" s="173"/>
      <c r="U408" s="173"/>
      <c r="V408" s="173"/>
      <c r="W408" s="173"/>
      <c r="X408" s="173"/>
      <c r="Y408" s="173"/>
      <c r="Z408" s="173"/>
    </row>
    <row r="409" spans="1:26" ht="11.25" customHeight="1">
      <c r="A409" s="173"/>
      <c r="B409" s="207"/>
      <c r="C409" s="208"/>
      <c r="D409" s="244"/>
      <c r="E409" s="173"/>
      <c r="F409" s="173"/>
      <c r="G409" s="173"/>
      <c r="H409" s="173"/>
      <c r="I409" s="173"/>
      <c r="J409" s="173"/>
      <c r="K409" s="173"/>
      <c r="L409" s="173"/>
      <c r="M409" s="173"/>
      <c r="N409" s="173"/>
      <c r="O409" s="173"/>
      <c r="P409" s="173"/>
      <c r="Q409" s="173"/>
      <c r="R409" s="173"/>
      <c r="S409" s="173"/>
      <c r="T409" s="173"/>
      <c r="U409" s="173"/>
      <c r="V409" s="173"/>
      <c r="W409" s="173"/>
      <c r="X409" s="173"/>
      <c r="Y409" s="173"/>
      <c r="Z409" s="173"/>
    </row>
    <row r="410" spans="1:26" ht="11.25" customHeight="1">
      <c r="A410" s="173"/>
      <c r="B410" s="207"/>
      <c r="C410" s="208"/>
      <c r="D410" s="244"/>
      <c r="E410" s="173"/>
      <c r="F410" s="173"/>
      <c r="G410" s="173"/>
      <c r="H410" s="173"/>
      <c r="I410" s="173"/>
      <c r="J410" s="173"/>
      <c r="K410" s="173"/>
      <c r="L410" s="173"/>
      <c r="M410" s="173"/>
      <c r="N410" s="173"/>
      <c r="O410" s="173"/>
      <c r="P410" s="173"/>
      <c r="Q410" s="173"/>
      <c r="R410" s="173"/>
      <c r="S410" s="173"/>
      <c r="T410" s="173"/>
      <c r="U410" s="173"/>
      <c r="V410" s="173"/>
      <c r="W410" s="173"/>
      <c r="X410" s="173"/>
      <c r="Y410" s="173"/>
      <c r="Z410" s="173"/>
    </row>
    <row r="411" spans="1:26" ht="11.25" customHeight="1">
      <c r="A411" s="173"/>
      <c r="B411" s="207"/>
      <c r="C411" s="208"/>
      <c r="D411" s="244"/>
      <c r="E411" s="173"/>
      <c r="F411" s="173"/>
      <c r="G411" s="173"/>
      <c r="H411" s="173"/>
      <c r="I411" s="173"/>
      <c r="J411" s="173"/>
      <c r="K411" s="173"/>
      <c r="L411" s="173"/>
      <c r="M411" s="173"/>
      <c r="N411" s="173"/>
      <c r="O411" s="173"/>
      <c r="P411" s="173"/>
      <c r="Q411" s="173"/>
      <c r="R411" s="173"/>
      <c r="S411" s="173"/>
      <c r="T411" s="173"/>
      <c r="U411" s="173"/>
      <c r="V411" s="173"/>
      <c r="W411" s="173"/>
      <c r="X411" s="173"/>
      <c r="Y411" s="173"/>
      <c r="Z411" s="173"/>
    </row>
    <row r="412" spans="1:26" ht="11.25" customHeight="1">
      <c r="A412" s="173"/>
      <c r="B412" s="207"/>
      <c r="C412" s="208"/>
      <c r="D412" s="244"/>
      <c r="E412" s="173"/>
      <c r="F412" s="173"/>
      <c r="G412" s="173"/>
      <c r="H412" s="173"/>
      <c r="I412" s="173"/>
      <c r="J412" s="173"/>
      <c r="K412" s="173"/>
      <c r="L412" s="173"/>
      <c r="M412" s="173"/>
      <c r="N412" s="173"/>
      <c r="O412" s="173"/>
      <c r="P412" s="173"/>
      <c r="Q412" s="173"/>
      <c r="R412" s="173"/>
      <c r="S412" s="173"/>
      <c r="T412" s="173"/>
      <c r="U412" s="173"/>
      <c r="V412" s="173"/>
      <c r="W412" s="173"/>
      <c r="X412" s="173"/>
      <c r="Y412" s="173"/>
      <c r="Z412" s="173"/>
    </row>
    <row r="413" spans="1:26" ht="11.25" customHeight="1">
      <c r="A413" s="173"/>
      <c r="B413" s="207"/>
      <c r="C413" s="208"/>
      <c r="D413" s="244"/>
      <c r="E413" s="173"/>
      <c r="F413" s="173"/>
      <c r="G413" s="173"/>
      <c r="H413" s="173"/>
      <c r="I413" s="173"/>
      <c r="J413" s="173"/>
      <c r="K413" s="173"/>
      <c r="L413" s="173"/>
      <c r="M413" s="173"/>
      <c r="N413" s="173"/>
      <c r="O413" s="173"/>
      <c r="P413" s="173"/>
      <c r="Q413" s="173"/>
      <c r="R413" s="173"/>
      <c r="S413" s="173"/>
      <c r="T413" s="173"/>
      <c r="U413" s="173"/>
      <c r="V413" s="173"/>
      <c r="W413" s="173"/>
      <c r="X413" s="173"/>
      <c r="Y413" s="173"/>
      <c r="Z413" s="173"/>
    </row>
    <row r="414" spans="1:26" ht="11.25" customHeight="1">
      <c r="A414" s="173"/>
      <c r="B414" s="207"/>
      <c r="C414" s="208"/>
      <c r="D414" s="244"/>
      <c r="E414" s="173"/>
      <c r="F414" s="173"/>
      <c r="G414" s="173"/>
      <c r="H414" s="173"/>
      <c r="I414" s="173"/>
      <c r="J414" s="173"/>
      <c r="K414" s="173"/>
      <c r="L414" s="173"/>
      <c r="M414" s="173"/>
      <c r="N414" s="173"/>
      <c r="O414" s="173"/>
      <c r="P414" s="173"/>
      <c r="Q414" s="173"/>
      <c r="R414" s="173"/>
      <c r="S414" s="173"/>
      <c r="T414" s="173"/>
      <c r="U414" s="173"/>
      <c r="V414" s="173"/>
      <c r="W414" s="173"/>
      <c r="X414" s="173"/>
      <c r="Y414" s="173"/>
      <c r="Z414" s="173"/>
    </row>
    <row r="415" spans="1:26" ht="11.25" customHeight="1">
      <c r="A415" s="173"/>
      <c r="B415" s="207"/>
      <c r="C415" s="208"/>
      <c r="D415" s="244"/>
      <c r="E415" s="173"/>
      <c r="F415" s="173"/>
      <c r="G415" s="173"/>
      <c r="H415" s="173"/>
      <c r="I415" s="173"/>
      <c r="J415" s="173"/>
      <c r="K415" s="173"/>
      <c r="L415" s="173"/>
      <c r="M415" s="173"/>
      <c r="N415" s="173"/>
      <c r="O415" s="173"/>
      <c r="P415" s="173"/>
      <c r="Q415" s="173"/>
      <c r="R415" s="173"/>
      <c r="S415" s="173"/>
      <c r="T415" s="173"/>
      <c r="U415" s="173"/>
      <c r="V415" s="173"/>
      <c r="W415" s="173"/>
      <c r="X415" s="173"/>
      <c r="Y415" s="173"/>
      <c r="Z415" s="173"/>
    </row>
    <row r="416" spans="1:26" ht="11.25" customHeight="1">
      <c r="A416" s="173"/>
      <c r="B416" s="207"/>
      <c r="C416" s="208"/>
      <c r="D416" s="244"/>
      <c r="E416" s="173"/>
      <c r="F416" s="173"/>
      <c r="G416" s="173"/>
      <c r="H416" s="173"/>
      <c r="I416" s="173"/>
      <c r="J416" s="173"/>
      <c r="K416" s="173"/>
      <c r="L416" s="173"/>
      <c r="M416" s="173"/>
      <c r="N416" s="173"/>
      <c r="O416" s="173"/>
      <c r="P416" s="173"/>
      <c r="Q416" s="173"/>
      <c r="R416" s="173"/>
      <c r="S416" s="173"/>
      <c r="T416" s="173"/>
      <c r="U416" s="173"/>
      <c r="V416" s="173"/>
      <c r="W416" s="173"/>
      <c r="X416" s="173"/>
      <c r="Y416" s="173"/>
      <c r="Z416" s="173"/>
    </row>
    <row r="417" spans="1:26" ht="11.25" customHeight="1">
      <c r="A417" s="173"/>
      <c r="B417" s="207"/>
      <c r="C417" s="208"/>
      <c r="D417" s="244"/>
      <c r="E417" s="173"/>
      <c r="F417" s="173"/>
      <c r="G417" s="173"/>
      <c r="H417" s="173"/>
      <c r="I417" s="173"/>
      <c r="J417" s="173"/>
      <c r="K417" s="173"/>
      <c r="L417" s="173"/>
      <c r="M417" s="173"/>
      <c r="N417" s="173"/>
      <c r="O417" s="173"/>
      <c r="P417" s="173"/>
      <c r="Q417" s="173"/>
      <c r="R417" s="173"/>
      <c r="S417" s="173"/>
      <c r="T417" s="173"/>
      <c r="U417" s="173"/>
      <c r="V417" s="173"/>
      <c r="W417" s="173"/>
      <c r="X417" s="173"/>
      <c r="Y417" s="173"/>
      <c r="Z417" s="173"/>
    </row>
    <row r="418" spans="1:26" ht="11.25" customHeight="1">
      <c r="A418" s="173"/>
      <c r="B418" s="207"/>
      <c r="C418" s="208"/>
      <c r="D418" s="244"/>
      <c r="E418" s="173"/>
      <c r="F418" s="173"/>
      <c r="G418" s="173"/>
      <c r="H418" s="173"/>
      <c r="I418" s="173"/>
      <c r="J418" s="173"/>
      <c r="K418" s="173"/>
      <c r="L418" s="173"/>
      <c r="M418" s="173"/>
      <c r="N418" s="173"/>
      <c r="O418" s="173"/>
      <c r="P418" s="173"/>
      <c r="Q418" s="173"/>
      <c r="R418" s="173"/>
      <c r="S418" s="173"/>
      <c r="T418" s="173"/>
      <c r="U418" s="173"/>
      <c r="V418" s="173"/>
      <c r="W418" s="173"/>
      <c r="X418" s="173"/>
      <c r="Y418" s="173"/>
      <c r="Z418" s="173"/>
    </row>
    <row r="419" spans="1:26" ht="11.25" customHeight="1">
      <c r="A419" s="173"/>
      <c r="B419" s="207"/>
      <c r="C419" s="208"/>
      <c r="D419" s="244"/>
      <c r="E419" s="173"/>
      <c r="F419" s="173"/>
      <c r="G419" s="173"/>
      <c r="H419" s="173"/>
      <c r="I419" s="173"/>
      <c r="J419" s="173"/>
      <c r="K419" s="173"/>
      <c r="L419" s="173"/>
      <c r="M419" s="173"/>
      <c r="N419" s="173"/>
      <c r="O419" s="173"/>
      <c r="P419" s="173"/>
      <c r="Q419" s="173"/>
      <c r="R419" s="173"/>
      <c r="S419" s="173"/>
      <c r="T419" s="173"/>
      <c r="U419" s="173"/>
      <c r="V419" s="173"/>
      <c r="W419" s="173"/>
      <c r="X419" s="173"/>
      <c r="Y419" s="173"/>
      <c r="Z419" s="173"/>
    </row>
    <row r="420" spans="1:26" ht="11.25" customHeight="1">
      <c r="A420" s="173"/>
      <c r="B420" s="207"/>
      <c r="C420" s="208"/>
      <c r="D420" s="244"/>
      <c r="E420" s="173"/>
      <c r="F420" s="173"/>
      <c r="G420" s="173"/>
      <c r="H420" s="173"/>
      <c r="I420" s="173"/>
      <c r="J420" s="173"/>
      <c r="K420" s="173"/>
      <c r="L420" s="173"/>
      <c r="M420" s="173"/>
      <c r="N420" s="173"/>
      <c r="O420" s="173"/>
      <c r="P420" s="173"/>
      <c r="Q420" s="173"/>
      <c r="R420" s="173"/>
      <c r="S420" s="173"/>
      <c r="T420" s="173"/>
      <c r="U420" s="173"/>
      <c r="V420" s="173"/>
      <c r="W420" s="173"/>
      <c r="X420" s="173"/>
      <c r="Y420" s="173"/>
      <c r="Z420" s="173"/>
    </row>
    <row r="421" spans="1:26" ht="11.25" customHeight="1">
      <c r="A421" s="173"/>
      <c r="B421" s="207"/>
      <c r="C421" s="208"/>
      <c r="D421" s="244"/>
      <c r="E421" s="173"/>
      <c r="F421" s="173"/>
      <c r="G421" s="173"/>
      <c r="H421" s="173"/>
      <c r="I421" s="173"/>
      <c r="J421" s="173"/>
      <c r="K421" s="173"/>
      <c r="L421" s="173"/>
      <c r="M421" s="173"/>
      <c r="N421" s="173"/>
      <c r="O421" s="173"/>
      <c r="P421" s="173"/>
      <c r="Q421" s="173"/>
      <c r="R421" s="173"/>
      <c r="S421" s="173"/>
      <c r="T421" s="173"/>
      <c r="U421" s="173"/>
      <c r="V421" s="173"/>
      <c r="W421" s="173"/>
      <c r="X421" s="173"/>
      <c r="Y421" s="173"/>
      <c r="Z421" s="173"/>
    </row>
    <row r="422" spans="1:26" ht="11.25" customHeight="1">
      <c r="A422" s="173"/>
      <c r="B422" s="207"/>
      <c r="C422" s="208"/>
      <c r="D422" s="244"/>
      <c r="E422" s="173"/>
      <c r="F422" s="173"/>
      <c r="G422" s="173"/>
      <c r="H422" s="173"/>
      <c r="I422" s="173"/>
      <c r="J422" s="173"/>
      <c r="K422" s="173"/>
      <c r="L422" s="173"/>
      <c r="M422" s="173"/>
      <c r="N422" s="173"/>
      <c r="O422" s="173"/>
      <c r="P422" s="173"/>
      <c r="Q422" s="173"/>
      <c r="R422" s="173"/>
      <c r="S422" s="173"/>
      <c r="T422" s="173"/>
      <c r="U422" s="173"/>
      <c r="V422" s="173"/>
      <c r="W422" s="173"/>
      <c r="X422" s="173"/>
      <c r="Y422" s="173"/>
      <c r="Z422" s="173"/>
    </row>
    <row r="423" spans="1:26" ht="11.25" customHeight="1">
      <c r="A423" s="173"/>
      <c r="B423" s="207"/>
      <c r="C423" s="208"/>
      <c r="D423" s="244"/>
      <c r="E423" s="173"/>
      <c r="F423" s="173"/>
      <c r="G423" s="173"/>
      <c r="H423" s="173"/>
      <c r="I423" s="173"/>
      <c r="J423" s="173"/>
      <c r="K423" s="173"/>
      <c r="L423" s="173"/>
      <c r="M423" s="173"/>
      <c r="N423" s="173"/>
      <c r="O423" s="173"/>
      <c r="P423" s="173"/>
      <c r="Q423" s="173"/>
      <c r="R423" s="173"/>
      <c r="S423" s="173"/>
      <c r="T423" s="173"/>
      <c r="U423" s="173"/>
      <c r="V423" s="173"/>
      <c r="W423" s="173"/>
      <c r="X423" s="173"/>
      <c r="Y423" s="173"/>
      <c r="Z423" s="173"/>
    </row>
    <row r="424" spans="1:26" ht="11.25" customHeight="1">
      <c r="A424" s="173"/>
      <c r="B424" s="207"/>
      <c r="C424" s="208"/>
      <c r="D424" s="244"/>
      <c r="E424" s="173"/>
      <c r="F424" s="173"/>
      <c r="G424" s="173"/>
      <c r="H424" s="173"/>
      <c r="I424" s="173"/>
      <c r="J424" s="173"/>
      <c r="K424" s="173"/>
      <c r="L424" s="173"/>
      <c r="M424" s="173"/>
      <c r="N424" s="173"/>
      <c r="O424" s="173"/>
      <c r="P424" s="173"/>
      <c r="Q424" s="173"/>
      <c r="R424" s="173"/>
      <c r="S424" s="173"/>
      <c r="T424" s="173"/>
      <c r="U424" s="173"/>
      <c r="V424" s="173"/>
      <c r="W424" s="173"/>
      <c r="X424" s="173"/>
      <c r="Y424" s="173"/>
      <c r="Z424" s="173"/>
    </row>
    <row r="425" spans="1:26" ht="11.25" customHeight="1">
      <c r="A425" s="173"/>
      <c r="B425" s="207"/>
      <c r="C425" s="208"/>
      <c r="D425" s="244"/>
      <c r="E425" s="173"/>
      <c r="F425" s="173"/>
      <c r="G425" s="173"/>
      <c r="H425" s="173"/>
      <c r="I425" s="173"/>
      <c r="J425" s="173"/>
      <c r="K425" s="173"/>
      <c r="L425" s="173"/>
      <c r="M425" s="173"/>
      <c r="N425" s="173"/>
      <c r="O425" s="173"/>
      <c r="P425" s="173"/>
      <c r="Q425" s="173"/>
      <c r="R425" s="173"/>
      <c r="S425" s="173"/>
      <c r="T425" s="173"/>
      <c r="U425" s="173"/>
      <c r="V425" s="173"/>
      <c r="W425" s="173"/>
      <c r="X425" s="173"/>
      <c r="Y425" s="173"/>
      <c r="Z425" s="173"/>
    </row>
    <row r="426" spans="1:26" ht="11.25" customHeight="1">
      <c r="A426" s="173"/>
      <c r="B426" s="207"/>
      <c r="C426" s="208"/>
      <c r="D426" s="244"/>
      <c r="E426" s="173"/>
      <c r="F426" s="173"/>
      <c r="G426" s="173"/>
      <c r="H426" s="173"/>
      <c r="I426" s="173"/>
      <c r="J426" s="173"/>
      <c r="K426" s="173"/>
      <c r="L426" s="173"/>
      <c r="M426" s="173"/>
      <c r="N426" s="173"/>
      <c r="O426" s="173"/>
      <c r="P426" s="173"/>
      <c r="Q426" s="173"/>
      <c r="R426" s="173"/>
      <c r="S426" s="173"/>
      <c r="T426" s="173"/>
      <c r="U426" s="173"/>
      <c r="V426" s="173"/>
      <c r="W426" s="173"/>
      <c r="X426" s="173"/>
      <c r="Y426" s="173"/>
      <c r="Z426" s="173"/>
    </row>
    <row r="427" spans="1:26" ht="11.25" customHeight="1">
      <c r="A427" s="173"/>
      <c r="B427" s="207"/>
      <c r="C427" s="208"/>
      <c r="D427" s="244"/>
      <c r="E427" s="173"/>
      <c r="F427" s="173"/>
      <c r="G427" s="173"/>
      <c r="H427" s="173"/>
      <c r="I427" s="173"/>
      <c r="J427" s="173"/>
      <c r="K427" s="173"/>
      <c r="L427" s="173"/>
      <c r="M427" s="173"/>
      <c r="N427" s="173"/>
      <c r="O427" s="173"/>
      <c r="P427" s="173"/>
      <c r="Q427" s="173"/>
      <c r="R427" s="173"/>
      <c r="S427" s="173"/>
      <c r="T427" s="173"/>
      <c r="U427" s="173"/>
      <c r="V427" s="173"/>
      <c r="W427" s="173"/>
      <c r="X427" s="173"/>
      <c r="Y427" s="173"/>
      <c r="Z427" s="173"/>
    </row>
    <row r="428" spans="1:26" ht="11.25" customHeight="1">
      <c r="A428" s="173"/>
      <c r="B428" s="207"/>
      <c r="C428" s="208"/>
      <c r="D428" s="244"/>
      <c r="E428" s="173"/>
      <c r="F428" s="173"/>
      <c r="G428" s="173"/>
      <c r="H428" s="173"/>
      <c r="I428" s="173"/>
      <c r="J428" s="173"/>
      <c r="K428" s="173"/>
      <c r="L428" s="173"/>
      <c r="M428" s="173"/>
      <c r="N428" s="173"/>
      <c r="O428" s="173"/>
      <c r="P428" s="173"/>
      <c r="Q428" s="173"/>
      <c r="R428" s="173"/>
      <c r="S428" s="173"/>
      <c r="T428" s="173"/>
      <c r="U428" s="173"/>
      <c r="V428" s="173"/>
      <c r="W428" s="173"/>
      <c r="X428" s="173"/>
      <c r="Y428" s="173"/>
      <c r="Z428" s="173"/>
    </row>
    <row r="429" spans="1:26" ht="11.25" customHeight="1">
      <c r="A429" s="173"/>
      <c r="B429" s="207"/>
      <c r="C429" s="208"/>
      <c r="D429" s="244"/>
      <c r="E429" s="173"/>
      <c r="F429" s="173"/>
      <c r="G429" s="173"/>
      <c r="H429" s="173"/>
      <c r="I429" s="173"/>
      <c r="J429" s="173"/>
      <c r="K429" s="173"/>
      <c r="L429" s="173"/>
      <c r="M429" s="173"/>
      <c r="N429" s="173"/>
      <c r="O429" s="173"/>
      <c r="P429" s="173"/>
      <c r="Q429" s="173"/>
      <c r="R429" s="173"/>
      <c r="S429" s="173"/>
      <c r="T429" s="173"/>
      <c r="U429" s="173"/>
      <c r="V429" s="173"/>
      <c r="W429" s="173"/>
      <c r="X429" s="173"/>
      <c r="Y429" s="173"/>
      <c r="Z429" s="173"/>
    </row>
    <row r="430" spans="1:26" ht="11.25" customHeight="1">
      <c r="A430" s="173"/>
      <c r="B430" s="207"/>
      <c r="C430" s="208"/>
      <c r="D430" s="244"/>
      <c r="E430" s="173"/>
      <c r="F430" s="173"/>
      <c r="G430" s="173"/>
      <c r="H430" s="173"/>
      <c r="I430" s="173"/>
      <c r="J430" s="173"/>
      <c r="K430" s="173"/>
      <c r="L430" s="173"/>
      <c r="M430" s="173"/>
      <c r="N430" s="173"/>
      <c r="O430" s="173"/>
      <c r="P430" s="173"/>
      <c r="Q430" s="173"/>
      <c r="R430" s="173"/>
      <c r="S430" s="173"/>
      <c r="T430" s="173"/>
      <c r="U430" s="173"/>
      <c r="V430" s="173"/>
      <c r="W430" s="173"/>
      <c r="X430" s="173"/>
      <c r="Y430" s="173"/>
      <c r="Z430" s="173"/>
    </row>
    <row r="431" spans="1:26" ht="11.25" customHeight="1">
      <c r="A431" s="173"/>
      <c r="B431" s="207"/>
      <c r="C431" s="208"/>
      <c r="D431" s="244"/>
      <c r="E431" s="173"/>
      <c r="F431" s="173"/>
      <c r="G431" s="173"/>
      <c r="H431" s="173"/>
      <c r="I431" s="173"/>
      <c r="J431" s="173"/>
      <c r="K431" s="173"/>
      <c r="L431" s="173"/>
      <c r="M431" s="173"/>
      <c r="N431" s="173"/>
      <c r="O431" s="173"/>
      <c r="P431" s="173"/>
      <c r="Q431" s="173"/>
      <c r="R431" s="173"/>
      <c r="S431" s="173"/>
      <c r="T431" s="173"/>
      <c r="U431" s="173"/>
      <c r="V431" s="173"/>
      <c r="W431" s="173"/>
      <c r="X431" s="173"/>
      <c r="Y431" s="173"/>
      <c r="Z431" s="173"/>
    </row>
    <row r="432" spans="1:26" ht="11.25" customHeight="1">
      <c r="A432" s="173"/>
      <c r="B432" s="207"/>
      <c r="C432" s="208"/>
      <c r="D432" s="244"/>
      <c r="E432" s="173"/>
      <c r="F432" s="173"/>
      <c r="G432" s="173"/>
      <c r="H432" s="173"/>
      <c r="I432" s="173"/>
      <c r="J432" s="173"/>
      <c r="K432" s="173"/>
      <c r="L432" s="173"/>
      <c r="M432" s="173"/>
      <c r="N432" s="173"/>
      <c r="O432" s="173"/>
      <c r="P432" s="173"/>
      <c r="Q432" s="173"/>
      <c r="R432" s="173"/>
      <c r="S432" s="173"/>
      <c r="T432" s="173"/>
      <c r="U432" s="173"/>
      <c r="V432" s="173"/>
      <c r="W432" s="173"/>
      <c r="X432" s="173"/>
      <c r="Y432" s="173"/>
      <c r="Z432" s="173"/>
    </row>
    <row r="433" spans="1:26" ht="11.25" customHeight="1">
      <c r="A433" s="173"/>
      <c r="B433" s="207"/>
      <c r="C433" s="208"/>
      <c r="D433" s="244"/>
      <c r="E433" s="173"/>
      <c r="F433" s="173"/>
      <c r="G433" s="173"/>
      <c r="H433" s="173"/>
      <c r="I433" s="173"/>
      <c r="J433" s="173"/>
      <c r="K433" s="173"/>
      <c r="L433" s="173"/>
      <c r="M433" s="173"/>
      <c r="N433" s="173"/>
      <c r="O433" s="173"/>
      <c r="P433" s="173"/>
      <c r="Q433" s="173"/>
      <c r="R433" s="173"/>
      <c r="S433" s="173"/>
      <c r="T433" s="173"/>
      <c r="U433" s="173"/>
      <c r="V433" s="173"/>
      <c r="W433" s="173"/>
      <c r="X433" s="173"/>
      <c r="Y433" s="173"/>
      <c r="Z433" s="173"/>
    </row>
    <row r="434" spans="1:26" ht="11.25" customHeight="1">
      <c r="A434" s="173"/>
      <c r="B434" s="207"/>
      <c r="C434" s="208"/>
      <c r="D434" s="244"/>
      <c r="E434" s="173"/>
      <c r="F434" s="173"/>
      <c r="G434" s="173"/>
      <c r="H434" s="173"/>
      <c r="I434" s="173"/>
      <c r="J434" s="173"/>
      <c r="K434" s="173"/>
      <c r="L434" s="173"/>
      <c r="M434" s="173"/>
      <c r="N434" s="173"/>
      <c r="O434" s="173"/>
      <c r="P434" s="173"/>
      <c r="Q434" s="173"/>
      <c r="R434" s="173"/>
      <c r="S434" s="173"/>
      <c r="T434" s="173"/>
      <c r="U434" s="173"/>
      <c r="V434" s="173"/>
      <c r="W434" s="173"/>
      <c r="X434" s="173"/>
      <c r="Y434" s="173"/>
      <c r="Z434" s="173"/>
    </row>
    <row r="435" spans="1:26" ht="11.25" customHeight="1">
      <c r="A435" s="173"/>
      <c r="B435" s="207"/>
      <c r="C435" s="208"/>
      <c r="D435" s="244"/>
      <c r="E435" s="173"/>
      <c r="F435" s="173"/>
      <c r="G435" s="173"/>
      <c r="H435" s="173"/>
      <c r="I435" s="173"/>
      <c r="J435" s="173"/>
      <c r="K435" s="173"/>
      <c r="L435" s="173"/>
      <c r="M435" s="173"/>
      <c r="N435" s="173"/>
      <c r="O435" s="173"/>
      <c r="P435" s="173"/>
      <c r="Q435" s="173"/>
      <c r="R435" s="173"/>
      <c r="S435" s="173"/>
      <c r="T435" s="173"/>
      <c r="U435" s="173"/>
      <c r="V435" s="173"/>
      <c r="W435" s="173"/>
      <c r="X435" s="173"/>
      <c r="Y435" s="173"/>
      <c r="Z435" s="173"/>
    </row>
    <row r="436" spans="1:26" ht="11.25" customHeight="1">
      <c r="A436" s="173"/>
      <c r="B436" s="207"/>
      <c r="C436" s="208"/>
      <c r="D436" s="244"/>
      <c r="E436" s="173"/>
      <c r="F436" s="173"/>
      <c r="G436" s="173"/>
      <c r="H436" s="173"/>
      <c r="I436" s="173"/>
      <c r="J436" s="173"/>
      <c r="K436" s="173"/>
      <c r="L436" s="173"/>
      <c r="M436" s="173"/>
      <c r="N436" s="173"/>
      <c r="O436" s="173"/>
      <c r="P436" s="173"/>
      <c r="Q436" s="173"/>
      <c r="R436" s="173"/>
      <c r="S436" s="173"/>
      <c r="T436" s="173"/>
      <c r="U436" s="173"/>
      <c r="V436" s="173"/>
      <c r="W436" s="173"/>
      <c r="X436" s="173"/>
      <c r="Y436" s="173"/>
      <c r="Z436" s="173"/>
    </row>
    <row r="437" spans="1:26" ht="11.25" customHeight="1">
      <c r="A437" s="173"/>
      <c r="B437" s="207"/>
      <c r="C437" s="208"/>
      <c r="D437" s="244"/>
      <c r="E437" s="173"/>
      <c r="F437" s="173"/>
      <c r="G437" s="173"/>
      <c r="H437" s="173"/>
      <c r="I437" s="173"/>
      <c r="J437" s="173"/>
      <c r="K437" s="173"/>
      <c r="L437" s="173"/>
      <c r="M437" s="173"/>
      <c r="N437" s="173"/>
      <c r="O437" s="173"/>
      <c r="P437" s="173"/>
      <c r="Q437" s="173"/>
      <c r="R437" s="173"/>
      <c r="S437" s="173"/>
      <c r="T437" s="173"/>
      <c r="U437" s="173"/>
      <c r="V437" s="173"/>
      <c r="W437" s="173"/>
      <c r="X437" s="173"/>
      <c r="Y437" s="173"/>
      <c r="Z437" s="173"/>
    </row>
    <row r="438" spans="1:26" ht="11.25" customHeight="1">
      <c r="A438" s="173"/>
      <c r="B438" s="207"/>
      <c r="C438" s="208"/>
      <c r="D438" s="244"/>
      <c r="E438" s="173"/>
      <c r="F438" s="173"/>
      <c r="G438" s="173"/>
      <c r="H438" s="173"/>
      <c r="I438" s="173"/>
      <c r="J438" s="173"/>
      <c r="K438" s="173"/>
      <c r="L438" s="173"/>
      <c r="M438" s="173"/>
      <c r="N438" s="173"/>
      <c r="O438" s="173"/>
      <c r="P438" s="173"/>
      <c r="Q438" s="173"/>
      <c r="R438" s="173"/>
      <c r="S438" s="173"/>
      <c r="T438" s="173"/>
      <c r="U438" s="173"/>
      <c r="V438" s="173"/>
      <c r="W438" s="173"/>
      <c r="X438" s="173"/>
      <c r="Y438" s="173"/>
      <c r="Z438" s="173"/>
    </row>
    <row r="439" spans="1:26" ht="11.25" customHeight="1">
      <c r="A439" s="173"/>
      <c r="B439" s="207"/>
      <c r="C439" s="208"/>
      <c r="D439" s="244"/>
      <c r="E439" s="173"/>
      <c r="F439" s="173"/>
      <c r="G439" s="173"/>
      <c r="H439" s="173"/>
      <c r="I439" s="173"/>
      <c r="J439" s="173"/>
      <c r="K439" s="173"/>
      <c r="L439" s="173"/>
      <c r="M439" s="173"/>
      <c r="N439" s="173"/>
      <c r="O439" s="173"/>
      <c r="P439" s="173"/>
      <c r="Q439" s="173"/>
      <c r="R439" s="173"/>
      <c r="S439" s="173"/>
      <c r="T439" s="173"/>
      <c r="U439" s="173"/>
      <c r="V439" s="173"/>
      <c r="W439" s="173"/>
      <c r="X439" s="173"/>
      <c r="Y439" s="173"/>
      <c r="Z439" s="173"/>
    </row>
    <row r="440" spans="1:26" ht="11.25" customHeight="1">
      <c r="A440" s="173"/>
      <c r="B440" s="207"/>
      <c r="C440" s="208"/>
      <c r="D440" s="244"/>
      <c r="E440" s="173"/>
      <c r="F440" s="173"/>
      <c r="G440" s="173"/>
      <c r="H440" s="173"/>
      <c r="I440" s="173"/>
      <c r="J440" s="173"/>
      <c r="K440" s="173"/>
      <c r="L440" s="173"/>
      <c r="M440" s="173"/>
      <c r="N440" s="173"/>
      <c r="O440" s="173"/>
      <c r="P440" s="173"/>
      <c r="Q440" s="173"/>
      <c r="R440" s="173"/>
      <c r="S440" s="173"/>
      <c r="T440" s="173"/>
      <c r="U440" s="173"/>
      <c r="V440" s="173"/>
      <c r="W440" s="173"/>
      <c r="X440" s="173"/>
      <c r="Y440" s="173"/>
      <c r="Z440" s="173"/>
    </row>
    <row r="441" spans="1:26" ht="11.25" customHeight="1">
      <c r="A441" s="173"/>
      <c r="B441" s="207"/>
      <c r="C441" s="208"/>
      <c r="D441" s="244"/>
      <c r="E441" s="173"/>
      <c r="F441" s="173"/>
      <c r="G441" s="173"/>
      <c r="H441" s="173"/>
      <c r="I441" s="173"/>
      <c r="J441" s="173"/>
      <c r="K441" s="173"/>
      <c r="L441" s="173"/>
      <c r="M441" s="173"/>
      <c r="N441" s="173"/>
      <c r="O441" s="173"/>
      <c r="P441" s="173"/>
      <c r="Q441" s="173"/>
      <c r="R441" s="173"/>
      <c r="S441" s="173"/>
      <c r="T441" s="173"/>
      <c r="U441" s="173"/>
      <c r="V441" s="173"/>
      <c r="W441" s="173"/>
      <c r="X441" s="173"/>
      <c r="Y441" s="173"/>
      <c r="Z441" s="173"/>
    </row>
    <row r="442" spans="1:26" ht="11.25" customHeight="1">
      <c r="A442" s="173"/>
      <c r="B442" s="207"/>
      <c r="C442" s="208"/>
      <c r="D442" s="244"/>
      <c r="E442" s="173"/>
      <c r="F442" s="173"/>
      <c r="G442" s="173"/>
      <c r="H442" s="173"/>
      <c r="I442" s="173"/>
      <c r="J442" s="173"/>
      <c r="K442" s="173"/>
      <c r="L442" s="173"/>
      <c r="M442" s="173"/>
      <c r="N442" s="173"/>
      <c r="O442" s="173"/>
      <c r="P442" s="173"/>
      <c r="Q442" s="173"/>
      <c r="R442" s="173"/>
      <c r="S442" s="173"/>
      <c r="T442" s="173"/>
      <c r="U442" s="173"/>
      <c r="V442" s="173"/>
      <c r="W442" s="173"/>
      <c r="X442" s="173"/>
      <c r="Y442" s="173"/>
      <c r="Z442" s="173"/>
    </row>
    <row r="443" spans="1:26" ht="11.25" customHeight="1">
      <c r="A443" s="173"/>
      <c r="B443" s="207"/>
      <c r="C443" s="208"/>
      <c r="D443" s="244"/>
      <c r="E443" s="173"/>
      <c r="F443" s="173"/>
      <c r="G443" s="173"/>
      <c r="H443" s="173"/>
      <c r="I443" s="173"/>
      <c r="J443" s="173"/>
      <c r="K443" s="173"/>
      <c r="L443" s="173"/>
      <c r="M443" s="173"/>
      <c r="N443" s="173"/>
      <c r="O443" s="173"/>
      <c r="P443" s="173"/>
      <c r="Q443" s="173"/>
      <c r="R443" s="173"/>
      <c r="S443" s="173"/>
      <c r="T443" s="173"/>
      <c r="U443" s="173"/>
      <c r="V443" s="173"/>
      <c r="W443" s="173"/>
      <c r="X443" s="173"/>
      <c r="Y443" s="173"/>
      <c r="Z443" s="173"/>
    </row>
    <row r="444" spans="1:26" ht="11.25" customHeight="1">
      <c r="A444" s="173"/>
      <c r="B444" s="207"/>
      <c r="C444" s="208"/>
      <c r="D444" s="244"/>
      <c r="E444" s="173"/>
      <c r="F444" s="173"/>
      <c r="G444" s="173"/>
      <c r="H444" s="173"/>
      <c r="I444" s="173"/>
      <c r="J444" s="173"/>
      <c r="K444" s="173"/>
      <c r="L444" s="173"/>
      <c r="M444" s="173"/>
      <c r="N444" s="173"/>
      <c r="O444" s="173"/>
      <c r="P444" s="173"/>
      <c r="Q444" s="173"/>
      <c r="R444" s="173"/>
      <c r="S444" s="173"/>
      <c r="T444" s="173"/>
      <c r="U444" s="173"/>
      <c r="V444" s="173"/>
      <c r="W444" s="173"/>
      <c r="X444" s="173"/>
      <c r="Y444" s="173"/>
      <c r="Z444" s="173"/>
    </row>
    <row r="445" spans="1:26" ht="11.25" customHeight="1">
      <c r="A445" s="173"/>
      <c r="B445" s="207"/>
      <c r="C445" s="208"/>
      <c r="D445" s="244"/>
      <c r="E445" s="173"/>
      <c r="F445" s="173"/>
      <c r="G445" s="173"/>
      <c r="H445" s="173"/>
      <c r="I445" s="173"/>
      <c r="J445" s="173"/>
      <c r="K445" s="173"/>
      <c r="L445" s="173"/>
      <c r="M445" s="173"/>
      <c r="N445" s="173"/>
      <c r="O445" s="173"/>
      <c r="P445" s="173"/>
      <c r="Q445" s="173"/>
      <c r="R445" s="173"/>
      <c r="S445" s="173"/>
      <c r="T445" s="173"/>
      <c r="U445" s="173"/>
      <c r="V445" s="173"/>
      <c r="W445" s="173"/>
      <c r="X445" s="173"/>
      <c r="Y445" s="173"/>
      <c r="Z445" s="173"/>
    </row>
    <row r="446" spans="1:26" ht="11.25" customHeight="1">
      <c r="A446" s="173"/>
      <c r="B446" s="207"/>
      <c r="C446" s="208"/>
      <c r="D446" s="244"/>
      <c r="E446" s="173"/>
      <c r="F446" s="173"/>
      <c r="G446" s="173"/>
      <c r="H446" s="173"/>
      <c r="I446" s="173"/>
      <c r="J446" s="173"/>
      <c r="K446" s="173"/>
      <c r="L446" s="173"/>
      <c r="M446" s="173"/>
      <c r="N446" s="173"/>
      <c r="O446" s="173"/>
      <c r="P446" s="173"/>
      <c r="Q446" s="173"/>
      <c r="R446" s="173"/>
      <c r="S446" s="173"/>
      <c r="T446" s="173"/>
      <c r="U446" s="173"/>
      <c r="V446" s="173"/>
      <c r="W446" s="173"/>
      <c r="X446" s="173"/>
      <c r="Y446" s="173"/>
      <c r="Z446" s="173"/>
    </row>
    <row r="447" spans="1:26" ht="11.25" customHeight="1">
      <c r="A447" s="173"/>
      <c r="B447" s="207"/>
      <c r="C447" s="208"/>
      <c r="D447" s="244"/>
      <c r="E447" s="173"/>
      <c r="F447" s="173"/>
      <c r="G447" s="173"/>
      <c r="H447" s="173"/>
      <c r="I447" s="173"/>
      <c r="J447" s="173"/>
      <c r="K447" s="173"/>
      <c r="L447" s="173"/>
      <c r="M447" s="173"/>
      <c r="N447" s="173"/>
      <c r="O447" s="173"/>
      <c r="P447" s="173"/>
      <c r="Q447" s="173"/>
      <c r="R447" s="173"/>
      <c r="S447" s="173"/>
      <c r="T447" s="173"/>
      <c r="U447" s="173"/>
      <c r="V447" s="173"/>
      <c r="W447" s="173"/>
      <c r="X447" s="173"/>
      <c r="Y447" s="173"/>
      <c r="Z447" s="173"/>
    </row>
    <row r="448" spans="1:26" ht="11.25" customHeight="1">
      <c r="A448" s="173"/>
      <c r="B448" s="207"/>
      <c r="C448" s="208"/>
      <c r="D448" s="244"/>
      <c r="E448" s="173"/>
      <c r="F448" s="173"/>
      <c r="G448" s="173"/>
      <c r="H448" s="173"/>
      <c r="I448" s="173"/>
      <c r="J448" s="173"/>
      <c r="K448" s="173"/>
      <c r="L448" s="173"/>
      <c r="M448" s="173"/>
      <c r="N448" s="173"/>
      <c r="O448" s="173"/>
      <c r="P448" s="173"/>
      <c r="Q448" s="173"/>
      <c r="R448" s="173"/>
      <c r="S448" s="173"/>
      <c r="T448" s="173"/>
      <c r="U448" s="173"/>
      <c r="V448" s="173"/>
      <c r="W448" s="173"/>
      <c r="X448" s="173"/>
      <c r="Y448" s="173"/>
      <c r="Z448" s="173"/>
    </row>
    <row r="449" spans="1:26" ht="11.25" customHeight="1">
      <c r="A449" s="173"/>
      <c r="B449" s="207"/>
      <c r="C449" s="208"/>
      <c r="D449" s="244"/>
      <c r="E449" s="173"/>
      <c r="F449" s="173"/>
      <c r="G449" s="173"/>
      <c r="H449" s="173"/>
      <c r="I449" s="173"/>
      <c r="J449" s="173"/>
      <c r="K449" s="173"/>
      <c r="L449" s="173"/>
      <c r="M449" s="173"/>
      <c r="N449" s="173"/>
      <c r="O449" s="173"/>
      <c r="P449" s="173"/>
      <c r="Q449" s="173"/>
      <c r="R449" s="173"/>
      <c r="S449" s="173"/>
      <c r="T449" s="173"/>
      <c r="U449" s="173"/>
      <c r="V449" s="173"/>
      <c r="W449" s="173"/>
      <c r="X449" s="173"/>
      <c r="Y449" s="173"/>
      <c r="Z449" s="173"/>
    </row>
    <row r="450" spans="1:26" ht="11.25" customHeight="1">
      <c r="A450" s="173"/>
      <c r="B450" s="207"/>
      <c r="C450" s="208"/>
      <c r="D450" s="244"/>
      <c r="E450" s="173"/>
      <c r="F450" s="173"/>
      <c r="G450" s="173"/>
      <c r="H450" s="173"/>
      <c r="I450" s="173"/>
      <c r="J450" s="173"/>
      <c r="K450" s="173"/>
      <c r="L450" s="173"/>
      <c r="M450" s="173"/>
      <c r="N450" s="173"/>
      <c r="O450" s="173"/>
      <c r="P450" s="173"/>
      <c r="Q450" s="173"/>
      <c r="R450" s="173"/>
      <c r="S450" s="173"/>
      <c r="T450" s="173"/>
      <c r="U450" s="173"/>
      <c r="V450" s="173"/>
      <c r="W450" s="173"/>
      <c r="X450" s="173"/>
      <c r="Y450" s="173"/>
      <c r="Z450" s="173"/>
    </row>
    <row r="451" spans="1:26" ht="11.25" customHeight="1">
      <c r="A451" s="173"/>
      <c r="B451" s="207"/>
      <c r="C451" s="208"/>
      <c r="D451" s="244"/>
      <c r="E451" s="173"/>
      <c r="F451" s="173"/>
      <c r="G451" s="173"/>
      <c r="H451" s="173"/>
      <c r="I451" s="173"/>
      <c r="J451" s="173"/>
      <c r="K451" s="173"/>
      <c r="L451" s="173"/>
      <c r="M451" s="173"/>
      <c r="N451" s="173"/>
      <c r="O451" s="173"/>
      <c r="P451" s="173"/>
      <c r="Q451" s="173"/>
      <c r="R451" s="173"/>
      <c r="S451" s="173"/>
      <c r="T451" s="173"/>
      <c r="U451" s="173"/>
      <c r="V451" s="173"/>
      <c r="W451" s="173"/>
      <c r="X451" s="173"/>
      <c r="Y451" s="173"/>
      <c r="Z451" s="173"/>
    </row>
    <row r="452" spans="1:26" ht="11.25" customHeight="1">
      <c r="A452" s="173"/>
      <c r="B452" s="207"/>
      <c r="C452" s="208"/>
      <c r="D452" s="244"/>
      <c r="E452" s="173"/>
      <c r="F452" s="173"/>
      <c r="G452" s="173"/>
      <c r="H452" s="173"/>
      <c r="I452" s="173"/>
      <c r="J452" s="173"/>
      <c r="K452" s="173"/>
      <c r="L452" s="173"/>
      <c r="M452" s="173"/>
      <c r="N452" s="173"/>
      <c r="O452" s="173"/>
      <c r="P452" s="173"/>
      <c r="Q452" s="173"/>
      <c r="R452" s="173"/>
      <c r="S452" s="173"/>
      <c r="T452" s="173"/>
      <c r="U452" s="173"/>
      <c r="V452" s="173"/>
      <c r="W452" s="173"/>
      <c r="X452" s="173"/>
      <c r="Y452" s="173"/>
      <c r="Z452" s="173"/>
    </row>
    <row r="453" spans="1:26" ht="11.25" customHeight="1">
      <c r="A453" s="173"/>
      <c r="B453" s="207"/>
      <c r="C453" s="208"/>
      <c r="D453" s="244"/>
      <c r="E453" s="173"/>
      <c r="F453" s="173"/>
      <c r="G453" s="173"/>
      <c r="H453" s="173"/>
      <c r="I453" s="173"/>
      <c r="J453" s="173"/>
      <c r="K453" s="173"/>
      <c r="L453" s="173"/>
      <c r="M453" s="173"/>
      <c r="N453" s="173"/>
      <c r="O453" s="173"/>
      <c r="P453" s="173"/>
      <c r="Q453" s="173"/>
      <c r="R453" s="173"/>
      <c r="S453" s="173"/>
      <c r="T453" s="173"/>
      <c r="U453" s="173"/>
      <c r="V453" s="173"/>
      <c r="W453" s="173"/>
      <c r="X453" s="173"/>
      <c r="Y453" s="173"/>
      <c r="Z453" s="173"/>
    </row>
    <row r="454" spans="1:26" ht="11.25" customHeight="1">
      <c r="A454" s="173"/>
      <c r="B454" s="207"/>
      <c r="C454" s="208"/>
      <c r="D454" s="244"/>
      <c r="E454" s="173"/>
      <c r="F454" s="173"/>
      <c r="G454" s="173"/>
      <c r="H454" s="173"/>
      <c r="I454" s="173"/>
      <c r="J454" s="173"/>
      <c r="K454" s="173"/>
      <c r="L454" s="173"/>
      <c r="M454" s="173"/>
      <c r="N454" s="173"/>
      <c r="O454" s="173"/>
      <c r="P454" s="173"/>
      <c r="Q454" s="173"/>
      <c r="R454" s="173"/>
      <c r="S454" s="173"/>
      <c r="T454" s="173"/>
      <c r="U454" s="173"/>
      <c r="V454" s="173"/>
      <c r="W454" s="173"/>
      <c r="X454" s="173"/>
      <c r="Y454" s="173"/>
      <c r="Z454" s="173"/>
    </row>
    <row r="455" spans="1:26" ht="11.25" customHeight="1">
      <c r="A455" s="173"/>
      <c r="B455" s="207"/>
      <c r="C455" s="208"/>
      <c r="D455" s="244"/>
      <c r="E455" s="173"/>
      <c r="F455" s="173"/>
      <c r="G455" s="173"/>
      <c r="H455" s="173"/>
      <c r="I455" s="173"/>
      <c r="J455" s="173"/>
      <c r="K455" s="173"/>
      <c r="L455" s="173"/>
      <c r="M455" s="173"/>
      <c r="N455" s="173"/>
      <c r="O455" s="173"/>
      <c r="P455" s="173"/>
      <c r="Q455" s="173"/>
      <c r="R455" s="173"/>
      <c r="S455" s="173"/>
      <c r="T455" s="173"/>
      <c r="U455" s="173"/>
      <c r="V455" s="173"/>
      <c r="W455" s="173"/>
      <c r="X455" s="173"/>
      <c r="Y455" s="173"/>
      <c r="Z455" s="173"/>
    </row>
    <row r="456" spans="1:26" ht="11.25" customHeight="1">
      <c r="A456" s="173"/>
      <c r="B456" s="207"/>
      <c r="C456" s="208"/>
      <c r="D456" s="244"/>
      <c r="E456" s="173"/>
      <c r="F456" s="173"/>
      <c r="G456" s="173"/>
      <c r="H456" s="173"/>
      <c r="I456" s="173"/>
      <c r="J456" s="173"/>
      <c r="K456" s="173"/>
      <c r="L456" s="173"/>
      <c r="M456" s="173"/>
      <c r="N456" s="173"/>
      <c r="O456" s="173"/>
      <c r="P456" s="173"/>
      <c r="Q456" s="173"/>
      <c r="R456" s="173"/>
      <c r="S456" s="173"/>
      <c r="T456" s="173"/>
      <c r="U456" s="173"/>
      <c r="V456" s="173"/>
      <c r="W456" s="173"/>
      <c r="X456" s="173"/>
      <c r="Y456" s="173"/>
      <c r="Z456" s="173"/>
    </row>
    <row r="457" spans="1:26" ht="11.25" customHeight="1">
      <c r="A457" s="173"/>
      <c r="B457" s="207"/>
      <c r="C457" s="208"/>
      <c r="D457" s="244"/>
      <c r="E457" s="173"/>
      <c r="F457" s="173"/>
      <c r="G457" s="173"/>
      <c r="H457" s="173"/>
      <c r="I457" s="173"/>
      <c r="J457" s="173"/>
      <c r="K457" s="173"/>
      <c r="L457" s="173"/>
      <c r="M457" s="173"/>
      <c r="N457" s="173"/>
      <c r="O457" s="173"/>
      <c r="P457" s="173"/>
      <c r="Q457" s="173"/>
      <c r="R457" s="173"/>
      <c r="S457" s="173"/>
      <c r="T457" s="173"/>
      <c r="U457" s="173"/>
      <c r="V457" s="173"/>
      <c r="W457" s="173"/>
      <c r="X457" s="173"/>
      <c r="Y457" s="173"/>
      <c r="Z457" s="173"/>
    </row>
    <row r="458" spans="1:26" ht="11.25" customHeight="1">
      <c r="A458" s="173"/>
      <c r="B458" s="207"/>
      <c r="C458" s="208"/>
      <c r="D458" s="244"/>
      <c r="E458" s="173"/>
      <c r="F458" s="173"/>
      <c r="G458" s="173"/>
      <c r="H458" s="173"/>
      <c r="I458" s="173"/>
      <c r="J458" s="173"/>
      <c r="K458" s="173"/>
      <c r="L458" s="173"/>
      <c r="M458" s="173"/>
      <c r="N458" s="173"/>
      <c r="O458" s="173"/>
      <c r="P458" s="173"/>
      <c r="Q458" s="173"/>
      <c r="R458" s="173"/>
      <c r="S458" s="173"/>
      <c r="T458" s="173"/>
      <c r="U458" s="173"/>
      <c r="V458" s="173"/>
      <c r="W458" s="173"/>
      <c r="X458" s="173"/>
      <c r="Y458" s="173"/>
      <c r="Z458" s="173"/>
    </row>
    <row r="459" spans="1:26" ht="11.25" customHeight="1">
      <c r="A459" s="173"/>
      <c r="B459" s="207"/>
      <c r="C459" s="208"/>
      <c r="D459" s="244"/>
      <c r="E459" s="173"/>
      <c r="F459" s="173"/>
      <c r="G459" s="173"/>
      <c r="H459" s="173"/>
      <c r="I459" s="173"/>
      <c r="J459" s="173"/>
      <c r="K459" s="173"/>
      <c r="L459" s="173"/>
      <c r="M459" s="173"/>
      <c r="N459" s="173"/>
      <c r="O459" s="173"/>
      <c r="P459" s="173"/>
      <c r="Q459" s="173"/>
      <c r="R459" s="173"/>
      <c r="S459" s="173"/>
      <c r="T459" s="173"/>
      <c r="U459" s="173"/>
      <c r="V459" s="173"/>
      <c r="W459" s="173"/>
      <c r="X459" s="173"/>
      <c r="Y459" s="173"/>
      <c r="Z459" s="173"/>
    </row>
    <row r="460" spans="1:26" ht="11.25" customHeight="1">
      <c r="A460" s="173"/>
      <c r="B460" s="207"/>
      <c r="C460" s="208"/>
      <c r="D460" s="244"/>
      <c r="E460" s="173"/>
      <c r="F460" s="173"/>
      <c r="G460" s="173"/>
      <c r="H460" s="173"/>
      <c r="I460" s="173"/>
      <c r="J460" s="173"/>
      <c r="K460" s="173"/>
      <c r="L460" s="173"/>
      <c r="M460" s="173"/>
      <c r="N460" s="173"/>
      <c r="O460" s="173"/>
      <c r="P460" s="173"/>
      <c r="Q460" s="173"/>
      <c r="R460" s="173"/>
      <c r="S460" s="173"/>
      <c r="T460" s="173"/>
      <c r="U460" s="173"/>
      <c r="V460" s="173"/>
      <c r="W460" s="173"/>
      <c r="X460" s="173"/>
      <c r="Y460" s="173"/>
      <c r="Z460" s="173"/>
    </row>
    <row r="461" spans="1:26" ht="11.25" customHeight="1">
      <c r="A461" s="173"/>
      <c r="B461" s="207"/>
      <c r="C461" s="208"/>
      <c r="D461" s="244"/>
      <c r="E461" s="173"/>
      <c r="F461" s="173"/>
      <c r="G461" s="173"/>
      <c r="H461" s="173"/>
      <c r="I461" s="173"/>
      <c r="J461" s="173"/>
      <c r="K461" s="173"/>
      <c r="L461" s="173"/>
      <c r="M461" s="173"/>
      <c r="N461" s="173"/>
      <c r="O461" s="173"/>
      <c r="P461" s="173"/>
      <c r="Q461" s="173"/>
      <c r="R461" s="173"/>
      <c r="S461" s="173"/>
      <c r="T461" s="173"/>
      <c r="U461" s="173"/>
      <c r="V461" s="173"/>
      <c r="W461" s="173"/>
      <c r="X461" s="173"/>
      <c r="Y461" s="173"/>
      <c r="Z461" s="173"/>
    </row>
    <row r="462" spans="1:26" ht="11.25" customHeight="1">
      <c r="A462" s="173"/>
      <c r="B462" s="207"/>
      <c r="C462" s="208"/>
      <c r="D462" s="244"/>
      <c r="E462" s="173"/>
      <c r="F462" s="173"/>
      <c r="G462" s="173"/>
      <c r="H462" s="173"/>
      <c r="I462" s="173"/>
      <c r="J462" s="173"/>
      <c r="K462" s="173"/>
      <c r="L462" s="173"/>
      <c r="M462" s="173"/>
      <c r="N462" s="173"/>
      <c r="O462" s="173"/>
      <c r="P462" s="173"/>
      <c r="Q462" s="173"/>
      <c r="R462" s="173"/>
      <c r="S462" s="173"/>
      <c r="T462" s="173"/>
      <c r="U462" s="173"/>
      <c r="V462" s="173"/>
      <c r="W462" s="173"/>
      <c r="X462" s="173"/>
      <c r="Y462" s="173"/>
      <c r="Z462" s="173"/>
    </row>
    <row r="463" spans="1:26" ht="11.25" customHeight="1">
      <c r="A463" s="173"/>
      <c r="B463" s="207"/>
      <c r="C463" s="208"/>
      <c r="D463" s="244"/>
      <c r="E463" s="173"/>
      <c r="F463" s="173"/>
      <c r="G463" s="173"/>
      <c r="H463" s="173"/>
      <c r="I463" s="173"/>
      <c r="J463" s="173"/>
      <c r="K463" s="173"/>
      <c r="L463" s="173"/>
      <c r="M463" s="173"/>
      <c r="N463" s="173"/>
      <c r="O463" s="173"/>
      <c r="P463" s="173"/>
      <c r="Q463" s="173"/>
      <c r="R463" s="173"/>
      <c r="S463" s="173"/>
      <c r="T463" s="173"/>
      <c r="U463" s="173"/>
      <c r="V463" s="173"/>
      <c r="W463" s="173"/>
      <c r="X463" s="173"/>
      <c r="Y463" s="173"/>
      <c r="Z463" s="173"/>
    </row>
    <row r="464" spans="1:26" ht="11.25" customHeight="1">
      <c r="A464" s="173"/>
      <c r="B464" s="207"/>
      <c r="C464" s="208"/>
      <c r="D464" s="244"/>
      <c r="E464" s="173"/>
      <c r="F464" s="173"/>
      <c r="G464" s="173"/>
      <c r="H464" s="173"/>
      <c r="I464" s="173"/>
      <c r="J464" s="173"/>
      <c r="K464" s="173"/>
      <c r="L464" s="173"/>
      <c r="M464" s="173"/>
      <c r="N464" s="173"/>
      <c r="O464" s="173"/>
      <c r="P464" s="173"/>
      <c r="Q464" s="173"/>
      <c r="R464" s="173"/>
      <c r="S464" s="173"/>
      <c r="T464" s="173"/>
      <c r="U464" s="173"/>
      <c r="V464" s="173"/>
      <c r="W464" s="173"/>
      <c r="X464" s="173"/>
      <c r="Y464" s="173"/>
      <c r="Z464" s="173"/>
    </row>
    <row r="465" spans="1:26" ht="11.25" customHeight="1">
      <c r="A465" s="173"/>
      <c r="B465" s="207"/>
      <c r="C465" s="208"/>
      <c r="D465" s="244"/>
      <c r="E465" s="173"/>
      <c r="F465" s="173"/>
      <c r="G465" s="173"/>
      <c r="H465" s="173"/>
      <c r="I465" s="173"/>
      <c r="J465" s="173"/>
      <c r="K465" s="173"/>
      <c r="L465" s="173"/>
      <c r="M465" s="173"/>
      <c r="N465" s="173"/>
      <c r="O465" s="173"/>
      <c r="P465" s="173"/>
      <c r="Q465" s="173"/>
      <c r="R465" s="173"/>
      <c r="S465" s="173"/>
      <c r="T465" s="173"/>
      <c r="U465" s="173"/>
      <c r="V465" s="173"/>
      <c r="W465" s="173"/>
      <c r="X465" s="173"/>
      <c r="Y465" s="173"/>
      <c r="Z465" s="173"/>
    </row>
    <row r="466" spans="1:26" ht="11.25" customHeight="1">
      <c r="A466" s="173"/>
      <c r="B466" s="207"/>
      <c r="C466" s="208"/>
      <c r="D466" s="244"/>
      <c r="E466" s="173"/>
      <c r="F466" s="173"/>
      <c r="G466" s="173"/>
      <c r="H466" s="173"/>
      <c r="I466" s="173"/>
      <c r="J466" s="173"/>
      <c r="K466" s="173"/>
      <c r="L466" s="173"/>
      <c r="M466" s="173"/>
      <c r="N466" s="173"/>
      <c r="O466" s="173"/>
      <c r="P466" s="173"/>
      <c r="Q466" s="173"/>
      <c r="R466" s="173"/>
      <c r="S466" s="173"/>
      <c r="T466" s="173"/>
      <c r="U466" s="173"/>
      <c r="V466" s="173"/>
      <c r="W466" s="173"/>
      <c r="X466" s="173"/>
      <c r="Y466" s="173"/>
      <c r="Z466" s="173"/>
    </row>
    <row r="467" spans="1:26" ht="11.25" customHeight="1">
      <c r="A467" s="173"/>
      <c r="B467" s="207"/>
      <c r="C467" s="208"/>
      <c r="D467" s="244"/>
      <c r="E467" s="173"/>
      <c r="F467" s="173"/>
      <c r="G467" s="173"/>
      <c r="H467" s="173"/>
      <c r="I467" s="173"/>
      <c r="J467" s="173"/>
      <c r="K467" s="173"/>
      <c r="L467" s="173"/>
      <c r="M467" s="173"/>
      <c r="N467" s="173"/>
      <c r="O467" s="173"/>
      <c r="P467" s="173"/>
      <c r="Q467" s="173"/>
      <c r="R467" s="173"/>
      <c r="S467" s="173"/>
      <c r="T467" s="173"/>
      <c r="U467" s="173"/>
      <c r="V467" s="173"/>
      <c r="W467" s="173"/>
      <c r="X467" s="173"/>
      <c r="Y467" s="173"/>
      <c r="Z467" s="173"/>
    </row>
    <row r="468" spans="1:26" ht="11.25" customHeight="1">
      <c r="A468" s="173"/>
      <c r="B468" s="207"/>
      <c r="C468" s="208"/>
      <c r="D468" s="244"/>
      <c r="E468" s="173"/>
      <c r="F468" s="173"/>
      <c r="G468" s="173"/>
      <c r="H468" s="173"/>
      <c r="I468" s="173"/>
      <c r="J468" s="173"/>
      <c r="K468" s="173"/>
      <c r="L468" s="173"/>
      <c r="M468" s="173"/>
      <c r="N468" s="173"/>
      <c r="O468" s="173"/>
      <c r="P468" s="173"/>
      <c r="Q468" s="173"/>
      <c r="R468" s="173"/>
      <c r="S468" s="173"/>
      <c r="T468" s="173"/>
      <c r="U468" s="173"/>
      <c r="V468" s="173"/>
      <c r="W468" s="173"/>
      <c r="X468" s="173"/>
      <c r="Y468" s="173"/>
      <c r="Z468" s="173"/>
    </row>
    <row r="469" spans="1:26" ht="11.25" customHeight="1">
      <c r="A469" s="173"/>
      <c r="B469" s="207"/>
      <c r="C469" s="208"/>
      <c r="D469" s="244"/>
      <c r="E469" s="173"/>
      <c r="F469" s="173"/>
      <c r="G469" s="173"/>
      <c r="H469" s="173"/>
      <c r="I469" s="173"/>
      <c r="J469" s="173"/>
      <c r="K469" s="173"/>
      <c r="L469" s="173"/>
      <c r="M469" s="173"/>
      <c r="N469" s="173"/>
      <c r="O469" s="173"/>
      <c r="P469" s="173"/>
      <c r="Q469" s="173"/>
      <c r="R469" s="173"/>
      <c r="S469" s="173"/>
      <c r="T469" s="173"/>
      <c r="U469" s="173"/>
      <c r="V469" s="173"/>
      <c r="W469" s="173"/>
      <c r="X469" s="173"/>
      <c r="Y469" s="173"/>
      <c r="Z469" s="173"/>
    </row>
    <row r="470" spans="1:26" ht="11.25" customHeight="1">
      <c r="A470" s="173"/>
      <c r="B470" s="207"/>
      <c r="C470" s="208"/>
      <c r="D470" s="244"/>
      <c r="E470" s="173"/>
      <c r="F470" s="173"/>
      <c r="G470" s="173"/>
      <c r="H470" s="173"/>
      <c r="I470" s="173"/>
      <c r="J470" s="173"/>
      <c r="K470" s="173"/>
      <c r="L470" s="173"/>
      <c r="M470" s="173"/>
      <c r="N470" s="173"/>
      <c r="O470" s="173"/>
      <c r="P470" s="173"/>
      <c r="Q470" s="173"/>
      <c r="R470" s="173"/>
      <c r="S470" s="173"/>
      <c r="T470" s="173"/>
      <c r="U470" s="173"/>
      <c r="V470" s="173"/>
      <c r="W470" s="173"/>
      <c r="X470" s="173"/>
      <c r="Y470" s="173"/>
      <c r="Z470" s="173"/>
    </row>
    <row r="471" spans="1:26" ht="11.25" customHeight="1">
      <c r="A471" s="173"/>
      <c r="B471" s="207"/>
      <c r="C471" s="208"/>
      <c r="D471" s="244"/>
      <c r="E471" s="173"/>
      <c r="F471" s="173"/>
      <c r="G471" s="173"/>
      <c r="H471" s="173"/>
      <c r="I471" s="173"/>
      <c r="J471" s="173"/>
      <c r="K471" s="173"/>
      <c r="L471" s="173"/>
      <c r="M471" s="173"/>
      <c r="N471" s="173"/>
      <c r="O471" s="173"/>
      <c r="P471" s="173"/>
      <c r="Q471" s="173"/>
      <c r="R471" s="173"/>
      <c r="S471" s="173"/>
      <c r="T471" s="173"/>
      <c r="U471" s="173"/>
      <c r="V471" s="173"/>
      <c r="W471" s="173"/>
      <c r="X471" s="173"/>
      <c r="Y471" s="173"/>
      <c r="Z471" s="173"/>
    </row>
    <row r="472" spans="1:26" ht="11.25" customHeight="1">
      <c r="A472" s="173"/>
      <c r="B472" s="207"/>
      <c r="C472" s="208"/>
      <c r="D472" s="244"/>
      <c r="E472" s="173"/>
      <c r="F472" s="173"/>
      <c r="G472" s="173"/>
      <c r="H472" s="173"/>
      <c r="I472" s="173"/>
      <c r="J472" s="173"/>
      <c r="K472" s="173"/>
      <c r="L472" s="173"/>
      <c r="M472" s="173"/>
      <c r="N472" s="173"/>
      <c r="O472" s="173"/>
      <c r="P472" s="173"/>
      <c r="Q472" s="173"/>
      <c r="R472" s="173"/>
      <c r="S472" s="173"/>
      <c r="T472" s="173"/>
      <c r="U472" s="173"/>
      <c r="V472" s="173"/>
      <c r="W472" s="173"/>
      <c r="X472" s="173"/>
      <c r="Y472" s="173"/>
      <c r="Z472" s="173"/>
    </row>
    <row r="473" spans="1:26" ht="11.25" customHeight="1">
      <c r="A473" s="173"/>
      <c r="B473" s="207"/>
      <c r="C473" s="208"/>
      <c r="D473" s="244"/>
      <c r="E473" s="173"/>
      <c r="F473" s="173"/>
      <c r="G473" s="173"/>
      <c r="H473" s="173"/>
      <c r="I473" s="173"/>
      <c r="J473" s="173"/>
      <c r="K473" s="173"/>
      <c r="L473" s="173"/>
      <c r="M473" s="173"/>
      <c r="N473" s="173"/>
      <c r="O473" s="173"/>
      <c r="P473" s="173"/>
      <c r="Q473" s="173"/>
      <c r="R473" s="173"/>
      <c r="S473" s="173"/>
      <c r="T473" s="173"/>
      <c r="U473" s="173"/>
      <c r="V473" s="173"/>
      <c r="W473" s="173"/>
      <c r="X473" s="173"/>
      <c r="Y473" s="173"/>
      <c r="Z473" s="173"/>
    </row>
    <row r="474" spans="1:26" ht="11.25" customHeight="1">
      <c r="A474" s="173"/>
      <c r="B474" s="207"/>
      <c r="C474" s="208"/>
      <c r="D474" s="244"/>
      <c r="E474" s="173"/>
      <c r="F474" s="173"/>
      <c r="G474" s="173"/>
      <c r="H474" s="173"/>
      <c r="I474" s="173"/>
      <c r="J474" s="173"/>
      <c r="K474" s="173"/>
      <c r="L474" s="173"/>
      <c r="M474" s="173"/>
      <c r="N474" s="173"/>
      <c r="O474" s="173"/>
      <c r="P474" s="173"/>
      <c r="Q474" s="173"/>
      <c r="R474" s="173"/>
      <c r="S474" s="173"/>
      <c r="T474" s="173"/>
      <c r="U474" s="173"/>
      <c r="V474" s="173"/>
      <c r="W474" s="173"/>
      <c r="X474" s="173"/>
      <c r="Y474" s="173"/>
      <c r="Z474" s="173"/>
    </row>
    <row r="475" spans="1:26" ht="11.25" customHeight="1">
      <c r="A475" s="173"/>
      <c r="B475" s="207"/>
      <c r="C475" s="208"/>
      <c r="D475" s="244"/>
      <c r="E475" s="173"/>
      <c r="F475" s="173"/>
      <c r="G475" s="173"/>
      <c r="H475" s="173"/>
      <c r="I475" s="173"/>
      <c r="J475" s="173"/>
      <c r="K475" s="173"/>
      <c r="L475" s="173"/>
      <c r="M475" s="173"/>
      <c r="N475" s="173"/>
      <c r="O475" s="173"/>
      <c r="P475" s="173"/>
      <c r="Q475" s="173"/>
      <c r="R475" s="173"/>
      <c r="S475" s="173"/>
      <c r="T475" s="173"/>
      <c r="U475" s="173"/>
      <c r="V475" s="173"/>
      <c r="W475" s="173"/>
      <c r="X475" s="173"/>
      <c r="Y475" s="173"/>
      <c r="Z475" s="173"/>
    </row>
    <row r="476" spans="1:26" ht="11.25" customHeight="1">
      <c r="A476" s="173"/>
      <c r="B476" s="207"/>
      <c r="C476" s="208"/>
      <c r="D476" s="244"/>
      <c r="E476" s="173"/>
      <c r="F476" s="173"/>
      <c r="G476" s="173"/>
      <c r="H476" s="173"/>
      <c r="I476" s="173"/>
      <c r="J476" s="173"/>
      <c r="K476" s="173"/>
      <c r="L476" s="173"/>
      <c r="M476" s="173"/>
      <c r="N476" s="173"/>
      <c r="O476" s="173"/>
      <c r="P476" s="173"/>
      <c r="Q476" s="173"/>
      <c r="R476" s="173"/>
      <c r="S476" s="173"/>
      <c r="T476" s="173"/>
      <c r="U476" s="173"/>
      <c r="V476" s="173"/>
      <c r="W476" s="173"/>
      <c r="X476" s="173"/>
      <c r="Y476" s="173"/>
      <c r="Z476" s="173"/>
    </row>
    <row r="477" spans="1:26" ht="11.25" customHeight="1">
      <c r="A477" s="173"/>
      <c r="B477" s="207"/>
      <c r="C477" s="208"/>
      <c r="D477" s="244"/>
      <c r="E477" s="173"/>
      <c r="F477" s="173"/>
      <c r="G477" s="173"/>
      <c r="H477" s="173"/>
      <c r="I477" s="173"/>
      <c r="J477" s="173"/>
      <c r="K477" s="173"/>
      <c r="L477" s="173"/>
      <c r="M477" s="173"/>
      <c r="N477" s="173"/>
      <c r="O477" s="173"/>
      <c r="P477" s="173"/>
      <c r="Q477" s="173"/>
      <c r="R477" s="173"/>
      <c r="S477" s="173"/>
      <c r="T477" s="173"/>
      <c r="U477" s="173"/>
      <c r="V477" s="173"/>
      <c r="W477" s="173"/>
      <c r="X477" s="173"/>
      <c r="Y477" s="173"/>
      <c r="Z477" s="173"/>
    </row>
    <row r="478" spans="1:26" ht="11.25" customHeight="1">
      <c r="A478" s="173"/>
      <c r="B478" s="207"/>
      <c r="C478" s="208"/>
      <c r="D478" s="244"/>
      <c r="E478" s="173"/>
      <c r="F478" s="173"/>
      <c r="G478" s="173"/>
      <c r="H478" s="173"/>
      <c r="I478" s="173"/>
      <c r="J478" s="173"/>
      <c r="K478" s="173"/>
      <c r="L478" s="173"/>
      <c r="M478" s="173"/>
      <c r="N478" s="173"/>
      <c r="O478" s="173"/>
      <c r="P478" s="173"/>
      <c r="Q478" s="173"/>
      <c r="R478" s="173"/>
      <c r="S478" s="173"/>
      <c r="T478" s="173"/>
      <c r="U478" s="173"/>
      <c r="V478" s="173"/>
      <c r="W478" s="173"/>
      <c r="X478" s="173"/>
      <c r="Y478" s="173"/>
      <c r="Z478" s="173"/>
    </row>
    <row r="479" spans="1:26" ht="11.25" customHeight="1">
      <c r="A479" s="173"/>
      <c r="B479" s="207"/>
      <c r="C479" s="208"/>
      <c r="D479" s="244"/>
      <c r="E479" s="173"/>
      <c r="F479" s="173"/>
      <c r="G479" s="173"/>
      <c r="H479" s="173"/>
      <c r="I479" s="173"/>
      <c r="J479" s="173"/>
      <c r="K479" s="173"/>
      <c r="L479" s="173"/>
      <c r="M479" s="173"/>
      <c r="N479" s="173"/>
      <c r="O479" s="173"/>
      <c r="P479" s="173"/>
      <c r="Q479" s="173"/>
      <c r="R479" s="173"/>
      <c r="S479" s="173"/>
      <c r="T479" s="173"/>
      <c r="U479" s="173"/>
      <c r="V479" s="173"/>
      <c r="W479" s="173"/>
      <c r="X479" s="173"/>
      <c r="Y479" s="173"/>
      <c r="Z479" s="173"/>
    </row>
    <row r="480" spans="1:26" ht="11.25" customHeight="1">
      <c r="A480" s="173"/>
      <c r="B480" s="207"/>
      <c r="C480" s="208"/>
      <c r="D480" s="244"/>
      <c r="E480" s="173"/>
      <c r="F480" s="173"/>
      <c r="G480" s="173"/>
      <c r="H480" s="173"/>
      <c r="I480" s="173"/>
      <c r="J480" s="173"/>
      <c r="K480" s="173"/>
      <c r="L480" s="173"/>
      <c r="M480" s="173"/>
      <c r="N480" s="173"/>
      <c r="O480" s="173"/>
      <c r="P480" s="173"/>
      <c r="Q480" s="173"/>
      <c r="R480" s="173"/>
      <c r="S480" s="173"/>
      <c r="T480" s="173"/>
      <c r="U480" s="173"/>
      <c r="V480" s="173"/>
      <c r="W480" s="173"/>
      <c r="X480" s="173"/>
      <c r="Y480" s="173"/>
      <c r="Z480" s="173"/>
    </row>
    <row r="481" spans="1:26" ht="11.25" customHeight="1">
      <c r="A481" s="173"/>
      <c r="B481" s="207"/>
      <c r="C481" s="208"/>
      <c r="D481" s="244"/>
      <c r="E481" s="173"/>
      <c r="F481" s="173"/>
      <c r="G481" s="173"/>
      <c r="H481" s="173"/>
      <c r="I481" s="173"/>
      <c r="J481" s="173"/>
      <c r="K481" s="173"/>
      <c r="L481" s="173"/>
      <c r="M481" s="173"/>
      <c r="N481" s="173"/>
      <c r="O481" s="173"/>
      <c r="P481" s="173"/>
      <c r="Q481" s="173"/>
      <c r="R481" s="173"/>
      <c r="S481" s="173"/>
      <c r="T481" s="173"/>
      <c r="U481" s="173"/>
      <c r="V481" s="173"/>
      <c r="W481" s="173"/>
      <c r="X481" s="173"/>
      <c r="Y481" s="173"/>
      <c r="Z481" s="173"/>
    </row>
    <row r="482" spans="1:26" ht="11.25" customHeight="1">
      <c r="A482" s="173"/>
      <c r="B482" s="207"/>
      <c r="C482" s="208"/>
      <c r="D482" s="244"/>
      <c r="E482" s="173"/>
      <c r="F482" s="173"/>
      <c r="G482" s="173"/>
      <c r="H482" s="173"/>
      <c r="I482" s="173"/>
      <c r="J482" s="173"/>
      <c r="K482" s="173"/>
      <c r="L482" s="173"/>
      <c r="M482" s="173"/>
      <c r="N482" s="173"/>
      <c r="O482" s="173"/>
      <c r="P482" s="173"/>
      <c r="Q482" s="173"/>
      <c r="R482" s="173"/>
      <c r="S482" s="173"/>
      <c r="T482" s="173"/>
      <c r="U482" s="173"/>
      <c r="V482" s="173"/>
      <c r="W482" s="173"/>
      <c r="X482" s="173"/>
      <c r="Y482" s="173"/>
      <c r="Z482" s="173"/>
    </row>
    <row r="483" spans="1:26" ht="11.25" customHeight="1">
      <c r="A483" s="173"/>
      <c r="B483" s="207"/>
      <c r="C483" s="208"/>
      <c r="D483" s="244"/>
      <c r="E483" s="173"/>
      <c r="F483" s="173"/>
      <c r="G483" s="173"/>
      <c r="H483" s="173"/>
      <c r="I483" s="173"/>
      <c r="J483" s="173"/>
      <c r="K483" s="173"/>
      <c r="L483" s="173"/>
      <c r="M483" s="173"/>
      <c r="N483" s="173"/>
      <c r="O483" s="173"/>
      <c r="P483" s="173"/>
      <c r="Q483" s="173"/>
      <c r="R483" s="173"/>
      <c r="S483" s="173"/>
      <c r="T483" s="173"/>
      <c r="U483" s="173"/>
      <c r="V483" s="173"/>
      <c r="W483" s="173"/>
      <c r="X483" s="173"/>
      <c r="Y483" s="173"/>
      <c r="Z483" s="173"/>
    </row>
    <row r="484" spans="1:26" ht="11.25" customHeight="1">
      <c r="A484" s="173"/>
      <c r="B484" s="207"/>
      <c r="C484" s="208"/>
      <c r="D484" s="244"/>
      <c r="E484" s="173"/>
      <c r="F484" s="173"/>
      <c r="G484" s="173"/>
      <c r="H484" s="173"/>
      <c r="I484" s="173"/>
      <c r="J484" s="173"/>
      <c r="K484" s="173"/>
      <c r="L484" s="173"/>
      <c r="M484" s="173"/>
      <c r="N484" s="173"/>
      <c r="O484" s="173"/>
      <c r="P484" s="173"/>
      <c r="Q484" s="173"/>
      <c r="R484" s="173"/>
      <c r="S484" s="173"/>
      <c r="T484" s="173"/>
      <c r="U484" s="173"/>
      <c r="V484" s="173"/>
      <c r="W484" s="173"/>
      <c r="X484" s="173"/>
      <c r="Y484" s="173"/>
      <c r="Z484" s="173"/>
    </row>
    <row r="485" spans="1:26" ht="11.25" customHeight="1">
      <c r="A485" s="173"/>
      <c r="B485" s="207"/>
      <c r="C485" s="208"/>
      <c r="D485" s="244"/>
      <c r="E485" s="173"/>
      <c r="F485" s="173"/>
      <c r="G485" s="173"/>
      <c r="H485" s="173"/>
      <c r="I485" s="173"/>
      <c r="J485" s="173"/>
      <c r="K485" s="173"/>
      <c r="L485" s="173"/>
      <c r="M485" s="173"/>
      <c r="N485" s="173"/>
      <c r="O485" s="173"/>
      <c r="P485" s="173"/>
      <c r="Q485" s="173"/>
      <c r="R485" s="173"/>
      <c r="S485" s="173"/>
      <c r="T485" s="173"/>
      <c r="U485" s="173"/>
      <c r="V485" s="173"/>
      <c r="W485" s="173"/>
      <c r="X485" s="173"/>
      <c r="Y485" s="173"/>
      <c r="Z485" s="173"/>
    </row>
    <row r="486" spans="1:26" ht="11.25" customHeight="1">
      <c r="A486" s="173"/>
      <c r="B486" s="207"/>
      <c r="C486" s="208"/>
      <c r="D486" s="244"/>
      <c r="E486" s="173"/>
      <c r="F486" s="173"/>
      <c r="G486" s="173"/>
      <c r="H486" s="173"/>
      <c r="I486" s="173"/>
      <c r="J486" s="173"/>
      <c r="K486" s="173"/>
      <c r="L486" s="173"/>
      <c r="M486" s="173"/>
      <c r="N486" s="173"/>
      <c r="O486" s="173"/>
      <c r="P486" s="173"/>
      <c r="Q486" s="173"/>
      <c r="R486" s="173"/>
      <c r="S486" s="173"/>
      <c r="T486" s="173"/>
      <c r="U486" s="173"/>
      <c r="V486" s="173"/>
      <c r="W486" s="173"/>
      <c r="X486" s="173"/>
      <c r="Y486" s="173"/>
      <c r="Z486" s="173"/>
    </row>
    <row r="487" spans="1:26" ht="11.25" customHeight="1">
      <c r="A487" s="173"/>
      <c r="B487" s="207"/>
      <c r="C487" s="208"/>
      <c r="D487" s="244"/>
      <c r="E487" s="173"/>
      <c r="F487" s="173"/>
      <c r="G487" s="173"/>
      <c r="H487" s="173"/>
      <c r="I487" s="173"/>
      <c r="J487" s="173"/>
      <c r="K487" s="173"/>
      <c r="L487" s="173"/>
      <c r="M487" s="173"/>
      <c r="N487" s="173"/>
      <c r="O487" s="173"/>
      <c r="P487" s="173"/>
      <c r="Q487" s="173"/>
      <c r="R487" s="173"/>
      <c r="S487" s="173"/>
      <c r="T487" s="173"/>
      <c r="U487" s="173"/>
      <c r="V487" s="173"/>
      <c r="W487" s="173"/>
      <c r="X487" s="173"/>
      <c r="Y487" s="173"/>
      <c r="Z487" s="173"/>
    </row>
    <row r="488" spans="1:26" ht="11.25" customHeight="1">
      <c r="A488" s="173"/>
      <c r="B488" s="207"/>
      <c r="C488" s="208"/>
      <c r="D488" s="244"/>
      <c r="E488" s="173"/>
      <c r="F488" s="173"/>
      <c r="G488" s="173"/>
      <c r="H488" s="173"/>
      <c r="I488" s="173"/>
      <c r="J488" s="173"/>
      <c r="K488" s="173"/>
      <c r="L488" s="173"/>
      <c r="M488" s="173"/>
      <c r="N488" s="173"/>
      <c r="O488" s="173"/>
      <c r="P488" s="173"/>
      <c r="Q488" s="173"/>
      <c r="R488" s="173"/>
      <c r="S488" s="173"/>
      <c r="T488" s="173"/>
      <c r="U488" s="173"/>
      <c r="V488" s="173"/>
      <c r="W488" s="173"/>
      <c r="X488" s="173"/>
      <c r="Y488" s="173"/>
      <c r="Z488" s="173"/>
    </row>
    <row r="489" spans="1:26" ht="11.25" customHeight="1">
      <c r="A489" s="173"/>
      <c r="B489" s="207"/>
      <c r="C489" s="208"/>
      <c r="D489" s="244"/>
      <c r="E489" s="173"/>
      <c r="F489" s="173"/>
      <c r="G489" s="173"/>
      <c r="H489" s="173"/>
      <c r="I489" s="173"/>
      <c r="J489" s="173"/>
      <c r="K489" s="173"/>
      <c r="L489" s="173"/>
      <c r="M489" s="173"/>
      <c r="N489" s="173"/>
      <c r="O489" s="173"/>
      <c r="P489" s="173"/>
      <c r="Q489" s="173"/>
      <c r="R489" s="173"/>
      <c r="S489" s="173"/>
      <c r="T489" s="173"/>
      <c r="U489" s="173"/>
      <c r="V489" s="173"/>
      <c r="W489" s="173"/>
      <c r="X489" s="173"/>
      <c r="Y489" s="173"/>
      <c r="Z489" s="173"/>
    </row>
    <row r="490" spans="1:26" ht="11.25" customHeight="1">
      <c r="A490" s="173"/>
      <c r="B490" s="207"/>
      <c r="C490" s="208"/>
      <c r="D490" s="244"/>
      <c r="E490" s="173"/>
      <c r="F490" s="173"/>
      <c r="G490" s="173"/>
      <c r="H490" s="173"/>
      <c r="I490" s="173"/>
      <c r="J490" s="173"/>
      <c r="K490" s="173"/>
      <c r="L490" s="173"/>
      <c r="M490" s="173"/>
      <c r="N490" s="173"/>
      <c r="O490" s="173"/>
      <c r="P490" s="173"/>
      <c r="Q490" s="173"/>
      <c r="R490" s="173"/>
      <c r="S490" s="173"/>
      <c r="T490" s="173"/>
      <c r="U490" s="173"/>
      <c r="V490" s="173"/>
      <c r="W490" s="173"/>
      <c r="X490" s="173"/>
      <c r="Y490" s="173"/>
      <c r="Z490" s="173"/>
    </row>
    <row r="491" spans="1:26" ht="11.25" customHeight="1">
      <c r="A491" s="173"/>
      <c r="B491" s="207"/>
      <c r="C491" s="208"/>
      <c r="D491" s="244"/>
      <c r="E491" s="173"/>
      <c r="F491" s="173"/>
      <c r="G491" s="173"/>
      <c r="H491" s="173"/>
      <c r="I491" s="173"/>
      <c r="J491" s="173"/>
      <c r="K491" s="173"/>
      <c r="L491" s="173"/>
      <c r="M491" s="173"/>
      <c r="N491" s="173"/>
      <c r="O491" s="173"/>
      <c r="P491" s="173"/>
      <c r="Q491" s="173"/>
      <c r="R491" s="173"/>
      <c r="S491" s="173"/>
      <c r="T491" s="173"/>
      <c r="U491" s="173"/>
      <c r="V491" s="173"/>
      <c r="W491" s="173"/>
      <c r="X491" s="173"/>
      <c r="Y491" s="173"/>
      <c r="Z491" s="173"/>
    </row>
    <row r="492" spans="1:26" ht="11.25" customHeight="1">
      <c r="A492" s="173"/>
      <c r="B492" s="207"/>
      <c r="C492" s="208"/>
      <c r="D492" s="244"/>
      <c r="E492" s="173"/>
      <c r="F492" s="173"/>
      <c r="G492" s="173"/>
      <c r="H492" s="173"/>
      <c r="I492" s="173"/>
      <c r="J492" s="173"/>
      <c r="K492" s="173"/>
      <c r="L492" s="173"/>
      <c r="M492" s="173"/>
      <c r="N492" s="173"/>
      <c r="O492" s="173"/>
      <c r="P492" s="173"/>
      <c r="Q492" s="173"/>
      <c r="R492" s="173"/>
      <c r="S492" s="173"/>
      <c r="T492" s="173"/>
      <c r="U492" s="173"/>
      <c r="V492" s="173"/>
      <c r="W492" s="173"/>
      <c r="X492" s="173"/>
      <c r="Y492" s="173"/>
      <c r="Z492" s="173"/>
    </row>
    <row r="493" spans="1:26" ht="11.25" customHeight="1">
      <c r="A493" s="173"/>
      <c r="B493" s="207"/>
      <c r="C493" s="208"/>
      <c r="D493" s="244"/>
      <c r="E493" s="173"/>
      <c r="F493" s="173"/>
      <c r="G493" s="173"/>
      <c r="H493" s="173"/>
      <c r="I493" s="173"/>
      <c r="J493" s="173"/>
      <c r="K493" s="173"/>
      <c r="L493" s="173"/>
      <c r="M493" s="173"/>
      <c r="N493" s="173"/>
      <c r="O493" s="173"/>
      <c r="P493" s="173"/>
      <c r="Q493" s="173"/>
      <c r="R493" s="173"/>
      <c r="S493" s="173"/>
      <c r="T493" s="173"/>
      <c r="U493" s="173"/>
      <c r="V493" s="173"/>
      <c r="W493" s="173"/>
      <c r="X493" s="173"/>
      <c r="Y493" s="173"/>
      <c r="Z493" s="173"/>
    </row>
    <row r="494" spans="1:26" ht="11.25" customHeight="1">
      <c r="A494" s="173"/>
      <c r="B494" s="207"/>
      <c r="C494" s="208"/>
      <c r="D494" s="244"/>
      <c r="E494" s="173"/>
      <c r="F494" s="173"/>
      <c r="G494" s="173"/>
      <c r="H494" s="173"/>
      <c r="I494" s="173"/>
      <c r="J494" s="173"/>
      <c r="K494" s="173"/>
      <c r="L494" s="173"/>
      <c r="M494" s="173"/>
      <c r="N494" s="173"/>
      <c r="O494" s="173"/>
      <c r="P494" s="173"/>
      <c r="Q494" s="173"/>
      <c r="R494" s="173"/>
      <c r="S494" s="173"/>
      <c r="T494" s="173"/>
      <c r="U494" s="173"/>
      <c r="V494" s="173"/>
      <c r="W494" s="173"/>
      <c r="X494" s="173"/>
      <c r="Y494" s="173"/>
      <c r="Z494" s="173"/>
    </row>
    <row r="495" spans="1:26" ht="11.25" customHeight="1">
      <c r="A495" s="173"/>
      <c r="B495" s="207"/>
      <c r="C495" s="208"/>
      <c r="D495" s="244"/>
      <c r="E495" s="173"/>
      <c r="F495" s="173"/>
      <c r="G495" s="173"/>
      <c r="H495" s="173"/>
      <c r="I495" s="173"/>
      <c r="J495" s="173"/>
      <c r="K495" s="173"/>
      <c r="L495" s="173"/>
      <c r="M495" s="173"/>
      <c r="N495" s="173"/>
      <c r="O495" s="173"/>
      <c r="P495" s="173"/>
      <c r="Q495" s="173"/>
      <c r="R495" s="173"/>
      <c r="S495" s="173"/>
      <c r="T495" s="173"/>
      <c r="U495" s="173"/>
      <c r="V495" s="173"/>
      <c r="W495" s="173"/>
      <c r="X495" s="173"/>
      <c r="Y495" s="173"/>
      <c r="Z495" s="173"/>
    </row>
    <row r="496" spans="1:26" ht="11.25" customHeight="1">
      <c r="A496" s="173"/>
      <c r="B496" s="207"/>
      <c r="C496" s="208"/>
      <c r="D496" s="244"/>
      <c r="E496" s="173"/>
      <c r="F496" s="173"/>
      <c r="G496" s="173"/>
      <c r="H496" s="173"/>
      <c r="I496" s="173"/>
      <c r="J496" s="173"/>
      <c r="K496" s="173"/>
      <c r="L496" s="173"/>
      <c r="M496" s="173"/>
      <c r="N496" s="173"/>
      <c r="O496" s="173"/>
      <c r="P496" s="173"/>
      <c r="Q496" s="173"/>
      <c r="R496" s="173"/>
      <c r="S496" s="173"/>
      <c r="T496" s="173"/>
      <c r="U496" s="173"/>
      <c r="V496" s="173"/>
      <c r="W496" s="173"/>
      <c r="X496" s="173"/>
      <c r="Y496" s="173"/>
      <c r="Z496" s="173"/>
    </row>
    <row r="497" spans="1:26" ht="11.25" customHeight="1">
      <c r="A497" s="173"/>
      <c r="B497" s="207"/>
      <c r="C497" s="208"/>
      <c r="D497" s="244"/>
      <c r="E497" s="173"/>
      <c r="F497" s="173"/>
      <c r="G497" s="173"/>
      <c r="H497" s="173"/>
      <c r="I497" s="173"/>
      <c r="J497" s="173"/>
      <c r="K497" s="173"/>
      <c r="L497" s="173"/>
      <c r="M497" s="173"/>
      <c r="N497" s="173"/>
      <c r="O497" s="173"/>
      <c r="P497" s="173"/>
      <c r="Q497" s="173"/>
      <c r="R497" s="173"/>
      <c r="S497" s="173"/>
      <c r="T497" s="173"/>
      <c r="U497" s="173"/>
      <c r="V497" s="173"/>
      <c r="W497" s="173"/>
      <c r="X497" s="173"/>
      <c r="Y497" s="173"/>
      <c r="Z497" s="173"/>
    </row>
    <row r="498" spans="1:26" ht="11.25" customHeight="1">
      <c r="A498" s="173"/>
      <c r="B498" s="207"/>
      <c r="C498" s="208"/>
      <c r="D498" s="244"/>
      <c r="E498" s="173"/>
      <c r="F498" s="173"/>
      <c r="G498" s="173"/>
      <c r="H498" s="173"/>
      <c r="I498" s="173"/>
      <c r="J498" s="173"/>
      <c r="K498" s="173"/>
      <c r="L498" s="173"/>
      <c r="M498" s="173"/>
      <c r="N498" s="173"/>
      <c r="O498" s="173"/>
      <c r="P498" s="173"/>
      <c r="Q498" s="173"/>
      <c r="R498" s="173"/>
      <c r="S498" s="173"/>
      <c r="T498" s="173"/>
      <c r="U498" s="173"/>
      <c r="V498" s="173"/>
      <c r="W498" s="173"/>
      <c r="X498" s="173"/>
      <c r="Y498" s="173"/>
      <c r="Z498" s="173"/>
    </row>
    <row r="499" spans="1:26" ht="11.25" customHeight="1">
      <c r="A499" s="173"/>
      <c r="B499" s="207"/>
      <c r="C499" s="208"/>
      <c r="D499" s="244"/>
      <c r="E499" s="173"/>
      <c r="F499" s="173"/>
      <c r="G499" s="173"/>
      <c r="H499" s="173"/>
      <c r="I499" s="173"/>
      <c r="J499" s="173"/>
      <c r="K499" s="173"/>
      <c r="L499" s="173"/>
      <c r="M499" s="173"/>
      <c r="N499" s="173"/>
      <c r="O499" s="173"/>
      <c r="P499" s="173"/>
      <c r="Q499" s="173"/>
      <c r="R499" s="173"/>
      <c r="S499" s="173"/>
      <c r="T499" s="173"/>
      <c r="U499" s="173"/>
      <c r="V499" s="173"/>
      <c r="W499" s="173"/>
      <c r="X499" s="173"/>
      <c r="Y499" s="173"/>
      <c r="Z499" s="173"/>
    </row>
    <row r="500" spans="1:26" ht="11.25" customHeight="1">
      <c r="A500" s="173"/>
      <c r="B500" s="207"/>
      <c r="C500" s="208"/>
      <c r="D500" s="244"/>
      <c r="E500" s="173"/>
      <c r="F500" s="173"/>
      <c r="G500" s="173"/>
      <c r="H500" s="173"/>
      <c r="I500" s="173"/>
      <c r="J500" s="173"/>
      <c r="K500" s="173"/>
      <c r="L500" s="173"/>
      <c r="M500" s="173"/>
      <c r="N500" s="173"/>
      <c r="O500" s="173"/>
      <c r="P500" s="173"/>
      <c r="Q500" s="173"/>
      <c r="R500" s="173"/>
      <c r="S500" s="173"/>
      <c r="T500" s="173"/>
      <c r="U500" s="173"/>
      <c r="V500" s="173"/>
      <c r="W500" s="173"/>
      <c r="X500" s="173"/>
      <c r="Y500" s="173"/>
      <c r="Z500" s="173"/>
    </row>
    <row r="501" spans="1:26" ht="11.25" customHeight="1">
      <c r="A501" s="173"/>
      <c r="B501" s="207"/>
      <c r="C501" s="208"/>
      <c r="D501" s="244"/>
      <c r="E501" s="173"/>
      <c r="F501" s="173"/>
      <c r="G501" s="173"/>
      <c r="H501" s="173"/>
      <c r="I501" s="173"/>
      <c r="J501" s="173"/>
      <c r="K501" s="173"/>
      <c r="L501" s="173"/>
      <c r="M501" s="173"/>
      <c r="N501" s="173"/>
      <c r="O501" s="173"/>
      <c r="P501" s="173"/>
      <c r="Q501" s="173"/>
      <c r="R501" s="173"/>
      <c r="S501" s="173"/>
      <c r="T501" s="173"/>
      <c r="U501" s="173"/>
      <c r="V501" s="173"/>
      <c r="W501" s="173"/>
      <c r="X501" s="173"/>
      <c r="Y501" s="173"/>
      <c r="Z501" s="173"/>
    </row>
    <row r="502" spans="1:26" ht="11.25" customHeight="1">
      <c r="A502" s="173"/>
      <c r="B502" s="207"/>
      <c r="C502" s="208"/>
      <c r="D502" s="244"/>
      <c r="E502" s="173"/>
      <c r="F502" s="173"/>
      <c r="G502" s="173"/>
      <c r="H502" s="173"/>
      <c r="I502" s="173"/>
      <c r="J502" s="173"/>
      <c r="K502" s="173"/>
      <c r="L502" s="173"/>
      <c r="M502" s="173"/>
      <c r="N502" s="173"/>
      <c r="O502" s="173"/>
      <c r="P502" s="173"/>
      <c r="Q502" s="173"/>
      <c r="R502" s="173"/>
      <c r="S502" s="173"/>
      <c r="T502" s="173"/>
      <c r="U502" s="173"/>
      <c r="V502" s="173"/>
      <c r="W502" s="173"/>
      <c r="X502" s="173"/>
      <c r="Y502" s="173"/>
      <c r="Z502" s="173"/>
    </row>
    <row r="503" spans="1:26" ht="11.25" customHeight="1">
      <c r="A503" s="173"/>
      <c r="B503" s="207"/>
      <c r="C503" s="208"/>
      <c r="D503" s="244"/>
      <c r="E503" s="173"/>
      <c r="F503" s="173"/>
      <c r="G503" s="173"/>
      <c r="H503" s="173"/>
      <c r="I503" s="173"/>
      <c r="J503" s="173"/>
      <c r="K503" s="173"/>
      <c r="L503" s="173"/>
      <c r="M503" s="173"/>
      <c r="N503" s="173"/>
      <c r="O503" s="173"/>
      <c r="P503" s="173"/>
      <c r="Q503" s="173"/>
      <c r="R503" s="173"/>
      <c r="S503" s="173"/>
      <c r="T503" s="173"/>
      <c r="U503" s="173"/>
      <c r="V503" s="173"/>
      <c r="W503" s="173"/>
      <c r="X503" s="173"/>
      <c r="Y503" s="173"/>
      <c r="Z503" s="173"/>
    </row>
    <row r="504" spans="1:26" ht="11.25" customHeight="1">
      <c r="A504" s="173"/>
      <c r="B504" s="207"/>
      <c r="C504" s="208"/>
      <c r="D504" s="244"/>
      <c r="E504" s="173"/>
      <c r="F504" s="173"/>
      <c r="G504" s="173"/>
      <c r="H504" s="173"/>
      <c r="I504" s="173"/>
      <c r="J504" s="173"/>
      <c r="K504" s="173"/>
      <c r="L504" s="173"/>
      <c r="M504" s="173"/>
      <c r="N504" s="173"/>
      <c r="O504" s="173"/>
      <c r="P504" s="173"/>
      <c r="Q504" s="173"/>
      <c r="R504" s="173"/>
      <c r="S504" s="173"/>
      <c r="T504" s="173"/>
      <c r="U504" s="173"/>
      <c r="V504" s="173"/>
      <c r="W504" s="173"/>
      <c r="X504" s="173"/>
      <c r="Y504" s="173"/>
      <c r="Z504" s="173"/>
    </row>
    <row r="505" spans="1:26" ht="11.25" customHeight="1">
      <c r="A505" s="173"/>
      <c r="B505" s="207"/>
      <c r="C505" s="208"/>
      <c r="D505" s="244"/>
      <c r="E505" s="173"/>
      <c r="F505" s="173"/>
      <c r="G505" s="173"/>
      <c r="H505" s="173"/>
      <c r="I505" s="173"/>
      <c r="J505" s="173"/>
      <c r="K505" s="173"/>
      <c r="L505" s="173"/>
      <c r="M505" s="173"/>
      <c r="N505" s="173"/>
      <c r="O505" s="173"/>
      <c r="P505" s="173"/>
      <c r="Q505" s="173"/>
      <c r="R505" s="173"/>
      <c r="S505" s="173"/>
      <c r="T505" s="173"/>
      <c r="U505" s="173"/>
      <c r="V505" s="173"/>
      <c r="W505" s="173"/>
      <c r="X505" s="173"/>
      <c r="Y505" s="173"/>
      <c r="Z505" s="173"/>
    </row>
    <row r="506" spans="1:26" ht="11.25" customHeight="1">
      <c r="A506" s="173"/>
      <c r="B506" s="207"/>
      <c r="C506" s="208"/>
      <c r="D506" s="244"/>
      <c r="E506" s="173"/>
      <c r="F506" s="173"/>
      <c r="G506" s="173"/>
      <c r="H506" s="173"/>
      <c r="I506" s="173"/>
      <c r="J506" s="173"/>
      <c r="K506" s="173"/>
      <c r="L506" s="173"/>
      <c r="M506" s="173"/>
      <c r="N506" s="173"/>
      <c r="O506" s="173"/>
      <c r="P506" s="173"/>
      <c r="Q506" s="173"/>
      <c r="R506" s="173"/>
      <c r="S506" s="173"/>
      <c r="T506" s="173"/>
      <c r="U506" s="173"/>
      <c r="V506" s="173"/>
      <c r="W506" s="173"/>
      <c r="X506" s="173"/>
      <c r="Y506" s="173"/>
      <c r="Z506" s="173"/>
    </row>
    <row r="507" spans="1:26" ht="11.25" customHeight="1">
      <c r="A507" s="173"/>
      <c r="B507" s="207"/>
      <c r="C507" s="208"/>
      <c r="D507" s="244"/>
      <c r="E507" s="173"/>
      <c r="F507" s="173"/>
      <c r="G507" s="173"/>
      <c r="H507" s="173"/>
      <c r="I507" s="173"/>
      <c r="J507" s="173"/>
      <c r="K507" s="173"/>
      <c r="L507" s="173"/>
      <c r="M507" s="173"/>
      <c r="N507" s="173"/>
      <c r="O507" s="173"/>
      <c r="P507" s="173"/>
      <c r="Q507" s="173"/>
      <c r="R507" s="173"/>
      <c r="S507" s="173"/>
      <c r="T507" s="173"/>
      <c r="U507" s="173"/>
      <c r="V507" s="173"/>
      <c r="W507" s="173"/>
      <c r="X507" s="173"/>
      <c r="Y507" s="173"/>
      <c r="Z507" s="173"/>
    </row>
    <row r="508" spans="1:26" ht="11.25" customHeight="1">
      <c r="A508" s="173"/>
      <c r="B508" s="207"/>
      <c r="C508" s="208"/>
      <c r="D508" s="244"/>
      <c r="E508" s="173"/>
      <c r="F508" s="173"/>
      <c r="G508" s="173"/>
      <c r="H508" s="173"/>
      <c r="I508" s="173"/>
      <c r="J508" s="173"/>
      <c r="K508" s="173"/>
      <c r="L508" s="173"/>
      <c r="M508" s="173"/>
      <c r="N508" s="173"/>
      <c r="O508" s="173"/>
      <c r="P508" s="173"/>
      <c r="Q508" s="173"/>
      <c r="R508" s="173"/>
      <c r="S508" s="173"/>
      <c r="T508" s="173"/>
      <c r="U508" s="173"/>
      <c r="V508" s="173"/>
      <c r="W508" s="173"/>
      <c r="X508" s="173"/>
      <c r="Y508" s="173"/>
      <c r="Z508" s="173"/>
    </row>
    <row r="509" spans="1:26" ht="11.25" customHeight="1">
      <c r="A509" s="173"/>
      <c r="B509" s="207"/>
      <c r="C509" s="208"/>
      <c r="D509" s="244"/>
      <c r="E509" s="173"/>
      <c r="F509" s="173"/>
      <c r="G509" s="173"/>
      <c r="H509" s="173"/>
      <c r="I509" s="173"/>
      <c r="J509" s="173"/>
      <c r="K509" s="173"/>
      <c r="L509" s="173"/>
      <c r="M509" s="173"/>
      <c r="N509" s="173"/>
      <c r="O509" s="173"/>
      <c r="P509" s="173"/>
      <c r="Q509" s="173"/>
      <c r="R509" s="173"/>
      <c r="S509" s="173"/>
      <c r="T509" s="173"/>
      <c r="U509" s="173"/>
      <c r="V509" s="173"/>
      <c r="W509" s="173"/>
      <c r="X509" s="173"/>
      <c r="Y509" s="173"/>
      <c r="Z509" s="173"/>
    </row>
    <row r="510" spans="1:26" ht="11.25" customHeight="1">
      <c r="A510" s="173"/>
      <c r="B510" s="207"/>
      <c r="C510" s="208"/>
      <c r="D510" s="244"/>
      <c r="E510" s="173"/>
      <c r="F510" s="173"/>
      <c r="G510" s="173"/>
      <c r="H510" s="173"/>
      <c r="I510" s="173"/>
      <c r="J510" s="173"/>
      <c r="K510" s="173"/>
      <c r="L510" s="173"/>
      <c r="M510" s="173"/>
      <c r="N510" s="173"/>
      <c r="O510" s="173"/>
      <c r="P510" s="173"/>
      <c r="Q510" s="173"/>
      <c r="R510" s="173"/>
      <c r="S510" s="173"/>
      <c r="T510" s="173"/>
      <c r="U510" s="173"/>
      <c r="V510" s="173"/>
      <c r="W510" s="173"/>
      <c r="X510" s="173"/>
      <c r="Y510" s="173"/>
      <c r="Z510" s="173"/>
    </row>
    <row r="511" spans="1:26" ht="11.25" customHeight="1">
      <c r="A511" s="173"/>
      <c r="B511" s="207"/>
      <c r="C511" s="208"/>
      <c r="D511" s="244"/>
      <c r="E511" s="173"/>
      <c r="F511" s="173"/>
      <c r="G511" s="173"/>
      <c r="H511" s="173"/>
      <c r="I511" s="173"/>
      <c r="J511" s="173"/>
      <c r="K511" s="173"/>
      <c r="L511" s="173"/>
      <c r="M511" s="173"/>
      <c r="N511" s="173"/>
      <c r="O511" s="173"/>
      <c r="P511" s="173"/>
      <c r="Q511" s="173"/>
      <c r="R511" s="173"/>
      <c r="S511" s="173"/>
      <c r="T511" s="173"/>
      <c r="U511" s="173"/>
      <c r="V511" s="173"/>
      <c r="W511" s="173"/>
      <c r="X511" s="173"/>
      <c r="Y511" s="173"/>
      <c r="Z511" s="173"/>
    </row>
    <row r="512" spans="1:26" ht="11.25" customHeight="1">
      <c r="A512" s="173"/>
      <c r="B512" s="207"/>
      <c r="C512" s="208"/>
      <c r="D512" s="244"/>
      <c r="E512" s="173"/>
      <c r="F512" s="173"/>
      <c r="G512" s="173"/>
      <c r="H512" s="173"/>
      <c r="I512" s="173"/>
      <c r="J512" s="173"/>
      <c r="K512" s="173"/>
      <c r="L512" s="173"/>
      <c r="M512" s="173"/>
      <c r="N512" s="173"/>
      <c r="O512" s="173"/>
      <c r="P512" s="173"/>
      <c r="Q512" s="173"/>
      <c r="R512" s="173"/>
      <c r="S512" s="173"/>
      <c r="T512" s="173"/>
      <c r="U512" s="173"/>
      <c r="V512" s="173"/>
      <c r="W512" s="173"/>
      <c r="X512" s="173"/>
      <c r="Y512" s="173"/>
      <c r="Z512" s="173"/>
    </row>
    <row r="513" spans="1:26" ht="11.25" customHeight="1">
      <c r="A513" s="173"/>
      <c r="B513" s="207"/>
      <c r="C513" s="208"/>
      <c r="D513" s="244"/>
      <c r="E513" s="173"/>
      <c r="F513" s="173"/>
      <c r="G513" s="173"/>
      <c r="H513" s="173"/>
      <c r="I513" s="173"/>
      <c r="J513" s="173"/>
      <c r="K513" s="173"/>
      <c r="L513" s="173"/>
      <c r="M513" s="173"/>
      <c r="N513" s="173"/>
      <c r="O513" s="173"/>
      <c r="P513" s="173"/>
      <c r="Q513" s="173"/>
      <c r="R513" s="173"/>
      <c r="S513" s="173"/>
      <c r="T513" s="173"/>
      <c r="U513" s="173"/>
      <c r="V513" s="173"/>
      <c r="W513" s="173"/>
      <c r="X513" s="173"/>
      <c r="Y513" s="173"/>
      <c r="Z513" s="173"/>
    </row>
    <row r="514" spans="1:26" ht="11.25" customHeight="1">
      <c r="A514" s="173"/>
      <c r="B514" s="207"/>
      <c r="C514" s="208"/>
      <c r="D514" s="244"/>
      <c r="E514" s="173"/>
      <c r="F514" s="173"/>
      <c r="G514" s="173"/>
      <c r="H514" s="173"/>
      <c r="I514" s="173"/>
      <c r="J514" s="173"/>
      <c r="K514" s="173"/>
      <c r="L514" s="173"/>
      <c r="M514" s="173"/>
      <c r="N514" s="173"/>
      <c r="O514" s="173"/>
      <c r="P514" s="173"/>
      <c r="Q514" s="173"/>
      <c r="R514" s="173"/>
      <c r="S514" s="173"/>
      <c r="T514" s="173"/>
      <c r="U514" s="173"/>
      <c r="V514" s="173"/>
      <c r="W514" s="173"/>
      <c r="X514" s="173"/>
      <c r="Y514" s="173"/>
      <c r="Z514" s="173"/>
    </row>
    <row r="515" spans="1:26" ht="11.25" customHeight="1">
      <c r="A515" s="173"/>
      <c r="B515" s="207"/>
      <c r="C515" s="208"/>
      <c r="D515" s="244"/>
      <c r="E515" s="173"/>
      <c r="F515" s="173"/>
      <c r="G515" s="173"/>
      <c r="H515" s="173"/>
      <c r="I515" s="173"/>
      <c r="J515" s="173"/>
      <c r="K515" s="173"/>
      <c r="L515" s="173"/>
      <c r="M515" s="173"/>
      <c r="N515" s="173"/>
      <c r="O515" s="173"/>
      <c r="P515" s="173"/>
      <c r="Q515" s="173"/>
      <c r="R515" s="173"/>
      <c r="S515" s="173"/>
      <c r="T515" s="173"/>
      <c r="U515" s="173"/>
      <c r="V515" s="173"/>
      <c r="W515" s="173"/>
      <c r="X515" s="173"/>
      <c r="Y515" s="173"/>
      <c r="Z515" s="173"/>
    </row>
    <row r="516" spans="1:26" ht="11.25" customHeight="1">
      <c r="A516" s="173"/>
      <c r="B516" s="207"/>
      <c r="C516" s="208"/>
      <c r="D516" s="244"/>
      <c r="E516" s="173"/>
      <c r="F516" s="173"/>
      <c r="G516" s="173"/>
      <c r="H516" s="173"/>
      <c r="I516" s="173"/>
      <c r="J516" s="173"/>
      <c r="K516" s="173"/>
      <c r="L516" s="173"/>
      <c r="M516" s="173"/>
      <c r="N516" s="173"/>
      <c r="O516" s="173"/>
      <c r="P516" s="173"/>
      <c r="Q516" s="173"/>
      <c r="R516" s="173"/>
      <c r="S516" s="173"/>
      <c r="T516" s="173"/>
      <c r="U516" s="173"/>
      <c r="V516" s="173"/>
      <c r="W516" s="173"/>
      <c r="X516" s="173"/>
      <c r="Y516" s="173"/>
      <c r="Z516" s="173"/>
    </row>
    <row r="517" spans="1:26" ht="11.25" customHeight="1">
      <c r="A517" s="173"/>
      <c r="B517" s="207"/>
      <c r="C517" s="208"/>
      <c r="D517" s="244"/>
      <c r="E517" s="173"/>
      <c r="F517" s="173"/>
      <c r="G517" s="173"/>
      <c r="H517" s="173"/>
      <c r="I517" s="173"/>
      <c r="J517" s="173"/>
      <c r="K517" s="173"/>
      <c r="L517" s="173"/>
      <c r="M517" s="173"/>
      <c r="N517" s="173"/>
      <c r="O517" s="173"/>
      <c r="P517" s="173"/>
      <c r="Q517" s="173"/>
      <c r="R517" s="173"/>
      <c r="S517" s="173"/>
      <c r="T517" s="173"/>
      <c r="U517" s="173"/>
      <c r="V517" s="173"/>
      <c r="W517" s="173"/>
      <c r="X517" s="173"/>
      <c r="Y517" s="173"/>
      <c r="Z517" s="173"/>
    </row>
    <row r="518" spans="1:26" ht="11.25" customHeight="1">
      <c r="A518" s="173"/>
      <c r="B518" s="207"/>
      <c r="C518" s="208"/>
      <c r="D518" s="244"/>
      <c r="E518" s="173"/>
      <c r="F518" s="173"/>
      <c r="G518" s="173"/>
      <c r="H518" s="173"/>
      <c r="I518" s="173"/>
      <c r="J518" s="173"/>
      <c r="K518" s="173"/>
      <c r="L518" s="173"/>
      <c r="M518" s="173"/>
      <c r="N518" s="173"/>
      <c r="O518" s="173"/>
      <c r="P518" s="173"/>
      <c r="Q518" s="173"/>
      <c r="R518" s="173"/>
      <c r="S518" s="173"/>
      <c r="T518" s="173"/>
      <c r="U518" s="173"/>
      <c r="V518" s="173"/>
      <c r="W518" s="173"/>
      <c r="X518" s="173"/>
      <c r="Y518" s="173"/>
      <c r="Z518" s="173"/>
    </row>
    <row r="519" spans="1:26" ht="11.25" customHeight="1">
      <c r="A519" s="173"/>
      <c r="B519" s="207"/>
      <c r="C519" s="208"/>
      <c r="D519" s="244"/>
      <c r="E519" s="173"/>
      <c r="F519" s="173"/>
      <c r="G519" s="173"/>
      <c r="H519" s="173"/>
      <c r="I519" s="173"/>
      <c r="J519" s="173"/>
      <c r="K519" s="173"/>
      <c r="L519" s="173"/>
      <c r="M519" s="173"/>
      <c r="N519" s="173"/>
      <c r="O519" s="173"/>
      <c r="P519" s="173"/>
      <c r="Q519" s="173"/>
      <c r="R519" s="173"/>
      <c r="S519" s="173"/>
      <c r="T519" s="173"/>
      <c r="U519" s="173"/>
      <c r="V519" s="173"/>
      <c r="W519" s="173"/>
      <c r="X519" s="173"/>
      <c r="Y519" s="173"/>
      <c r="Z519" s="173"/>
    </row>
    <row r="520" spans="1:26" ht="11.25" customHeight="1">
      <c r="A520" s="173"/>
      <c r="B520" s="207"/>
      <c r="C520" s="208"/>
      <c r="D520" s="244"/>
      <c r="E520" s="173"/>
      <c r="F520" s="173"/>
      <c r="G520" s="173"/>
      <c r="H520" s="173"/>
      <c r="I520" s="173"/>
      <c r="J520" s="173"/>
      <c r="K520" s="173"/>
      <c r="L520" s="173"/>
      <c r="M520" s="173"/>
      <c r="N520" s="173"/>
      <c r="O520" s="173"/>
      <c r="P520" s="173"/>
      <c r="Q520" s="173"/>
      <c r="R520" s="173"/>
      <c r="S520" s="173"/>
      <c r="T520" s="173"/>
      <c r="U520" s="173"/>
      <c r="V520" s="173"/>
      <c r="W520" s="173"/>
      <c r="X520" s="173"/>
      <c r="Y520" s="173"/>
      <c r="Z520" s="173"/>
    </row>
    <row r="521" spans="1:26" ht="11.25" customHeight="1">
      <c r="A521" s="173"/>
      <c r="B521" s="207"/>
      <c r="C521" s="208"/>
      <c r="D521" s="244"/>
      <c r="E521" s="173"/>
      <c r="F521" s="173"/>
      <c r="G521" s="173"/>
      <c r="H521" s="173"/>
      <c r="I521" s="173"/>
      <c r="J521" s="173"/>
      <c r="K521" s="173"/>
      <c r="L521" s="173"/>
      <c r="M521" s="173"/>
      <c r="N521" s="173"/>
      <c r="O521" s="173"/>
      <c r="P521" s="173"/>
      <c r="Q521" s="173"/>
      <c r="R521" s="173"/>
      <c r="S521" s="173"/>
      <c r="T521" s="173"/>
      <c r="U521" s="173"/>
      <c r="V521" s="173"/>
      <c r="W521" s="173"/>
      <c r="X521" s="173"/>
      <c r="Y521" s="173"/>
      <c r="Z521" s="173"/>
    </row>
    <row r="522" spans="1:26" ht="11.25" customHeight="1">
      <c r="A522" s="173"/>
      <c r="B522" s="207"/>
      <c r="C522" s="208"/>
      <c r="D522" s="244"/>
      <c r="E522" s="173"/>
      <c r="F522" s="173"/>
      <c r="G522" s="173"/>
      <c r="H522" s="173"/>
      <c r="I522" s="173"/>
      <c r="J522" s="173"/>
      <c r="K522" s="173"/>
      <c r="L522" s="173"/>
      <c r="M522" s="173"/>
      <c r="N522" s="173"/>
      <c r="O522" s="173"/>
      <c r="P522" s="173"/>
      <c r="Q522" s="173"/>
      <c r="R522" s="173"/>
      <c r="S522" s="173"/>
      <c r="T522" s="173"/>
      <c r="U522" s="173"/>
      <c r="V522" s="173"/>
      <c r="W522" s="173"/>
      <c r="X522" s="173"/>
      <c r="Y522" s="173"/>
      <c r="Z522" s="173"/>
    </row>
    <row r="523" spans="1:26" ht="11.25" customHeight="1">
      <c r="A523" s="173"/>
      <c r="B523" s="207"/>
      <c r="C523" s="208"/>
      <c r="D523" s="244"/>
      <c r="E523" s="173"/>
      <c r="F523" s="173"/>
      <c r="G523" s="173"/>
      <c r="H523" s="173"/>
      <c r="I523" s="173"/>
      <c r="J523" s="173"/>
      <c r="K523" s="173"/>
      <c r="L523" s="173"/>
      <c r="M523" s="173"/>
      <c r="N523" s="173"/>
      <c r="O523" s="173"/>
      <c r="P523" s="173"/>
      <c r="Q523" s="173"/>
      <c r="R523" s="173"/>
      <c r="S523" s="173"/>
      <c r="T523" s="173"/>
      <c r="U523" s="173"/>
      <c r="V523" s="173"/>
      <c r="W523" s="173"/>
      <c r="X523" s="173"/>
      <c r="Y523" s="173"/>
      <c r="Z523" s="173"/>
    </row>
    <row r="524" spans="1:26" ht="11.25" customHeight="1">
      <c r="A524" s="173"/>
      <c r="B524" s="207"/>
      <c r="C524" s="208"/>
      <c r="D524" s="244"/>
      <c r="E524" s="173"/>
      <c r="F524" s="173"/>
      <c r="G524" s="173"/>
      <c r="H524" s="173"/>
      <c r="I524" s="173"/>
      <c r="J524" s="173"/>
      <c r="K524" s="173"/>
      <c r="L524" s="173"/>
      <c r="M524" s="173"/>
      <c r="N524" s="173"/>
      <c r="O524" s="173"/>
      <c r="P524" s="173"/>
      <c r="Q524" s="173"/>
      <c r="R524" s="173"/>
      <c r="S524" s="173"/>
      <c r="T524" s="173"/>
      <c r="U524" s="173"/>
      <c r="V524" s="173"/>
      <c r="W524" s="173"/>
      <c r="X524" s="173"/>
      <c r="Y524" s="173"/>
      <c r="Z524" s="173"/>
    </row>
    <row r="525" spans="1:26" ht="11.25" customHeight="1">
      <c r="A525" s="173"/>
      <c r="B525" s="207"/>
      <c r="C525" s="208"/>
      <c r="D525" s="244"/>
      <c r="E525" s="173"/>
      <c r="F525" s="173"/>
      <c r="G525" s="173"/>
      <c r="H525" s="173"/>
      <c r="I525" s="173"/>
      <c r="J525" s="173"/>
      <c r="K525" s="173"/>
      <c r="L525" s="173"/>
      <c r="M525" s="173"/>
      <c r="N525" s="173"/>
      <c r="O525" s="173"/>
      <c r="P525" s="173"/>
      <c r="Q525" s="173"/>
      <c r="R525" s="173"/>
      <c r="S525" s="173"/>
      <c r="T525" s="173"/>
      <c r="U525" s="173"/>
      <c r="V525" s="173"/>
      <c r="W525" s="173"/>
      <c r="X525" s="173"/>
      <c r="Y525" s="173"/>
      <c r="Z525" s="173"/>
    </row>
    <row r="526" spans="1:26" ht="11.25" customHeight="1">
      <c r="A526" s="173"/>
      <c r="B526" s="207"/>
      <c r="C526" s="208"/>
      <c r="D526" s="244"/>
      <c r="E526" s="173"/>
      <c r="F526" s="173"/>
      <c r="G526" s="173"/>
      <c r="H526" s="173"/>
      <c r="I526" s="173"/>
      <c r="J526" s="173"/>
      <c r="K526" s="173"/>
      <c r="L526" s="173"/>
      <c r="M526" s="173"/>
      <c r="N526" s="173"/>
      <c r="O526" s="173"/>
      <c r="P526" s="173"/>
      <c r="Q526" s="173"/>
      <c r="R526" s="173"/>
      <c r="S526" s="173"/>
      <c r="T526" s="173"/>
      <c r="U526" s="173"/>
      <c r="V526" s="173"/>
      <c r="W526" s="173"/>
      <c r="X526" s="173"/>
      <c r="Y526" s="173"/>
      <c r="Z526" s="173"/>
    </row>
    <row r="527" spans="1:26" ht="11.25" customHeight="1">
      <c r="A527" s="173"/>
      <c r="B527" s="207"/>
      <c r="C527" s="208"/>
      <c r="D527" s="244"/>
      <c r="E527" s="173"/>
      <c r="F527" s="173"/>
      <c r="G527" s="173"/>
      <c r="H527" s="173"/>
      <c r="I527" s="173"/>
      <c r="J527" s="173"/>
      <c r="K527" s="173"/>
      <c r="L527" s="173"/>
      <c r="M527" s="173"/>
      <c r="N527" s="173"/>
      <c r="O527" s="173"/>
      <c r="P527" s="173"/>
      <c r="Q527" s="173"/>
      <c r="R527" s="173"/>
      <c r="S527" s="173"/>
      <c r="T527" s="173"/>
      <c r="U527" s="173"/>
      <c r="V527" s="173"/>
      <c r="W527" s="173"/>
      <c r="X527" s="173"/>
      <c r="Y527" s="173"/>
      <c r="Z527" s="173"/>
    </row>
    <row r="528" spans="1:26" ht="11.25" customHeight="1">
      <c r="A528" s="173"/>
      <c r="B528" s="207"/>
      <c r="C528" s="208"/>
      <c r="D528" s="244"/>
      <c r="E528" s="173"/>
      <c r="F528" s="173"/>
      <c r="G528" s="173"/>
      <c r="H528" s="173"/>
      <c r="I528" s="173"/>
      <c r="J528" s="173"/>
      <c r="K528" s="173"/>
      <c r="L528" s="173"/>
      <c r="M528" s="173"/>
      <c r="N528" s="173"/>
      <c r="O528" s="173"/>
      <c r="P528" s="173"/>
      <c r="Q528" s="173"/>
      <c r="R528" s="173"/>
      <c r="S528" s="173"/>
      <c r="T528" s="173"/>
      <c r="U528" s="173"/>
      <c r="V528" s="173"/>
      <c r="W528" s="173"/>
      <c r="X528" s="173"/>
      <c r="Y528" s="173"/>
      <c r="Z528" s="173"/>
    </row>
    <row r="529" spans="1:26" ht="11.25" customHeight="1">
      <c r="A529" s="173"/>
      <c r="B529" s="207"/>
      <c r="C529" s="208"/>
      <c r="D529" s="244"/>
      <c r="E529" s="173"/>
      <c r="F529" s="173"/>
      <c r="G529" s="173"/>
      <c r="H529" s="173"/>
      <c r="I529" s="173"/>
      <c r="J529" s="173"/>
      <c r="K529" s="173"/>
      <c r="L529" s="173"/>
      <c r="M529" s="173"/>
      <c r="N529" s="173"/>
      <c r="O529" s="173"/>
      <c r="P529" s="173"/>
      <c r="Q529" s="173"/>
      <c r="R529" s="173"/>
      <c r="S529" s="173"/>
      <c r="T529" s="173"/>
      <c r="U529" s="173"/>
      <c r="V529" s="173"/>
      <c r="W529" s="173"/>
      <c r="X529" s="173"/>
      <c r="Y529" s="173"/>
      <c r="Z529" s="173"/>
    </row>
    <row r="530" spans="1:26" ht="11.25" customHeight="1">
      <c r="A530" s="173"/>
      <c r="B530" s="207"/>
      <c r="C530" s="208"/>
      <c r="D530" s="244"/>
      <c r="E530" s="173"/>
      <c r="F530" s="173"/>
      <c r="G530" s="173"/>
      <c r="H530" s="173"/>
      <c r="I530" s="173"/>
      <c r="J530" s="173"/>
      <c r="K530" s="173"/>
      <c r="L530" s="173"/>
      <c r="M530" s="173"/>
      <c r="N530" s="173"/>
      <c r="O530" s="173"/>
      <c r="P530" s="173"/>
      <c r="Q530" s="173"/>
      <c r="R530" s="173"/>
      <c r="S530" s="173"/>
      <c r="T530" s="173"/>
      <c r="U530" s="173"/>
      <c r="V530" s="173"/>
      <c r="W530" s="173"/>
      <c r="X530" s="173"/>
      <c r="Y530" s="173"/>
      <c r="Z530" s="173"/>
    </row>
    <row r="531" spans="1:26" ht="11.25" customHeight="1">
      <c r="A531" s="173"/>
      <c r="B531" s="207"/>
      <c r="C531" s="208"/>
      <c r="D531" s="244"/>
      <c r="E531" s="173"/>
      <c r="F531" s="173"/>
      <c r="G531" s="173"/>
      <c r="H531" s="173"/>
      <c r="I531" s="173"/>
      <c r="J531" s="173"/>
      <c r="K531" s="173"/>
      <c r="L531" s="173"/>
      <c r="M531" s="173"/>
      <c r="N531" s="173"/>
      <c r="O531" s="173"/>
      <c r="P531" s="173"/>
      <c r="Q531" s="173"/>
      <c r="R531" s="173"/>
      <c r="S531" s="173"/>
      <c r="T531" s="173"/>
      <c r="U531" s="173"/>
      <c r="V531" s="173"/>
      <c r="W531" s="173"/>
      <c r="X531" s="173"/>
      <c r="Y531" s="173"/>
      <c r="Z531" s="173"/>
    </row>
    <row r="532" spans="1:26" ht="11.25" customHeight="1">
      <c r="A532" s="173"/>
      <c r="B532" s="207"/>
      <c r="C532" s="208"/>
      <c r="D532" s="244"/>
      <c r="E532" s="173"/>
      <c r="F532" s="173"/>
      <c r="G532" s="173"/>
      <c r="H532" s="173"/>
      <c r="I532" s="173"/>
      <c r="J532" s="173"/>
      <c r="K532" s="173"/>
      <c r="L532" s="173"/>
      <c r="M532" s="173"/>
      <c r="N532" s="173"/>
      <c r="O532" s="173"/>
      <c r="P532" s="173"/>
      <c r="Q532" s="173"/>
      <c r="R532" s="173"/>
      <c r="S532" s="173"/>
      <c r="T532" s="173"/>
      <c r="U532" s="173"/>
      <c r="V532" s="173"/>
      <c r="W532" s="173"/>
      <c r="X532" s="173"/>
      <c r="Y532" s="173"/>
      <c r="Z532" s="173"/>
    </row>
    <row r="533" spans="1:26" ht="11.25" customHeight="1">
      <c r="A533" s="173"/>
      <c r="B533" s="207"/>
      <c r="C533" s="208"/>
      <c r="D533" s="244"/>
      <c r="E533" s="173"/>
      <c r="F533" s="173"/>
      <c r="G533" s="173"/>
      <c r="H533" s="173"/>
      <c r="I533" s="173"/>
      <c r="J533" s="173"/>
      <c r="K533" s="173"/>
      <c r="L533" s="173"/>
      <c r="M533" s="173"/>
      <c r="N533" s="173"/>
      <c r="O533" s="173"/>
      <c r="P533" s="173"/>
      <c r="Q533" s="173"/>
      <c r="R533" s="173"/>
      <c r="S533" s="173"/>
      <c r="T533" s="173"/>
      <c r="U533" s="173"/>
      <c r="V533" s="173"/>
      <c r="W533" s="173"/>
      <c r="X533" s="173"/>
      <c r="Y533" s="173"/>
      <c r="Z533" s="173"/>
    </row>
    <row r="534" spans="1:26" ht="11.25" customHeight="1">
      <c r="A534" s="173"/>
      <c r="B534" s="207"/>
      <c r="C534" s="208"/>
      <c r="D534" s="244"/>
      <c r="E534" s="173"/>
      <c r="F534" s="173"/>
      <c r="G534" s="173"/>
      <c r="H534" s="173"/>
      <c r="I534" s="173"/>
      <c r="J534" s="173"/>
      <c r="K534" s="173"/>
      <c r="L534" s="173"/>
      <c r="M534" s="173"/>
      <c r="N534" s="173"/>
      <c r="O534" s="173"/>
      <c r="P534" s="173"/>
      <c r="Q534" s="173"/>
      <c r="R534" s="173"/>
      <c r="S534" s="173"/>
      <c r="T534" s="173"/>
      <c r="U534" s="173"/>
      <c r="V534" s="173"/>
      <c r="W534" s="173"/>
      <c r="X534" s="173"/>
      <c r="Y534" s="173"/>
      <c r="Z534" s="173"/>
    </row>
    <row r="535" spans="1:26" ht="11.25" customHeight="1">
      <c r="A535" s="173"/>
      <c r="B535" s="207"/>
      <c r="C535" s="208"/>
      <c r="D535" s="244"/>
      <c r="E535" s="173"/>
      <c r="F535" s="173"/>
      <c r="G535" s="173"/>
      <c r="H535" s="173"/>
      <c r="I535" s="173"/>
      <c r="J535" s="173"/>
      <c r="K535" s="173"/>
      <c r="L535" s="173"/>
      <c r="M535" s="173"/>
      <c r="N535" s="173"/>
      <c r="O535" s="173"/>
      <c r="P535" s="173"/>
      <c r="Q535" s="173"/>
      <c r="R535" s="173"/>
      <c r="S535" s="173"/>
      <c r="T535" s="173"/>
      <c r="U535" s="173"/>
      <c r="V535" s="173"/>
      <c r="W535" s="173"/>
      <c r="X535" s="173"/>
      <c r="Y535" s="173"/>
      <c r="Z535" s="173"/>
    </row>
    <row r="536" spans="1:26" ht="11.25" customHeight="1">
      <c r="A536" s="173"/>
      <c r="B536" s="207"/>
      <c r="C536" s="208"/>
      <c r="D536" s="244"/>
      <c r="E536" s="173"/>
      <c r="F536" s="173"/>
      <c r="G536" s="173"/>
      <c r="H536" s="173"/>
      <c r="I536" s="173"/>
      <c r="J536" s="173"/>
      <c r="K536" s="173"/>
      <c r="L536" s="173"/>
      <c r="M536" s="173"/>
      <c r="N536" s="173"/>
      <c r="O536" s="173"/>
      <c r="P536" s="173"/>
      <c r="Q536" s="173"/>
      <c r="R536" s="173"/>
      <c r="S536" s="173"/>
      <c r="T536" s="173"/>
      <c r="U536" s="173"/>
      <c r="V536" s="173"/>
      <c r="W536" s="173"/>
      <c r="X536" s="173"/>
      <c r="Y536" s="173"/>
      <c r="Z536" s="173"/>
    </row>
    <row r="537" spans="1:26" ht="11.25" customHeight="1">
      <c r="A537" s="173"/>
      <c r="B537" s="207"/>
      <c r="C537" s="208"/>
      <c r="D537" s="244"/>
      <c r="E537" s="173"/>
      <c r="F537" s="173"/>
      <c r="G537" s="173"/>
      <c r="H537" s="173"/>
      <c r="I537" s="173"/>
      <c r="J537" s="173"/>
      <c r="K537" s="173"/>
      <c r="L537" s="173"/>
      <c r="M537" s="173"/>
      <c r="N537" s="173"/>
      <c r="O537" s="173"/>
      <c r="P537" s="173"/>
      <c r="Q537" s="173"/>
      <c r="R537" s="173"/>
      <c r="S537" s="173"/>
      <c r="T537" s="173"/>
      <c r="U537" s="173"/>
      <c r="V537" s="173"/>
      <c r="W537" s="173"/>
      <c r="X537" s="173"/>
      <c r="Y537" s="173"/>
      <c r="Z537" s="173"/>
    </row>
    <row r="538" spans="1:26" ht="11.25" customHeight="1">
      <c r="A538" s="173"/>
      <c r="B538" s="207"/>
      <c r="C538" s="208"/>
      <c r="D538" s="244"/>
      <c r="E538" s="173"/>
      <c r="F538" s="173"/>
      <c r="G538" s="173"/>
      <c r="H538" s="173"/>
      <c r="I538" s="173"/>
      <c r="J538" s="173"/>
      <c r="K538" s="173"/>
      <c r="L538" s="173"/>
      <c r="M538" s="173"/>
      <c r="N538" s="173"/>
      <c r="O538" s="173"/>
      <c r="P538" s="173"/>
      <c r="Q538" s="173"/>
      <c r="R538" s="173"/>
      <c r="S538" s="173"/>
      <c r="T538" s="173"/>
      <c r="U538" s="173"/>
      <c r="V538" s="173"/>
      <c r="W538" s="173"/>
      <c r="X538" s="173"/>
      <c r="Y538" s="173"/>
      <c r="Z538" s="173"/>
    </row>
    <row r="539" spans="1:26" ht="11.25" customHeight="1">
      <c r="A539" s="173"/>
      <c r="B539" s="207"/>
      <c r="C539" s="208"/>
      <c r="D539" s="244"/>
      <c r="E539" s="173"/>
      <c r="F539" s="173"/>
      <c r="G539" s="173"/>
      <c r="H539" s="173"/>
      <c r="I539" s="173"/>
      <c r="J539" s="173"/>
      <c r="K539" s="173"/>
      <c r="L539" s="173"/>
      <c r="M539" s="173"/>
      <c r="N539" s="173"/>
      <c r="O539" s="173"/>
      <c r="P539" s="173"/>
      <c r="Q539" s="173"/>
      <c r="R539" s="173"/>
      <c r="S539" s="173"/>
      <c r="T539" s="173"/>
      <c r="U539" s="173"/>
      <c r="V539" s="173"/>
      <c r="W539" s="173"/>
      <c r="X539" s="173"/>
      <c r="Y539" s="173"/>
      <c r="Z539" s="173"/>
    </row>
    <row r="540" spans="1:26" ht="11.25" customHeight="1">
      <c r="A540" s="173"/>
      <c r="B540" s="207"/>
      <c r="C540" s="208"/>
      <c r="D540" s="244"/>
      <c r="E540" s="173"/>
      <c r="F540" s="173"/>
      <c r="G540" s="173"/>
      <c r="H540" s="173"/>
      <c r="I540" s="173"/>
      <c r="J540" s="173"/>
      <c r="K540" s="173"/>
      <c r="L540" s="173"/>
      <c r="M540" s="173"/>
      <c r="N540" s="173"/>
      <c r="O540" s="173"/>
      <c r="P540" s="173"/>
      <c r="Q540" s="173"/>
      <c r="R540" s="173"/>
      <c r="S540" s="173"/>
      <c r="T540" s="173"/>
      <c r="U540" s="173"/>
      <c r="V540" s="173"/>
      <c r="W540" s="173"/>
      <c r="X540" s="173"/>
      <c r="Y540" s="173"/>
      <c r="Z540" s="173"/>
    </row>
    <row r="541" spans="1:26" ht="11.25" customHeight="1">
      <c r="A541" s="173"/>
      <c r="B541" s="207"/>
      <c r="C541" s="208"/>
      <c r="D541" s="244"/>
      <c r="E541" s="173"/>
      <c r="F541" s="173"/>
      <c r="G541" s="173"/>
      <c r="H541" s="173"/>
      <c r="I541" s="173"/>
      <c r="J541" s="173"/>
      <c r="K541" s="173"/>
      <c r="L541" s="173"/>
      <c r="M541" s="173"/>
      <c r="N541" s="173"/>
      <c r="O541" s="173"/>
      <c r="P541" s="173"/>
      <c r="Q541" s="173"/>
      <c r="R541" s="173"/>
      <c r="S541" s="173"/>
      <c r="T541" s="173"/>
      <c r="U541" s="173"/>
      <c r="V541" s="173"/>
      <c r="W541" s="173"/>
      <c r="X541" s="173"/>
      <c r="Y541" s="173"/>
      <c r="Z541" s="173"/>
    </row>
    <row r="542" spans="1:26" ht="11.25" customHeight="1">
      <c r="A542" s="173"/>
      <c r="B542" s="207"/>
      <c r="C542" s="208"/>
      <c r="D542" s="244"/>
      <c r="E542" s="173"/>
      <c r="F542" s="173"/>
      <c r="G542" s="173"/>
      <c r="H542" s="173"/>
      <c r="I542" s="173"/>
      <c r="J542" s="173"/>
      <c r="K542" s="173"/>
      <c r="L542" s="173"/>
      <c r="M542" s="173"/>
      <c r="N542" s="173"/>
      <c r="O542" s="173"/>
      <c r="P542" s="173"/>
      <c r="Q542" s="173"/>
      <c r="R542" s="173"/>
      <c r="S542" s="173"/>
      <c r="T542" s="173"/>
      <c r="U542" s="173"/>
      <c r="V542" s="173"/>
      <c r="W542" s="173"/>
      <c r="X542" s="173"/>
      <c r="Y542" s="173"/>
      <c r="Z542" s="173"/>
    </row>
    <row r="543" spans="1:26" ht="11.25" customHeight="1">
      <c r="A543" s="173"/>
      <c r="B543" s="207"/>
      <c r="C543" s="208"/>
      <c r="D543" s="244"/>
      <c r="E543" s="173"/>
      <c r="F543" s="173"/>
      <c r="G543" s="173"/>
      <c r="H543" s="173"/>
      <c r="I543" s="173"/>
      <c r="J543" s="173"/>
      <c r="K543" s="173"/>
      <c r="L543" s="173"/>
      <c r="M543" s="173"/>
      <c r="N543" s="173"/>
      <c r="O543" s="173"/>
      <c r="P543" s="173"/>
      <c r="Q543" s="173"/>
      <c r="R543" s="173"/>
      <c r="S543" s="173"/>
      <c r="T543" s="173"/>
      <c r="U543" s="173"/>
      <c r="V543" s="173"/>
      <c r="W543" s="173"/>
      <c r="X543" s="173"/>
      <c r="Y543" s="173"/>
      <c r="Z543" s="173"/>
    </row>
    <row r="544" spans="1:26" ht="11.25" customHeight="1">
      <c r="A544" s="173"/>
      <c r="B544" s="207"/>
      <c r="C544" s="208"/>
      <c r="D544" s="244"/>
      <c r="E544" s="173"/>
      <c r="F544" s="173"/>
      <c r="G544" s="173"/>
      <c r="H544" s="173"/>
      <c r="I544" s="173"/>
      <c r="J544" s="173"/>
      <c r="K544" s="173"/>
      <c r="L544" s="173"/>
      <c r="M544" s="173"/>
      <c r="N544" s="173"/>
      <c r="O544" s="173"/>
      <c r="P544" s="173"/>
      <c r="Q544" s="173"/>
      <c r="R544" s="173"/>
      <c r="S544" s="173"/>
      <c r="T544" s="173"/>
      <c r="U544" s="173"/>
      <c r="V544" s="173"/>
      <c r="W544" s="173"/>
      <c r="X544" s="173"/>
      <c r="Y544" s="173"/>
      <c r="Z544" s="173"/>
    </row>
    <row r="545" spans="1:26" ht="11.25" customHeight="1">
      <c r="A545" s="173"/>
      <c r="B545" s="207"/>
      <c r="C545" s="208"/>
      <c r="D545" s="244"/>
      <c r="E545" s="173"/>
      <c r="F545" s="173"/>
      <c r="G545" s="173"/>
      <c r="H545" s="173"/>
      <c r="I545" s="173"/>
      <c r="J545" s="173"/>
      <c r="K545" s="173"/>
      <c r="L545" s="173"/>
      <c r="M545" s="173"/>
      <c r="N545" s="173"/>
      <c r="O545" s="173"/>
      <c r="P545" s="173"/>
      <c r="Q545" s="173"/>
      <c r="R545" s="173"/>
      <c r="S545" s="173"/>
      <c r="T545" s="173"/>
      <c r="U545" s="173"/>
      <c r="V545" s="173"/>
      <c r="W545" s="173"/>
      <c r="X545" s="173"/>
      <c r="Y545" s="173"/>
      <c r="Z545" s="173"/>
    </row>
    <row r="546" spans="1:26" ht="11.25" customHeight="1">
      <c r="A546" s="173"/>
      <c r="B546" s="207"/>
      <c r="C546" s="208"/>
      <c r="D546" s="244"/>
      <c r="E546" s="173"/>
      <c r="F546" s="173"/>
      <c r="G546" s="173"/>
      <c r="H546" s="173"/>
      <c r="I546" s="173"/>
      <c r="J546" s="173"/>
      <c r="K546" s="173"/>
      <c r="L546" s="173"/>
      <c r="M546" s="173"/>
      <c r="N546" s="173"/>
      <c r="O546" s="173"/>
      <c r="P546" s="173"/>
      <c r="Q546" s="173"/>
      <c r="R546" s="173"/>
      <c r="S546" s="173"/>
      <c r="T546" s="173"/>
      <c r="U546" s="173"/>
      <c r="V546" s="173"/>
      <c r="W546" s="173"/>
      <c r="X546" s="173"/>
      <c r="Y546" s="173"/>
      <c r="Z546" s="173"/>
    </row>
    <row r="547" spans="1:26" ht="11.25" customHeight="1">
      <c r="A547" s="173"/>
      <c r="B547" s="207"/>
      <c r="C547" s="208"/>
      <c r="D547" s="244"/>
      <c r="E547" s="173"/>
      <c r="F547" s="173"/>
      <c r="G547" s="173"/>
      <c r="H547" s="173"/>
      <c r="I547" s="173"/>
      <c r="J547" s="173"/>
      <c r="K547" s="173"/>
      <c r="L547" s="173"/>
      <c r="M547" s="173"/>
      <c r="N547" s="173"/>
      <c r="O547" s="173"/>
      <c r="P547" s="173"/>
      <c r="Q547" s="173"/>
      <c r="R547" s="173"/>
      <c r="S547" s="173"/>
      <c r="T547" s="173"/>
      <c r="U547" s="173"/>
      <c r="V547" s="173"/>
      <c r="W547" s="173"/>
      <c r="X547" s="173"/>
      <c r="Y547" s="173"/>
      <c r="Z547" s="173"/>
    </row>
    <row r="548" spans="1:26" ht="11.25" customHeight="1">
      <c r="A548" s="173"/>
      <c r="B548" s="207"/>
      <c r="C548" s="208"/>
      <c r="D548" s="244"/>
      <c r="E548" s="173"/>
      <c r="F548" s="173"/>
      <c r="G548" s="173"/>
      <c r="H548" s="173"/>
      <c r="I548" s="173"/>
      <c r="J548" s="173"/>
      <c r="K548" s="173"/>
      <c r="L548" s="173"/>
      <c r="M548" s="173"/>
      <c r="N548" s="173"/>
      <c r="O548" s="173"/>
      <c r="P548" s="173"/>
      <c r="Q548" s="173"/>
      <c r="R548" s="173"/>
      <c r="S548" s="173"/>
      <c r="T548" s="173"/>
      <c r="U548" s="173"/>
      <c r="V548" s="173"/>
      <c r="W548" s="173"/>
      <c r="X548" s="173"/>
      <c r="Y548" s="173"/>
      <c r="Z548" s="173"/>
    </row>
    <row r="549" spans="1:26" ht="11.25" customHeight="1">
      <c r="A549" s="173"/>
      <c r="B549" s="207"/>
      <c r="C549" s="208"/>
      <c r="D549" s="244"/>
      <c r="E549" s="173"/>
      <c r="F549" s="173"/>
      <c r="G549" s="173"/>
      <c r="H549" s="173"/>
      <c r="I549" s="173"/>
      <c r="J549" s="173"/>
      <c r="K549" s="173"/>
      <c r="L549" s="173"/>
      <c r="M549" s="173"/>
      <c r="N549" s="173"/>
      <c r="O549" s="173"/>
      <c r="P549" s="173"/>
      <c r="Q549" s="173"/>
      <c r="R549" s="173"/>
      <c r="S549" s="173"/>
      <c r="T549" s="173"/>
      <c r="U549" s="173"/>
      <c r="V549" s="173"/>
      <c r="W549" s="173"/>
      <c r="X549" s="173"/>
      <c r="Y549" s="173"/>
      <c r="Z549" s="173"/>
    </row>
    <row r="550" spans="1:26" ht="11.25" customHeight="1">
      <c r="A550" s="173"/>
      <c r="B550" s="207"/>
      <c r="C550" s="208"/>
      <c r="D550" s="244"/>
      <c r="E550" s="173"/>
      <c r="F550" s="173"/>
      <c r="G550" s="173"/>
      <c r="H550" s="173"/>
      <c r="I550" s="173"/>
      <c r="J550" s="173"/>
      <c r="K550" s="173"/>
      <c r="L550" s="173"/>
      <c r="M550" s="173"/>
      <c r="N550" s="173"/>
      <c r="O550" s="173"/>
      <c r="P550" s="173"/>
      <c r="Q550" s="173"/>
      <c r="R550" s="173"/>
      <c r="S550" s="173"/>
      <c r="T550" s="173"/>
      <c r="U550" s="173"/>
      <c r="V550" s="173"/>
      <c r="W550" s="173"/>
      <c r="X550" s="173"/>
      <c r="Y550" s="173"/>
      <c r="Z550" s="173"/>
    </row>
    <row r="551" spans="1:26" ht="11.25" customHeight="1">
      <c r="A551" s="173"/>
      <c r="B551" s="207"/>
      <c r="C551" s="208"/>
      <c r="D551" s="244"/>
      <c r="E551" s="173"/>
      <c r="F551" s="173"/>
      <c r="G551" s="173"/>
      <c r="H551" s="173"/>
      <c r="I551" s="173"/>
      <c r="J551" s="173"/>
      <c r="K551" s="173"/>
      <c r="L551" s="173"/>
      <c r="M551" s="173"/>
      <c r="N551" s="173"/>
      <c r="O551" s="173"/>
      <c r="P551" s="173"/>
      <c r="Q551" s="173"/>
      <c r="R551" s="173"/>
      <c r="S551" s="173"/>
      <c r="T551" s="173"/>
      <c r="U551" s="173"/>
      <c r="V551" s="173"/>
      <c r="W551" s="173"/>
      <c r="X551" s="173"/>
      <c r="Y551" s="173"/>
      <c r="Z551" s="173"/>
    </row>
    <row r="552" spans="1:26" ht="11.25" customHeight="1">
      <c r="A552" s="173"/>
      <c r="B552" s="207"/>
      <c r="C552" s="208"/>
      <c r="D552" s="244"/>
      <c r="E552" s="173"/>
      <c r="F552" s="173"/>
      <c r="G552" s="173"/>
      <c r="H552" s="173"/>
      <c r="I552" s="173"/>
      <c r="J552" s="173"/>
      <c r="K552" s="173"/>
      <c r="L552" s="173"/>
      <c r="M552" s="173"/>
      <c r="N552" s="173"/>
      <c r="O552" s="173"/>
      <c r="P552" s="173"/>
      <c r="Q552" s="173"/>
      <c r="R552" s="173"/>
      <c r="S552" s="173"/>
      <c r="T552" s="173"/>
      <c r="U552" s="173"/>
      <c r="V552" s="173"/>
      <c r="W552" s="173"/>
      <c r="X552" s="173"/>
      <c r="Y552" s="173"/>
      <c r="Z552" s="173"/>
    </row>
    <row r="553" spans="1:26" ht="11.25" customHeight="1">
      <c r="A553" s="173"/>
      <c r="B553" s="207"/>
      <c r="C553" s="208"/>
      <c r="D553" s="244"/>
      <c r="E553" s="173"/>
      <c r="F553" s="173"/>
      <c r="G553" s="173"/>
      <c r="H553" s="173"/>
      <c r="I553" s="173"/>
      <c r="J553" s="173"/>
      <c r="K553" s="173"/>
      <c r="L553" s="173"/>
      <c r="M553" s="173"/>
      <c r="N553" s="173"/>
      <c r="O553" s="173"/>
      <c r="P553" s="173"/>
      <c r="Q553" s="173"/>
      <c r="R553" s="173"/>
      <c r="S553" s="173"/>
      <c r="T553" s="173"/>
      <c r="U553" s="173"/>
      <c r="V553" s="173"/>
      <c r="W553" s="173"/>
      <c r="X553" s="173"/>
      <c r="Y553" s="173"/>
      <c r="Z553" s="173"/>
    </row>
    <row r="554" spans="1:26" ht="11.25" customHeight="1">
      <c r="A554" s="173"/>
      <c r="B554" s="207"/>
      <c r="C554" s="208"/>
      <c r="D554" s="244"/>
      <c r="E554" s="173"/>
      <c r="F554" s="173"/>
      <c r="G554" s="173"/>
      <c r="H554" s="173"/>
      <c r="I554" s="173"/>
      <c r="J554" s="173"/>
      <c r="K554" s="173"/>
      <c r="L554" s="173"/>
      <c r="M554" s="173"/>
      <c r="N554" s="173"/>
      <c r="O554" s="173"/>
      <c r="P554" s="173"/>
      <c r="Q554" s="173"/>
      <c r="R554" s="173"/>
      <c r="S554" s="173"/>
      <c r="T554" s="173"/>
      <c r="U554" s="173"/>
      <c r="V554" s="173"/>
      <c r="W554" s="173"/>
      <c r="X554" s="173"/>
      <c r="Y554" s="173"/>
      <c r="Z554" s="173"/>
    </row>
    <row r="555" spans="1:26" ht="11.25" customHeight="1">
      <c r="A555" s="173"/>
      <c r="B555" s="207"/>
      <c r="C555" s="208"/>
      <c r="D555" s="244"/>
      <c r="E555" s="173"/>
      <c r="F555" s="173"/>
      <c r="G555" s="173"/>
      <c r="H555" s="173"/>
      <c r="I555" s="173"/>
      <c r="J555" s="173"/>
      <c r="K555" s="173"/>
      <c r="L555" s="173"/>
      <c r="M555" s="173"/>
      <c r="N555" s="173"/>
      <c r="O555" s="173"/>
      <c r="P555" s="173"/>
      <c r="Q555" s="173"/>
      <c r="R555" s="173"/>
      <c r="S555" s="173"/>
      <c r="T555" s="173"/>
      <c r="U555" s="173"/>
      <c r="V555" s="173"/>
      <c r="W555" s="173"/>
      <c r="X555" s="173"/>
      <c r="Y555" s="173"/>
      <c r="Z555" s="173"/>
    </row>
    <row r="556" spans="1:26" ht="11.25" customHeight="1">
      <c r="A556" s="173"/>
      <c r="B556" s="207"/>
      <c r="C556" s="208"/>
      <c r="D556" s="244"/>
      <c r="E556" s="173"/>
      <c r="F556" s="173"/>
      <c r="G556" s="173"/>
      <c r="H556" s="173"/>
      <c r="I556" s="173"/>
      <c r="J556" s="173"/>
      <c r="K556" s="173"/>
      <c r="L556" s="173"/>
      <c r="M556" s="173"/>
      <c r="N556" s="173"/>
      <c r="O556" s="173"/>
      <c r="P556" s="173"/>
      <c r="Q556" s="173"/>
      <c r="R556" s="173"/>
      <c r="S556" s="173"/>
      <c r="T556" s="173"/>
      <c r="U556" s="173"/>
      <c r="V556" s="173"/>
      <c r="W556" s="173"/>
      <c r="X556" s="173"/>
      <c r="Y556" s="173"/>
      <c r="Z556" s="173"/>
    </row>
    <row r="557" spans="1:26" ht="11.25" customHeight="1">
      <c r="A557" s="173"/>
      <c r="B557" s="207"/>
      <c r="C557" s="208"/>
      <c r="D557" s="244"/>
      <c r="E557" s="173"/>
      <c r="F557" s="173"/>
      <c r="G557" s="173"/>
      <c r="H557" s="173"/>
      <c r="I557" s="173"/>
      <c r="J557" s="173"/>
      <c r="K557" s="173"/>
      <c r="L557" s="173"/>
      <c r="M557" s="173"/>
      <c r="N557" s="173"/>
      <c r="O557" s="173"/>
      <c r="P557" s="173"/>
      <c r="Q557" s="173"/>
      <c r="R557" s="173"/>
      <c r="S557" s="173"/>
      <c r="T557" s="173"/>
      <c r="U557" s="173"/>
      <c r="V557" s="173"/>
      <c r="W557" s="173"/>
      <c r="X557" s="173"/>
      <c r="Y557" s="173"/>
      <c r="Z557" s="173"/>
    </row>
    <row r="558" spans="1:26" ht="11.25" customHeight="1">
      <c r="A558" s="173"/>
      <c r="B558" s="207"/>
      <c r="C558" s="208"/>
      <c r="D558" s="244"/>
      <c r="E558" s="173"/>
      <c r="F558" s="173"/>
      <c r="G558" s="173"/>
      <c r="H558" s="173"/>
      <c r="I558" s="173"/>
      <c r="J558" s="173"/>
      <c r="K558" s="173"/>
      <c r="L558" s="173"/>
      <c r="M558" s="173"/>
      <c r="N558" s="173"/>
      <c r="O558" s="173"/>
      <c r="P558" s="173"/>
      <c r="Q558" s="173"/>
      <c r="R558" s="173"/>
      <c r="S558" s="173"/>
      <c r="T558" s="173"/>
      <c r="U558" s="173"/>
      <c r="V558" s="173"/>
      <c r="W558" s="173"/>
      <c r="X558" s="173"/>
      <c r="Y558" s="173"/>
      <c r="Z558" s="173"/>
    </row>
    <row r="559" spans="1:26" ht="11.25" customHeight="1">
      <c r="A559" s="173"/>
      <c r="B559" s="207"/>
      <c r="C559" s="208"/>
      <c r="D559" s="244"/>
      <c r="E559" s="173"/>
      <c r="F559" s="173"/>
      <c r="G559" s="173"/>
      <c r="H559" s="173"/>
      <c r="I559" s="173"/>
      <c r="J559" s="173"/>
      <c r="K559" s="173"/>
      <c r="L559" s="173"/>
      <c r="M559" s="173"/>
      <c r="N559" s="173"/>
      <c r="O559" s="173"/>
      <c r="P559" s="173"/>
      <c r="Q559" s="173"/>
      <c r="R559" s="173"/>
      <c r="S559" s="173"/>
      <c r="T559" s="173"/>
      <c r="U559" s="173"/>
      <c r="V559" s="173"/>
      <c r="W559" s="173"/>
      <c r="X559" s="173"/>
      <c r="Y559" s="173"/>
      <c r="Z559" s="173"/>
    </row>
    <row r="560" spans="1:26" ht="11.25" customHeight="1">
      <c r="A560" s="173"/>
      <c r="B560" s="207"/>
      <c r="C560" s="208"/>
      <c r="D560" s="244"/>
      <c r="E560" s="173"/>
      <c r="F560" s="173"/>
      <c r="G560" s="173"/>
      <c r="H560" s="173"/>
      <c r="I560" s="173"/>
      <c r="J560" s="173"/>
      <c r="K560" s="173"/>
      <c r="L560" s="173"/>
      <c r="M560" s="173"/>
      <c r="N560" s="173"/>
      <c r="O560" s="173"/>
      <c r="P560" s="173"/>
      <c r="Q560" s="173"/>
      <c r="R560" s="173"/>
      <c r="S560" s="173"/>
      <c r="T560" s="173"/>
      <c r="U560" s="173"/>
      <c r="V560" s="173"/>
      <c r="W560" s="173"/>
      <c r="X560" s="173"/>
      <c r="Y560" s="173"/>
      <c r="Z560" s="173"/>
    </row>
    <row r="561" spans="1:26" ht="11.25" customHeight="1">
      <c r="A561" s="173"/>
      <c r="B561" s="207"/>
      <c r="C561" s="208"/>
      <c r="D561" s="244"/>
      <c r="E561" s="173"/>
      <c r="F561" s="173"/>
      <c r="G561" s="173"/>
      <c r="H561" s="173"/>
      <c r="I561" s="173"/>
      <c r="J561" s="173"/>
      <c r="K561" s="173"/>
      <c r="L561" s="173"/>
      <c r="M561" s="173"/>
      <c r="N561" s="173"/>
      <c r="O561" s="173"/>
      <c r="P561" s="173"/>
      <c r="Q561" s="173"/>
      <c r="R561" s="173"/>
      <c r="S561" s="173"/>
      <c r="T561" s="173"/>
      <c r="U561" s="173"/>
      <c r="V561" s="173"/>
      <c r="W561" s="173"/>
      <c r="X561" s="173"/>
      <c r="Y561" s="173"/>
      <c r="Z561" s="173"/>
    </row>
    <row r="562" spans="1:26" ht="11.25" customHeight="1">
      <c r="A562" s="173"/>
      <c r="B562" s="207"/>
      <c r="C562" s="208"/>
      <c r="D562" s="244"/>
      <c r="E562" s="173"/>
      <c r="F562" s="173"/>
      <c r="G562" s="173"/>
      <c r="H562" s="173"/>
      <c r="I562" s="173"/>
      <c r="J562" s="173"/>
      <c r="K562" s="173"/>
      <c r="L562" s="173"/>
      <c r="M562" s="173"/>
      <c r="N562" s="173"/>
      <c r="O562" s="173"/>
      <c r="P562" s="173"/>
      <c r="Q562" s="173"/>
      <c r="R562" s="173"/>
      <c r="S562" s="173"/>
      <c r="T562" s="173"/>
      <c r="U562" s="173"/>
      <c r="V562" s="173"/>
      <c r="W562" s="173"/>
      <c r="X562" s="173"/>
      <c r="Y562" s="173"/>
      <c r="Z562" s="173"/>
    </row>
    <row r="563" spans="1:26" ht="11.25" customHeight="1">
      <c r="A563" s="173"/>
      <c r="B563" s="207"/>
      <c r="C563" s="208"/>
      <c r="D563" s="244"/>
      <c r="E563" s="173"/>
      <c r="F563" s="173"/>
      <c r="G563" s="173"/>
      <c r="H563" s="173"/>
      <c r="I563" s="173"/>
      <c r="J563" s="173"/>
      <c r="K563" s="173"/>
      <c r="L563" s="173"/>
      <c r="M563" s="173"/>
      <c r="N563" s="173"/>
      <c r="O563" s="173"/>
      <c r="P563" s="173"/>
      <c r="Q563" s="173"/>
      <c r="R563" s="173"/>
      <c r="S563" s="173"/>
      <c r="T563" s="173"/>
      <c r="U563" s="173"/>
      <c r="V563" s="173"/>
      <c r="W563" s="173"/>
      <c r="X563" s="173"/>
      <c r="Y563" s="173"/>
      <c r="Z563" s="173"/>
    </row>
    <row r="564" spans="1:26" ht="11.25" customHeight="1">
      <c r="A564" s="173"/>
      <c r="B564" s="207"/>
      <c r="C564" s="208"/>
      <c r="D564" s="244"/>
      <c r="E564" s="173"/>
      <c r="F564" s="173"/>
      <c r="G564" s="173"/>
      <c r="H564" s="173"/>
      <c r="I564" s="173"/>
      <c r="J564" s="173"/>
      <c r="K564" s="173"/>
      <c r="L564" s="173"/>
      <c r="M564" s="173"/>
      <c r="N564" s="173"/>
      <c r="O564" s="173"/>
      <c r="P564" s="173"/>
      <c r="Q564" s="173"/>
      <c r="R564" s="173"/>
      <c r="S564" s="173"/>
      <c r="T564" s="173"/>
      <c r="U564" s="173"/>
      <c r="V564" s="173"/>
      <c r="W564" s="173"/>
      <c r="X564" s="173"/>
      <c r="Y564" s="173"/>
      <c r="Z564" s="173"/>
    </row>
    <row r="565" spans="1:26" ht="11.25" customHeight="1">
      <c r="A565" s="173"/>
      <c r="B565" s="207"/>
      <c r="C565" s="208"/>
      <c r="D565" s="244"/>
      <c r="E565" s="173"/>
      <c r="F565" s="173"/>
      <c r="G565" s="173"/>
      <c r="H565" s="173"/>
      <c r="I565" s="173"/>
      <c r="J565" s="173"/>
      <c r="K565" s="173"/>
      <c r="L565" s="173"/>
      <c r="M565" s="173"/>
      <c r="N565" s="173"/>
      <c r="O565" s="173"/>
      <c r="P565" s="173"/>
      <c r="Q565" s="173"/>
      <c r="R565" s="173"/>
      <c r="S565" s="173"/>
      <c r="T565" s="173"/>
      <c r="U565" s="173"/>
      <c r="V565" s="173"/>
      <c r="W565" s="173"/>
      <c r="X565" s="173"/>
      <c r="Y565" s="173"/>
      <c r="Z565" s="173"/>
    </row>
    <row r="566" spans="1:26" ht="11.25" customHeight="1">
      <c r="A566" s="173"/>
      <c r="B566" s="207"/>
      <c r="C566" s="208"/>
      <c r="D566" s="244"/>
      <c r="E566" s="173"/>
      <c r="F566" s="173"/>
      <c r="G566" s="173"/>
      <c r="H566" s="173"/>
      <c r="I566" s="173"/>
      <c r="J566" s="173"/>
      <c r="K566" s="173"/>
      <c r="L566" s="173"/>
      <c r="M566" s="173"/>
      <c r="N566" s="173"/>
      <c r="O566" s="173"/>
      <c r="P566" s="173"/>
      <c r="Q566" s="173"/>
      <c r="R566" s="173"/>
      <c r="S566" s="173"/>
      <c r="T566" s="173"/>
      <c r="U566" s="173"/>
      <c r="V566" s="173"/>
      <c r="W566" s="173"/>
      <c r="X566" s="173"/>
      <c r="Y566" s="173"/>
      <c r="Z566" s="173"/>
    </row>
    <row r="567" spans="1:26" ht="11.25" customHeight="1">
      <c r="A567" s="173"/>
      <c r="B567" s="207"/>
      <c r="C567" s="208"/>
      <c r="D567" s="244"/>
      <c r="E567" s="173"/>
      <c r="F567" s="173"/>
      <c r="G567" s="173"/>
      <c r="H567" s="173"/>
      <c r="I567" s="173"/>
      <c r="J567" s="173"/>
      <c r="K567" s="173"/>
      <c r="L567" s="173"/>
      <c r="M567" s="173"/>
      <c r="N567" s="173"/>
      <c r="O567" s="173"/>
      <c r="P567" s="173"/>
      <c r="Q567" s="173"/>
      <c r="R567" s="173"/>
      <c r="S567" s="173"/>
      <c r="T567" s="173"/>
      <c r="U567" s="173"/>
      <c r="V567" s="173"/>
      <c r="W567" s="173"/>
      <c r="X567" s="173"/>
      <c r="Y567" s="173"/>
      <c r="Z567" s="173"/>
    </row>
    <row r="568" spans="1:26" ht="11.25" customHeight="1">
      <c r="A568" s="173"/>
      <c r="B568" s="207"/>
      <c r="C568" s="208"/>
      <c r="D568" s="244"/>
      <c r="E568" s="173"/>
      <c r="F568" s="173"/>
      <c r="G568" s="173"/>
      <c r="H568" s="173"/>
      <c r="I568" s="173"/>
      <c r="J568" s="173"/>
      <c r="K568" s="173"/>
      <c r="L568" s="173"/>
      <c r="M568" s="173"/>
      <c r="N568" s="173"/>
      <c r="O568" s="173"/>
      <c r="P568" s="173"/>
      <c r="Q568" s="173"/>
      <c r="R568" s="173"/>
      <c r="S568" s="173"/>
      <c r="T568" s="173"/>
      <c r="U568" s="173"/>
      <c r="V568" s="173"/>
      <c r="W568" s="173"/>
      <c r="X568" s="173"/>
      <c r="Y568" s="173"/>
      <c r="Z568" s="173"/>
    </row>
    <row r="569" spans="1:26" ht="11.25" customHeight="1">
      <c r="A569" s="173"/>
      <c r="B569" s="207"/>
      <c r="C569" s="208"/>
      <c r="D569" s="244"/>
      <c r="E569" s="173"/>
      <c r="F569" s="173"/>
      <c r="G569" s="173"/>
      <c r="H569" s="173"/>
      <c r="I569" s="173"/>
      <c r="J569" s="173"/>
      <c r="K569" s="173"/>
      <c r="L569" s="173"/>
      <c r="M569" s="173"/>
      <c r="N569" s="173"/>
      <c r="O569" s="173"/>
      <c r="P569" s="173"/>
      <c r="Q569" s="173"/>
      <c r="R569" s="173"/>
      <c r="S569" s="173"/>
      <c r="T569" s="173"/>
      <c r="U569" s="173"/>
      <c r="V569" s="173"/>
      <c r="W569" s="173"/>
      <c r="X569" s="173"/>
      <c r="Y569" s="173"/>
      <c r="Z569" s="173"/>
    </row>
    <row r="570" spans="1:26" ht="11.25" customHeight="1">
      <c r="A570" s="173"/>
      <c r="B570" s="207"/>
      <c r="C570" s="208"/>
      <c r="D570" s="244"/>
      <c r="E570" s="173"/>
      <c r="F570" s="173"/>
      <c r="G570" s="173"/>
      <c r="H570" s="173"/>
      <c r="I570" s="173"/>
      <c r="J570" s="173"/>
      <c r="K570" s="173"/>
      <c r="L570" s="173"/>
      <c r="M570" s="173"/>
      <c r="N570" s="173"/>
      <c r="O570" s="173"/>
      <c r="P570" s="173"/>
      <c r="Q570" s="173"/>
      <c r="R570" s="173"/>
      <c r="S570" s="173"/>
      <c r="T570" s="173"/>
      <c r="U570" s="173"/>
      <c r="V570" s="173"/>
      <c r="W570" s="173"/>
      <c r="X570" s="173"/>
      <c r="Y570" s="173"/>
      <c r="Z570" s="173"/>
    </row>
    <row r="571" spans="1:26" ht="11.25" customHeight="1">
      <c r="A571" s="173"/>
      <c r="B571" s="207"/>
      <c r="C571" s="208"/>
      <c r="D571" s="244"/>
      <c r="E571" s="173"/>
      <c r="F571" s="173"/>
      <c r="G571" s="173"/>
      <c r="H571" s="173"/>
      <c r="I571" s="173"/>
      <c r="J571" s="173"/>
      <c r="K571" s="173"/>
      <c r="L571" s="173"/>
      <c r="M571" s="173"/>
      <c r="N571" s="173"/>
      <c r="O571" s="173"/>
      <c r="P571" s="173"/>
      <c r="Q571" s="173"/>
      <c r="R571" s="173"/>
      <c r="S571" s="173"/>
      <c r="T571" s="173"/>
      <c r="U571" s="173"/>
      <c r="V571" s="173"/>
      <c r="W571" s="173"/>
      <c r="X571" s="173"/>
      <c r="Y571" s="173"/>
      <c r="Z571" s="173"/>
    </row>
    <row r="572" spans="1:26" ht="11.25" customHeight="1">
      <c r="A572" s="173"/>
      <c r="B572" s="207"/>
      <c r="C572" s="208"/>
      <c r="D572" s="244"/>
      <c r="E572" s="173"/>
      <c r="F572" s="173"/>
      <c r="G572" s="173"/>
      <c r="H572" s="173"/>
      <c r="I572" s="173"/>
      <c r="J572" s="173"/>
      <c r="K572" s="173"/>
      <c r="L572" s="173"/>
      <c r="M572" s="173"/>
      <c r="N572" s="173"/>
      <c r="O572" s="173"/>
      <c r="P572" s="173"/>
      <c r="Q572" s="173"/>
      <c r="R572" s="173"/>
      <c r="S572" s="173"/>
      <c r="T572" s="173"/>
      <c r="U572" s="173"/>
      <c r="V572" s="173"/>
      <c r="W572" s="173"/>
      <c r="X572" s="173"/>
      <c r="Y572" s="173"/>
      <c r="Z572" s="173"/>
    </row>
    <row r="573" spans="1:26" ht="11.25" customHeight="1">
      <c r="A573" s="173"/>
      <c r="B573" s="207"/>
      <c r="C573" s="208"/>
      <c r="D573" s="244"/>
      <c r="E573" s="173"/>
      <c r="F573" s="173"/>
      <c r="G573" s="173"/>
      <c r="H573" s="173"/>
      <c r="I573" s="173"/>
      <c r="J573" s="173"/>
      <c r="K573" s="173"/>
      <c r="L573" s="173"/>
      <c r="M573" s="173"/>
      <c r="N573" s="173"/>
      <c r="O573" s="173"/>
      <c r="P573" s="173"/>
      <c r="Q573" s="173"/>
      <c r="R573" s="173"/>
      <c r="S573" s="173"/>
      <c r="T573" s="173"/>
      <c r="U573" s="173"/>
      <c r="V573" s="173"/>
      <c r="W573" s="173"/>
      <c r="X573" s="173"/>
      <c r="Y573" s="173"/>
      <c r="Z573" s="173"/>
    </row>
    <row r="574" spans="1:26" ht="11.25" customHeight="1">
      <c r="A574" s="173"/>
      <c r="B574" s="207"/>
      <c r="C574" s="208"/>
      <c r="D574" s="244"/>
      <c r="E574" s="173"/>
      <c r="F574" s="173"/>
      <c r="G574" s="173"/>
      <c r="H574" s="173"/>
      <c r="I574" s="173"/>
      <c r="J574" s="173"/>
      <c r="K574" s="173"/>
      <c r="L574" s="173"/>
      <c r="M574" s="173"/>
      <c r="N574" s="173"/>
      <c r="O574" s="173"/>
      <c r="P574" s="173"/>
      <c r="Q574" s="173"/>
      <c r="R574" s="173"/>
      <c r="S574" s="173"/>
      <c r="T574" s="173"/>
      <c r="U574" s="173"/>
      <c r="V574" s="173"/>
      <c r="W574" s="173"/>
      <c r="X574" s="173"/>
      <c r="Y574" s="173"/>
      <c r="Z574" s="173"/>
    </row>
    <row r="575" spans="1:26" ht="11.25" customHeight="1">
      <c r="A575" s="173"/>
      <c r="B575" s="207"/>
      <c r="C575" s="208"/>
      <c r="D575" s="244"/>
      <c r="E575" s="173"/>
      <c r="F575" s="173"/>
      <c r="G575" s="173"/>
      <c r="H575" s="173"/>
      <c r="I575" s="173"/>
      <c r="J575" s="173"/>
      <c r="K575" s="173"/>
      <c r="L575" s="173"/>
      <c r="M575" s="173"/>
      <c r="N575" s="173"/>
      <c r="O575" s="173"/>
      <c r="P575" s="173"/>
      <c r="Q575" s="173"/>
      <c r="R575" s="173"/>
      <c r="S575" s="173"/>
      <c r="T575" s="173"/>
      <c r="U575" s="173"/>
      <c r="V575" s="173"/>
      <c r="W575" s="173"/>
      <c r="X575" s="173"/>
      <c r="Y575" s="173"/>
      <c r="Z575" s="173"/>
    </row>
    <row r="576" spans="1:26" ht="11.25" customHeight="1">
      <c r="A576" s="173"/>
      <c r="B576" s="207"/>
      <c r="C576" s="208"/>
      <c r="D576" s="244"/>
      <c r="E576" s="173"/>
      <c r="F576" s="173"/>
      <c r="G576" s="173"/>
      <c r="H576" s="173"/>
      <c r="I576" s="173"/>
      <c r="J576" s="173"/>
      <c r="K576" s="173"/>
      <c r="L576" s="173"/>
      <c r="M576" s="173"/>
      <c r="N576" s="173"/>
      <c r="O576" s="173"/>
      <c r="P576" s="173"/>
      <c r="Q576" s="173"/>
      <c r="R576" s="173"/>
      <c r="S576" s="173"/>
      <c r="T576" s="173"/>
      <c r="U576" s="173"/>
      <c r="V576" s="173"/>
      <c r="W576" s="173"/>
      <c r="X576" s="173"/>
      <c r="Y576" s="173"/>
      <c r="Z576" s="173"/>
    </row>
    <row r="577" spans="1:26" ht="11.25" customHeight="1">
      <c r="A577" s="173"/>
      <c r="B577" s="207"/>
      <c r="C577" s="208"/>
      <c r="D577" s="244"/>
      <c r="E577" s="173"/>
      <c r="F577" s="173"/>
      <c r="G577" s="173"/>
      <c r="H577" s="173"/>
      <c r="I577" s="173"/>
      <c r="J577" s="173"/>
      <c r="K577" s="173"/>
      <c r="L577" s="173"/>
      <c r="M577" s="173"/>
      <c r="N577" s="173"/>
      <c r="O577" s="173"/>
      <c r="P577" s="173"/>
      <c r="Q577" s="173"/>
      <c r="R577" s="173"/>
      <c r="S577" s="173"/>
      <c r="T577" s="173"/>
      <c r="U577" s="173"/>
      <c r="V577" s="173"/>
      <c r="W577" s="173"/>
      <c r="X577" s="173"/>
      <c r="Y577" s="173"/>
      <c r="Z577" s="173"/>
    </row>
    <row r="578" spans="1:26" ht="11.25" customHeight="1">
      <c r="A578" s="173"/>
      <c r="B578" s="207"/>
      <c r="C578" s="208"/>
      <c r="D578" s="244"/>
      <c r="E578" s="173"/>
      <c r="F578" s="173"/>
      <c r="G578" s="173"/>
      <c r="H578" s="173"/>
      <c r="I578" s="173"/>
      <c r="J578" s="173"/>
      <c r="K578" s="173"/>
      <c r="L578" s="173"/>
      <c r="M578" s="173"/>
      <c r="N578" s="173"/>
      <c r="O578" s="173"/>
      <c r="P578" s="173"/>
      <c r="Q578" s="173"/>
      <c r="R578" s="173"/>
      <c r="S578" s="173"/>
      <c r="T578" s="173"/>
      <c r="U578" s="173"/>
      <c r="V578" s="173"/>
      <c r="W578" s="173"/>
      <c r="X578" s="173"/>
      <c r="Y578" s="173"/>
      <c r="Z578" s="173"/>
    </row>
    <row r="579" spans="1:26" ht="11.25" customHeight="1">
      <c r="A579" s="173"/>
      <c r="B579" s="207"/>
      <c r="C579" s="208"/>
      <c r="D579" s="244"/>
      <c r="E579" s="173"/>
      <c r="F579" s="173"/>
      <c r="G579" s="173"/>
      <c r="H579" s="173"/>
      <c r="I579" s="173"/>
      <c r="J579" s="173"/>
      <c r="K579" s="173"/>
      <c r="L579" s="173"/>
      <c r="M579" s="173"/>
      <c r="N579" s="173"/>
      <c r="O579" s="173"/>
      <c r="P579" s="173"/>
      <c r="Q579" s="173"/>
      <c r="R579" s="173"/>
      <c r="S579" s="173"/>
      <c r="T579" s="173"/>
      <c r="U579" s="173"/>
      <c r="V579" s="173"/>
      <c r="W579" s="173"/>
      <c r="X579" s="173"/>
      <c r="Y579" s="173"/>
      <c r="Z579" s="173"/>
    </row>
    <row r="580" spans="1:26" ht="11.25" customHeight="1">
      <c r="A580" s="173"/>
      <c r="B580" s="207"/>
      <c r="C580" s="208"/>
      <c r="D580" s="244"/>
      <c r="E580" s="173"/>
      <c r="F580" s="173"/>
      <c r="G580" s="173"/>
      <c r="H580" s="173"/>
      <c r="I580" s="173"/>
      <c r="J580" s="173"/>
      <c r="K580" s="173"/>
      <c r="L580" s="173"/>
      <c r="M580" s="173"/>
      <c r="N580" s="173"/>
      <c r="O580" s="173"/>
      <c r="P580" s="173"/>
      <c r="Q580" s="173"/>
      <c r="R580" s="173"/>
      <c r="S580" s="173"/>
      <c r="T580" s="173"/>
      <c r="U580" s="173"/>
      <c r="V580" s="173"/>
      <c r="W580" s="173"/>
      <c r="X580" s="173"/>
      <c r="Y580" s="173"/>
      <c r="Z580" s="173"/>
    </row>
    <row r="581" spans="1:26" ht="11.25" customHeight="1">
      <c r="A581" s="173"/>
      <c r="B581" s="207"/>
      <c r="C581" s="208"/>
      <c r="D581" s="244"/>
      <c r="E581" s="173"/>
      <c r="F581" s="173"/>
      <c r="G581" s="173"/>
      <c r="H581" s="173"/>
      <c r="I581" s="173"/>
      <c r="J581" s="173"/>
      <c r="K581" s="173"/>
      <c r="L581" s="173"/>
      <c r="M581" s="173"/>
      <c r="N581" s="173"/>
      <c r="O581" s="173"/>
      <c r="P581" s="173"/>
      <c r="Q581" s="173"/>
      <c r="R581" s="173"/>
      <c r="S581" s="173"/>
      <c r="T581" s="173"/>
      <c r="U581" s="173"/>
      <c r="V581" s="173"/>
      <c r="W581" s="173"/>
      <c r="X581" s="173"/>
      <c r="Y581" s="173"/>
      <c r="Z581" s="173"/>
    </row>
    <row r="582" spans="1:26" ht="11.25" customHeight="1">
      <c r="A582" s="173"/>
      <c r="B582" s="207"/>
      <c r="C582" s="208"/>
      <c r="D582" s="244"/>
      <c r="E582" s="173"/>
      <c r="F582" s="173"/>
      <c r="G582" s="173"/>
      <c r="H582" s="173"/>
      <c r="I582" s="173"/>
      <c r="J582" s="173"/>
      <c r="K582" s="173"/>
      <c r="L582" s="173"/>
      <c r="M582" s="173"/>
      <c r="N582" s="173"/>
      <c r="O582" s="173"/>
      <c r="P582" s="173"/>
      <c r="Q582" s="173"/>
      <c r="R582" s="173"/>
      <c r="S582" s="173"/>
      <c r="T582" s="173"/>
      <c r="U582" s="173"/>
      <c r="V582" s="173"/>
      <c r="W582" s="173"/>
      <c r="X582" s="173"/>
      <c r="Y582" s="173"/>
      <c r="Z582" s="173"/>
    </row>
    <row r="583" spans="1:26" ht="11.25" customHeight="1">
      <c r="A583" s="173"/>
      <c r="B583" s="207"/>
      <c r="C583" s="208"/>
      <c r="D583" s="244"/>
      <c r="E583" s="173"/>
      <c r="F583" s="173"/>
      <c r="G583" s="173"/>
      <c r="H583" s="173"/>
      <c r="I583" s="173"/>
      <c r="J583" s="173"/>
      <c r="K583" s="173"/>
      <c r="L583" s="173"/>
      <c r="M583" s="173"/>
      <c r="N583" s="173"/>
      <c r="O583" s="173"/>
      <c r="P583" s="173"/>
      <c r="Q583" s="173"/>
      <c r="R583" s="173"/>
      <c r="S583" s="173"/>
      <c r="T583" s="173"/>
      <c r="U583" s="173"/>
      <c r="V583" s="173"/>
      <c r="W583" s="173"/>
      <c r="X583" s="173"/>
      <c r="Y583" s="173"/>
      <c r="Z583" s="173"/>
    </row>
    <row r="584" spans="1:26" ht="11.25" customHeight="1">
      <c r="A584" s="173"/>
      <c r="B584" s="207"/>
      <c r="C584" s="208"/>
      <c r="D584" s="244"/>
      <c r="E584" s="173"/>
      <c r="F584" s="173"/>
      <c r="G584" s="173"/>
      <c r="H584" s="173"/>
      <c r="I584" s="173"/>
      <c r="J584" s="173"/>
      <c r="K584" s="173"/>
      <c r="L584" s="173"/>
      <c r="M584" s="173"/>
      <c r="N584" s="173"/>
      <c r="O584" s="173"/>
      <c r="P584" s="173"/>
      <c r="Q584" s="173"/>
      <c r="R584" s="173"/>
      <c r="S584" s="173"/>
      <c r="T584" s="173"/>
      <c r="U584" s="173"/>
      <c r="V584" s="173"/>
      <c r="W584" s="173"/>
      <c r="X584" s="173"/>
      <c r="Y584" s="173"/>
      <c r="Z584" s="173"/>
    </row>
    <row r="585" spans="1:26" ht="11.25" customHeight="1">
      <c r="A585" s="173"/>
      <c r="B585" s="207"/>
      <c r="C585" s="208"/>
      <c r="D585" s="244"/>
      <c r="E585" s="173"/>
      <c r="F585" s="173"/>
      <c r="G585" s="173"/>
      <c r="H585" s="173"/>
      <c r="I585" s="173"/>
      <c r="J585" s="173"/>
      <c r="K585" s="173"/>
      <c r="L585" s="173"/>
      <c r="M585" s="173"/>
      <c r="N585" s="173"/>
      <c r="O585" s="173"/>
      <c r="P585" s="173"/>
      <c r="Q585" s="173"/>
      <c r="R585" s="173"/>
      <c r="S585" s="173"/>
      <c r="T585" s="173"/>
      <c r="U585" s="173"/>
      <c r="V585" s="173"/>
      <c r="W585" s="173"/>
      <c r="X585" s="173"/>
      <c r="Y585" s="173"/>
      <c r="Z585" s="173"/>
    </row>
    <row r="586" spans="1:26" ht="11.25" customHeight="1">
      <c r="A586" s="173"/>
      <c r="B586" s="207"/>
      <c r="C586" s="208"/>
      <c r="D586" s="244"/>
      <c r="E586" s="173"/>
      <c r="F586" s="173"/>
      <c r="G586" s="173"/>
      <c r="H586" s="173"/>
      <c r="I586" s="173"/>
      <c r="J586" s="173"/>
      <c r="K586" s="173"/>
      <c r="L586" s="173"/>
      <c r="M586" s="173"/>
      <c r="N586" s="173"/>
      <c r="O586" s="173"/>
      <c r="P586" s="173"/>
      <c r="Q586" s="173"/>
      <c r="R586" s="173"/>
      <c r="S586" s="173"/>
      <c r="T586" s="173"/>
      <c r="U586" s="173"/>
      <c r="V586" s="173"/>
      <c r="W586" s="173"/>
      <c r="X586" s="173"/>
      <c r="Y586" s="173"/>
      <c r="Z586" s="173"/>
    </row>
    <row r="587" spans="1:26" ht="11.25" customHeight="1">
      <c r="A587" s="173"/>
      <c r="B587" s="207"/>
      <c r="C587" s="208"/>
      <c r="D587" s="244"/>
      <c r="E587" s="173"/>
      <c r="F587" s="173"/>
      <c r="G587" s="173"/>
      <c r="H587" s="173"/>
      <c r="I587" s="173"/>
      <c r="J587" s="173"/>
      <c r="K587" s="173"/>
      <c r="L587" s="173"/>
      <c r="M587" s="173"/>
      <c r="N587" s="173"/>
      <c r="O587" s="173"/>
      <c r="P587" s="173"/>
      <c r="Q587" s="173"/>
      <c r="R587" s="173"/>
      <c r="S587" s="173"/>
      <c r="T587" s="173"/>
      <c r="U587" s="173"/>
      <c r="V587" s="173"/>
      <c r="W587" s="173"/>
      <c r="X587" s="173"/>
      <c r="Y587" s="173"/>
      <c r="Z587" s="173"/>
    </row>
    <row r="588" spans="1:26" ht="11.25" customHeight="1">
      <c r="A588" s="173"/>
      <c r="B588" s="207"/>
      <c r="C588" s="208"/>
      <c r="D588" s="244"/>
      <c r="E588" s="173"/>
      <c r="F588" s="173"/>
      <c r="G588" s="173"/>
      <c r="H588" s="173"/>
      <c r="I588" s="173"/>
      <c r="J588" s="173"/>
      <c r="K588" s="173"/>
      <c r="L588" s="173"/>
      <c r="M588" s="173"/>
      <c r="N588" s="173"/>
      <c r="O588" s="173"/>
      <c r="P588" s="173"/>
      <c r="Q588" s="173"/>
      <c r="R588" s="173"/>
      <c r="S588" s="173"/>
      <c r="T588" s="173"/>
      <c r="U588" s="173"/>
      <c r="V588" s="173"/>
      <c r="W588" s="173"/>
      <c r="X588" s="173"/>
      <c r="Y588" s="173"/>
      <c r="Z588" s="173"/>
    </row>
    <row r="589" spans="1:26" ht="11.25" customHeight="1">
      <c r="A589" s="173"/>
      <c r="B589" s="207"/>
      <c r="C589" s="208"/>
      <c r="D589" s="244"/>
      <c r="E589" s="173"/>
      <c r="F589" s="173"/>
      <c r="G589" s="173"/>
      <c r="H589" s="173"/>
      <c r="I589" s="173"/>
      <c r="J589" s="173"/>
      <c r="K589" s="173"/>
      <c r="L589" s="173"/>
      <c r="M589" s="173"/>
      <c r="N589" s="173"/>
      <c r="O589" s="173"/>
      <c r="P589" s="173"/>
      <c r="Q589" s="173"/>
      <c r="R589" s="173"/>
      <c r="S589" s="173"/>
      <c r="T589" s="173"/>
      <c r="U589" s="173"/>
      <c r="V589" s="173"/>
      <c r="W589" s="173"/>
      <c r="X589" s="173"/>
      <c r="Y589" s="173"/>
      <c r="Z589" s="173"/>
    </row>
    <row r="590" spans="1:26" ht="11.25" customHeight="1">
      <c r="A590" s="173"/>
      <c r="B590" s="207"/>
      <c r="C590" s="208"/>
      <c r="D590" s="244"/>
      <c r="E590" s="173"/>
      <c r="F590" s="173"/>
      <c r="G590" s="173"/>
      <c r="H590" s="173"/>
      <c r="I590" s="173"/>
      <c r="J590" s="173"/>
      <c r="K590" s="173"/>
      <c r="L590" s="173"/>
      <c r="M590" s="173"/>
      <c r="N590" s="173"/>
      <c r="O590" s="173"/>
      <c r="P590" s="173"/>
      <c r="Q590" s="173"/>
      <c r="R590" s="173"/>
      <c r="S590" s="173"/>
      <c r="T590" s="173"/>
      <c r="U590" s="173"/>
      <c r="V590" s="173"/>
      <c r="W590" s="173"/>
      <c r="X590" s="173"/>
      <c r="Y590" s="173"/>
      <c r="Z590" s="173"/>
    </row>
    <row r="591" spans="1:26" ht="11.25" customHeight="1">
      <c r="A591" s="173"/>
      <c r="B591" s="207"/>
      <c r="C591" s="208"/>
      <c r="D591" s="244"/>
      <c r="E591" s="173"/>
      <c r="F591" s="173"/>
      <c r="G591" s="173"/>
      <c r="H591" s="173"/>
      <c r="I591" s="173"/>
      <c r="J591" s="173"/>
      <c r="K591" s="173"/>
      <c r="L591" s="173"/>
      <c r="M591" s="173"/>
      <c r="N591" s="173"/>
      <c r="O591" s="173"/>
      <c r="P591" s="173"/>
      <c r="Q591" s="173"/>
      <c r="R591" s="173"/>
      <c r="S591" s="173"/>
      <c r="T591" s="173"/>
      <c r="U591" s="173"/>
      <c r="V591" s="173"/>
      <c r="W591" s="173"/>
      <c r="X591" s="173"/>
      <c r="Y591" s="173"/>
      <c r="Z591" s="173"/>
    </row>
    <row r="592" spans="1:26" ht="11.25" customHeight="1">
      <c r="A592" s="173"/>
      <c r="B592" s="207"/>
      <c r="C592" s="208"/>
      <c r="D592" s="244"/>
      <c r="E592" s="173"/>
      <c r="F592" s="173"/>
      <c r="G592" s="173"/>
      <c r="H592" s="173"/>
      <c r="I592" s="173"/>
      <c r="J592" s="173"/>
      <c r="K592" s="173"/>
      <c r="L592" s="173"/>
      <c r="M592" s="173"/>
      <c r="N592" s="173"/>
      <c r="O592" s="173"/>
      <c r="P592" s="173"/>
      <c r="Q592" s="173"/>
      <c r="R592" s="173"/>
      <c r="S592" s="173"/>
      <c r="T592" s="173"/>
      <c r="U592" s="173"/>
      <c r="V592" s="173"/>
      <c r="W592" s="173"/>
      <c r="X592" s="173"/>
      <c r="Y592" s="173"/>
      <c r="Z592" s="173"/>
    </row>
    <row r="593" spans="1:26" ht="11.25" customHeight="1">
      <c r="A593" s="173"/>
      <c r="B593" s="207"/>
      <c r="C593" s="208"/>
      <c r="D593" s="244"/>
      <c r="E593" s="173"/>
      <c r="F593" s="173"/>
      <c r="G593" s="173"/>
      <c r="H593" s="173"/>
      <c r="I593" s="173"/>
      <c r="J593" s="173"/>
      <c r="K593" s="173"/>
      <c r="L593" s="173"/>
      <c r="M593" s="173"/>
      <c r="N593" s="173"/>
      <c r="O593" s="173"/>
      <c r="P593" s="173"/>
      <c r="Q593" s="173"/>
      <c r="R593" s="173"/>
      <c r="S593" s="173"/>
      <c r="T593" s="173"/>
      <c r="U593" s="173"/>
      <c r="V593" s="173"/>
      <c r="W593" s="173"/>
      <c r="X593" s="173"/>
      <c r="Y593" s="173"/>
      <c r="Z593" s="173"/>
    </row>
    <row r="594" spans="1:26" ht="11.25" customHeight="1">
      <c r="A594" s="173"/>
      <c r="B594" s="207"/>
      <c r="C594" s="208"/>
      <c r="D594" s="244"/>
      <c r="E594" s="173"/>
      <c r="F594" s="173"/>
      <c r="G594" s="173"/>
      <c r="H594" s="173"/>
      <c r="I594" s="173"/>
      <c r="J594" s="173"/>
      <c r="K594" s="173"/>
      <c r="L594" s="173"/>
      <c r="M594" s="173"/>
      <c r="N594" s="173"/>
      <c r="O594" s="173"/>
      <c r="P594" s="173"/>
      <c r="Q594" s="173"/>
      <c r="R594" s="173"/>
      <c r="S594" s="173"/>
      <c r="T594" s="173"/>
      <c r="U594" s="173"/>
      <c r="V594" s="173"/>
      <c r="W594" s="173"/>
      <c r="X594" s="173"/>
      <c r="Y594" s="173"/>
      <c r="Z594" s="173"/>
    </row>
    <row r="595" spans="1:26" ht="11.25" customHeight="1">
      <c r="A595" s="173"/>
      <c r="B595" s="207"/>
      <c r="C595" s="208"/>
      <c r="D595" s="244"/>
      <c r="E595" s="173"/>
      <c r="F595" s="173"/>
      <c r="G595" s="173"/>
      <c r="H595" s="173"/>
      <c r="I595" s="173"/>
      <c r="J595" s="173"/>
      <c r="K595" s="173"/>
      <c r="L595" s="173"/>
      <c r="M595" s="173"/>
      <c r="N595" s="173"/>
      <c r="O595" s="173"/>
      <c r="P595" s="173"/>
      <c r="Q595" s="173"/>
      <c r="R595" s="173"/>
      <c r="S595" s="173"/>
      <c r="T595" s="173"/>
      <c r="U595" s="173"/>
      <c r="V595" s="173"/>
      <c r="W595" s="173"/>
      <c r="X595" s="173"/>
      <c r="Y595" s="173"/>
      <c r="Z595" s="173"/>
    </row>
    <row r="596" spans="1:26" ht="11.25" customHeight="1">
      <c r="A596" s="173"/>
      <c r="B596" s="207"/>
      <c r="C596" s="208"/>
      <c r="D596" s="244"/>
      <c r="E596" s="173"/>
      <c r="F596" s="173"/>
      <c r="G596" s="173"/>
      <c r="H596" s="173"/>
      <c r="I596" s="173"/>
      <c r="J596" s="173"/>
      <c r="K596" s="173"/>
      <c r="L596" s="173"/>
      <c r="M596" s="173"/>
      <c r="N596" s="173"/>
      <c r="O596" s="173"/>
      <c r="P596" s="173"/>
      <c r="Q596" s="173"/>
      <c r="R596" s="173"/>
      <c r="S596" s="173"/>
      <c r="T596" s="173"/>
      <c r="U596" s="173"/>
      <c r="V596" s="173"/>
      <c r="W596" s="173"/>
      <c r="X596" s="173"/>
      <c r="Y596" s="173"/>
      <c r="Z596" s="173"/>
    </row>
    <row r="597" spans="1:26" ht="11.25" customHeight="1">
      <c r="A597" s="173"/>
      <c r="B597" s="207"/>
      <c r="C597" s="208"/>
      <c r="D597" s="244"/>
      <c r="E597" s="173"/>
      <c r="F597" s="173"/>
      <c r="G597" s="173"/>
      <c r="H597" s="173"/>
      <c r="I597" s="173"/>
      <c r="J597" s="173"/>
      <c r="K597" s="173"/>
      <c r="L597" s="173"/>
      <c r="M597" s="173"/>
      <c r="N597" s="173"/>
      <c r="O597" s="173"/>
      <c r="P597" s="173"/>
      <c r="Q597" s="173"/>
      <c r="R597" s="173"/>
      <c r="S597" s="173"/>
      <c r="T597" s="173"/>
      <c r="U597" s="173"/>
      <c r="V597" s="173"/>
      <c r="W597" s="173"/>
      <c r="X597" s="173"/>
      <c r="Y597" s="173"/>
      <c r="Z597" s="173"/>
    </row>
    <row r="598" spans="1:26" ht="11.25" customHeight="1">
      <c r="A598" s="173"/>
      <c r="B598" s="207"/>
      <c r="C598" s="208"/>
      <c r="D598" s="244"/>
      <c r="E598" s="173"/>
      <c r="F598" s="173"/>
      <c r="G598" s="173"/>
      <c r="H598" s="173"/>
      <c r="I598" s="173"/>
      <c r="J598" s="173"/>
      <c r="K598" s="173"/>
      <c r="L598" s="173"/>
      <c r="M598" s="173"/>
      <c r="N598" s="173"/>
      <c r="O598" s="173"/>
      <c r="P598" s="173"/>
      <c r="Q598" s="173"/>
      <c r="R598" s="173"/>
      <c r="S598" s="173"/>
      <c r="T598" s="173"/>
      <c r="U598" s="173"/>
      <c r="V598" s="173"/>
      <c r="W598" s="173"/>
      <c r="X598" s="173"/>
      <c r="Y598" s="173"/>
      <c r="Z598" s="173"/>
    </row>
    <row r="599" spans="1:26" ht="11.25" customHeight="1">
      <c r="A599" s="173"/>
      <c r="B599" s="207"/>
      <c r="C599" s="208"/>
      <c r="D599" s="244"/>
      <c r="E599" s="173"/>
      <c r="F599" s="173"/>
      <c r="G599" s="173"/>
      <c r="H599" s="173"/>
      <c r="I599" s="173"/>
      <c r="J599" s="173"/>
      <c r="K599" s="173"/>
      <c r="L599" s="173"/>
      <c r="M599" s="173"/>
      <c r="N599" s="173"/>
      <c r="O599" s="173"/>
      <c r="P599" s="173"/>
      <c r="Q599" s="173"/>
      <c r="R599" s="173"/>
      <c r="S599" s="173"/>
      <c r="T599" s="173"/>
      <c r="U599" s="173"/>
      <c r="V599" s="173"/>
      <c r="W599" s="173"/>
      <c r="X599" s="173"/>
      <c r="Y599" s="173"/>
      <c r="Z599" s="173"/>
    </row>
    <row r="600" spans="1:26" ht="11.25" customHeight="1">
      <c r="A600" s="173"/>
      <c r="B600" s="207"/>
      <c r="C600" s="208"/>
      <c r="D600" s="244"/>
      <c r="E600" s="173"/>
      <c r="F600" s="173"/>
      <c r="G600" s="173"/>
      <c r="H600" s="173"/>
      <c r="I600" s="173"/>
      <c r="J600" s="173"/>
      <c r="K600" s="173"/>
      <c r="L600" s="173"/>
      <c r="M600" s="173"/>
      <c r="N600" s="173"/>
      <c r="O600" s="173"/>
      <c r="P600" s="173"/>
      <c r="Q600" s="173"/>
      <c r="R600" s="173"/>
      <c r="S600" s="173"/>
      <c r="T600" s="173"/>
      <c r="U600" s="173"/>
      <c r="V600" s="173"/>
      <c r="W600" s="173"/>
      <c r="X600" s="173"/>
      <c r="Y600" s="173"/>
      <c r="Z600" s="173"/>
    </row>
    <row r="601" spans="1:26" ht="11.25" customHeight="1">
      <c r="A601" s="173"/>
      <c r="B601" s="207"/>
      <c r="C601" s="208"/>
      <c r="D601" s="244"/>
      <c r="E601" s="173"/>
      <c r="F601" s="173"/>
      <c r="G601" s="173"/>
      <c r="H601" s="173"/>
      <c r="I601" s="173"/>
      <c r="J601" s="173"/>
      <c r="K601" s="173"/>
      <c r="L601" s="173"/>
      <c r="M601" s="173"/>
      <c r="N601" s="173"/>
      <c r="O601" s="173"/>
      <c r="P601" s="173"/>
      <c r="Q601" s="173"/>
      <c r="R601" s="173"/>
      <c r="S601" s="173"/>
      <c r="T601" s="173"/>
      <c r="U601" s="173"/>
      <c r="V601" s="173"/>
      <c r="W601" s="173"/>
      <c r="X601" s="173"/>
      <c r="Y601" s="173"/>
      <c r="Z601" s="173"/>
    </row>
    <row r="602" spans="1:26" ht="11.25" customHeight="1">
      <c r="A602" s="173"/>
      <c r="B602" s="207"/>
      <c r="C602" s="208"/>
      <c r="D602" s="244"/>
      <c r="E602" s="173"/>
      <c r="F602" s="173"/>
      <c r="G602" s="173"/>
      <c r="H602" s="173"/>
      <c r="I602" s="173"/>
      <c r="J602" s="173"/>
      <c r="K602" s="173"/>
      <c r="L602" s="173"/>
      <c r="M602" s="173"/>
      <c r="N602" s="173"/>
      <c r="O602" s="173"/>
      <c r="P602" s="173"/>
      <c r="Q602" s="173"/>
      <c r="R602" s="173"/>
      <c r="S602" s="173"/>
      <c r="T602" s="173"/>
      <c r="U602" s="173"/>
      <c r="V602" s="173"/>
      <c r="W602" s="173"/>
      <c r="X602" s="173"/>
      <c r="Y602" s="173"/>
      <c r="Z602" s="173"/>
    </row>
    <row r="603" spans="1:26" ht="11.25" customHeight="1">
      <c r="A603" s="173"/>
      <c r="B603" s="207"/>
      <c r="C603" s="208"/>
      <c r="D603" s="244"/>
      <c r="E603" s="173"/>
      <c r="F603" s="173"/>
      <c r="G603" s="173"/>
      <c r="H603" s="173"/>
      <c r="I603" s="173"/>
      <c r="J603" s="173"/>
      <c r="K603" s="173"/>
      <c r="L603" s="173"/>
      <c r="M603" s="173"/>
      <c r="N603" s="173"/>
      <c r="O603" s="173"/>
      <c r="P603" s="173"/>
      <c r="Q603" s="173"/>
      <c r="R603" s="173"/>
      <c r="S603" s="173"/>
      <c r="T603" s="173"/>
      <c r="U603" s="173"/>
      <c r="V603" s="173"/>
      <c r="W603" s="173"/>
      <c r="X603" s="173"/>
      <c r="Y603" s="173"/>
      <c r="Z603" s="173"/>
    </row>
    <row r="604" spans="1:26" ht="11.25" customHeight="1">
      <c r="A604" s="173"/>
      <c r="B604" s="207"/>
      <c r="C604" s="208"/>
      <c r="D604" s="244"/>
      <c r="E604" s="173"/>
      <c r="F604" s="173"/>
      <c r="G604" s="173"/>
      <c r="H604" s="173"/>
      <c r="I604" s="173"/>
      <c r="J604" s="173"/>
      <c r="K604" s="173"/>
      <c r="L604" s="173"/>
      <c r="M604" s="173"/>
      <c r="N604" s="173"/>
      <c r="O604" s="173"/>
      <c r="P604" s="173"/>
      <c r="Q604" s="173"/>
      <c r="R604" s="173"/>
      <c r="S604" s="173"/>
      <c r="T604" s="173"/>
      <c r="U604" s="173"/>
      <c r="V604" s="173"/>
      <c r="W604" s="173"/>
      <c r="X604" s="173"/>
      <c r="Y604" s="173"/>
      <c r="Z604" s="173"/>
    </row>
    <row r="605" spans="1:26" ht="11.25" customHeight="1">
      <c r="A605" s="173"/>
      <c r="B605" s="207"/>
      <c r="C605" s="208"/>
      <c r="D605" s="244"/>
      <c r="E605" s="173"/>
      <c r="F605" s="173"/>
      <c r="G605" s="173"/>
      <c r="H605" s="173"/>
      <c r="I605" s="173"/>
      <c r="J605" s="173"/>
      <c r="K605" s="173"/>
      <c r="L605" s="173"/>
      <c r="M605" s="173"/>
      <c r="N605" s="173"/>
      <c r="O605" s="173"/>
      <c r="P605" s="173"/>
      <c r="Q605" s="173"/>
      <c r="R605" s="173"/>
      <c r="S605" s="173"/>
      <c r="T605" s="173"/>
      <c r="U605" s="173"/>
      <c r="V605" s="173"/>
      <c r="W605" s="173"/>
      <c r="X605" s="173"/>
      <c r="Y605" s="173"/>
      <c r="Z605" s="173"/>
    </row>
    <row r="606" spans="1:26" ht="11.25" customHeight="1">
      <c r="A606" s="173"/>
      <c r="B606" s="207"/>
      <c r="C606" s="208"/>
      <c r="D606" s="244"/>
      <c r="E606" s="173"/>
      <c r="F606" s="173"/>
      <c r="G606" s="173"/>
      <c r="H606" s="173"/>
      <c r="I606" s="173"/>
      <c r="J606" s="173"/>
      <c r="K606" s="173"/>
      <c r="L606" s="173"/>
      <c r="M606" s="173"/>
      <c r="N606" s="173"/>
      <c r="O606" s="173"/>
      <c r="P606" s="173"/>
      <c r="Q606" s="173"/>
      <c r="R606" s="173"/>
      <c r="S606" s="173"/>
      <c r="T606" s="173"/>
      <c r="U606" s="173"/>
      <c r="V606" s="173"/>
      <c r="W606" s="173"/>
      <c r="X606" s="173"/>
      <c r="Y606" s="173"/>
      <c r="Z606" s="173"/>
    </row>
    <row r="607" spans="1:26" ht="11.25" customHeight="1">
      <c r="A607" s="173"/>
      <c r="B607" s="207"/>
      <c r="C607" s="208"/>
      <c r="D607" s="244"/>
      <c r="E607" s="173"/>
      <c r="F607" s="173"/>
      <c r="G607" s="173"/>
      <c r="H607" s="173"/>
      <c r="I607" s="173"/>
      <c r="J607" s="173"/>
      <c r="K607" s="173"/>
      <c r="L607" s="173"/>
      <c r="M607" s="173"/>
      <c r="N607" s="173"/>
      <c r="O607" s="173"/>
      <c r="P607" s="173"/>
      <c r="Q607" s="173"/>
      <c r="R607" s="173"/>
      <c r="S607" s="173"/>
      <c r="T607" s="173"/>
      <c r="U607" s="173"/>
      <c r="V607" s="173"/>
      <c r="W607" s="173"/>
      <c r="X607" s="173"/>
      <c r="Y607" s="173"/>
      <c r="Z607" s="173"/>
    </row>
    <row r="608" spans="1:26" ht="11.25" customHeight="1">
      <c r="A608" s="173"/>
      <c r="B608" s="207"/>
      <c r="C608" s="208"/>
      <c r="D608" s="244"/>
      <c r="E608" s="173"/>
      <c r="F608" s="173"/>
      <c r="G608" s="173"/>
      <c r="H608" s="173"/>
      <c r="I608" s="173"/>
      <c r="J608" s="173"/>
      <c r="K608" s="173"/>
      <c r="L608" s="173"/>
      <c r="M608" s="173"/>
      <c r="N608" s="173"/>
      <c r="O608" s="173"/>
      <c r="P608" s="173"/>
      <c r="Q608" s="173"/>
      <c r="R608" s="173"/>
      <c r="S608" s="173"/>
      <c r="T608" s="173"/>
      <c r="U608" s="173"/>
      <c r="V608" s="173"/>
      <c r="W608" s="173"/>
      <c r="X608" s="173"/>
      <c r="Y608" s="173"/>
      <c r="Z608" s="173"/>
    </row>
    <row r="609" spans="1:26" ht="11.25" customHeight="1">
      <c r="A609" s="173"/>
      <c r="B609" s="207"/>
      <c r="C609" s="208"/>
      <c r="D609" s="244"/>
      <c r="E609" s="173"/>
      <c r="F609" s="173"/>
      <c r="G609" s="173"/>
      <c r="H609" s="173"/>
      <c r="I609" s="173"/>
      <c r="J609" s="173"/>
      <c r="K609" s="173"/>
      <c r="L609" s="173"/>
      <c r="M609" s="173"/>
      <c r="N609" s="173"/>
      <c r="O609" s="173"/>
      <c r="P609" s="173"/>
      <c r="Q609" s="173"/>
      <c r="R609" s="173"/>
      <c r="S609" s="173"/>
      <c r="T609" s="173"/>
      <c r="U609" s="173"/>
      <c r="V609" s="173"/>
      <c r="W609" s="173"/>
      <c r="X609" s="173"/>
      <c r="Y609" s="173"/>
      <c r="Z609" s="173"/>
    </row>
    <row r="610" spans="1:26" ht="11.25" customHeight="1">
      <c r="A610" s="173"/>
      <c r="B610" s="207"/>
      <c r="C610" s="208"/>
      <c r="D610" s="244"/>
      <c r="E610" s="173"/>
      <c r="F610" s="173"/>
      <c r="G610" s="173"/>
      <c r="H610" s="173"/>
      <c r="I610" s="173"/>
      <c r="J610" s="173"/>
      <c r="K610" s="173"/>
      <c r="L610" s="173"/>
      <c r="M610" s="173"/>
      <c r="N610" s="173"/>
      <c r="O610" s="173"/>
      <c r="P610" s="173"/>
      <c r="Q610" s="173"/>
      <c r="R610" s="173"/>
      <c r="S610" s="173"/>
      <c r="T610" s="173"/>
      <c r="U610" s="173"/>
      <c r="V610" s="173"/>
      <c r="W610" s="173"/>
      <c r="X610" s="173"/>
      <c r="Y610" s="173"/>
      <c r="Z610" s="173"/>
    </row>
    <row r="611" spans="1:26" ht="11.25" customHeight="1">
      <c r="A611" s="173"/>
      <c r="B611" s="207"/>
      <c r="C611" s="208"/>
      <c r="D611" s="244"/>
      <c r="E611" s="173"/>
      <c r="F611" s="173"/>
      <c r="G611" s="173"/>
      <c r="H611" s="173"/>
      <c r="I611" s="173"/>
      <c r="J611" s="173"/>
      <c r="K611" s="173"/>
      <c r="L611" s="173"/>
      <c r="M611" s="173"/>
      <c r="N611" s="173"/>
      <c r="O611" s="173"/>
      <c r="P611" s="173"/>
      <c r="Q611" s="173"/>
      <c r="R611" s="173"/>
      <c r="S611" s="173"/>
      <c r="T611" s="173"/>
      <c r="U611" s="173"/>
      <c r="V611" s="173"/>
      <c r="W611" s="173"/>
      <c r="X611" s="173"/>
      <c r="Y611" s="173"/>
      <c r="Z611" s="173"/>
    </row>
    <row r="612" spans="1:26" ht="11.25" customHeight="1">
      <c r="A612" s="173"/>
      <c r="B612" s="207"/>
      <c r="C612" s="208"/>
      <c r="D612" s="244"/>
      <c r="E612" s="173"/>
      <c r="F612" s="173"/>
      <c r="G612" s="173"/>
      <c r="H612" s="173"/>
      <c r="I612" s="173"/>
      <c r="J612" s="173"/>
      <c r="K612" s="173"/>
      <c r="L612" s="173"/>
      <c r="M612" s="173"/>
      <c r="N612" s="173"/>
      <c r="O612" s="173"/>
      <c r="P612" s="173"/>
      <c r="Q612" s="173"/>
      <c r="R612" s="173"/>
      <c r="S612" s="173"/>
      <c r="T612" s="173"/>
      <c r="U612" s="173"/>
      <c r="V612" s="173"/>
      <c r="W612" s="173"/>
      <c r="X612" s="173"/>
      <c r="Y612" s="173"/>
      <c r="Z612" s="173"/>
    </row>
    <row r="613" spans="1:26" ht="11.25" customHeight="1">
      <c r="A613" s="173"/>
      <c r="B613" s="207"/>
      <c r="C613" s="208"/>
      <c r="D613" s="244"/>
      <c r="E613" s="173"/>
      <c r="F613" s="173"/>
      <c r="G613" s="173"/>
      <c r="H613" s="173"/>
      <c r="I613" s="173"/>
      <c r="J613" s="173"/>
      <c r="K613" s="173"/>
      <c r="L613" s="173"/>
      <c r="M613" s="173"/>
      <c r="N613" s="173"/>
      <c r="O613" s="173"/>
      <c r="P613" s="173"/>
      <c r="Q613" s="173"/>
      <c r="R613" s="173"/>
      <c r="S613" s="173"/>
      <c r="T613" s="173"/>
      <c r="U613" s="173"/>
      <c r="V613" s="173"/>
      <c r="W613" s="173"/>
      <c r="X613" s="173"/>
      <c r="Y613" s="173"/>
      <c r="Z613" s="173"/>
    </row>
    <row r="614" spans="1:26" ht="11.25" customHeight="1">
      <c r="A614" s="173"/>
      <c r="B614" s="207"/>
      <c r="C614" s="208"/>
      <c r="D614" s="244"/>
      <c r="E614" s="173"/>
      <c r="F614" s="173"/>
      <c r="G614" s="173"/>
      <c r="H614" s="173"/>
      <c r="I614" s="173"/>
      <c r="J614" s="173"/>
      <c r="K614" s="173"/>
      <c r="L614" s="173"/>
      <c r="M614" s="173"/>
      <c r="N614" s="173"/>
      <c r="O614" s="173"/>
      <c r="P614" s="173"/>
      <c r="Q614" s="173"/>
      <c r="R614" s="173"/>
      <c r="S614" s="173"/>
      <c r="T614" s="173"/>
      <c r="U614" s="173"/>
      <c r="V614" s="173"/>
      <c r="W614" s="173"/>
      <c r="X614" s="173"/>
      <c r="Y614" s="173"/>
      <c r="Z614" s="173"/>
    </row>
    <row r="615" spans="1:26" ht="11.25" customHeight="1">
      <c r="A615" s="173"/>
      <c r="B615" s="207"/>
      <c r="C615" s="208"/>
      <c r="D615" s="244"/>
      <c r="E615" s="173"/>
      <c r="F615" s="173"/>
      <c r="G615" s="173"/>
      <c r="H615" s="173"/>
      <c r="I615" s="173"/>
      <c r="J615" s="173"/>
      <c r="K615" s="173"/>
      <c r="L615" s="173"/>
      <c r="M615" s="173"/>
      <c r="N615" s="173"/>
      <c r="O615" s="173"/>
      <c r="P615" s="173"/>
      <c r="Q615" s="173"/>
      <c r="R615" s="173"/>
      <c r="S615" s="173"/>
      <c r="T615" s="173"/>
      <c r="U615" s="173"/>
      <c r="V615" s="173"/>
      <c r="W615" s="173"/>
      <c r="X615" s="173"/>
      <c r="Y615" s="173"/>
      <c r="Z615" s="173"/>
    </row>
    <row r="616" spans="1:26" ht="11.25" customHeight="1">
      <c r="A616" s="173"/>
      <c r="B616" s="207"/>
      <c r="C616" s="208"/>
      <c r="D616" s="244"/>
      <c r="E616" s="173"/>
      <c r="F616" s="173"/>
      <c r="G616" s="173"/>
      <c r="H616" s="173"/>
      <c r="I616" s="173"/>
      <c r="J616" s="173"/>
      <c r="K616" s="173"/>
      <c r="L616" s="173"/>
      <c r="M616" s="173"/>
      <c r="N616" s="173"/>
      <c r="O616" s="173"/>
      <c r="P616" s="173"/>
      <c r="Q616" s="173"/>
      <c r="R616" s="173"/>
      <c r="S616" s="173"/>
      <c r="T616" s="173"/>
      <c r="U616" s="173"/>
      <c r="V616" s="173"/>
      <c r="W616" s="173"/>
      <c r="X616" s="173"/>
      <c r="Y616" s="173"/>
      <c r="Z616" s="173"/>
    </row>
    <row r="617" spans="1:26" ht="11.25" customHeight="1">
      <c r="A617" s="173"/>
      <c r="B617" s="207"/>
      <c r="C617" s="208"/>
      <c r="D617" s="244"/>
      <c r="E617" s="173"/>
      <c r="F617" s="173"/>
      <c r="G617" s="173"/>
      <c r="H617" s="173"/>
      <c r="I617" s="173"/>
      <c r="J617" s="173"/>
      <c r="K617" s="173"/>
      <c r="L617" s="173"/>
      <c r="M617" s="173"/>
      <c r="N617" s="173"/>
      <c r="O617" s="173"/>
      <c r="P617" s="173"/>
      <c r="Q617" s="173"/>
      <c r="R617" s="173"/>
      <c r="S617" s="173"/>
      <c r="T617" s="173"/>
      <c r="U617" s="173"/>
      <c r="V617" s="173"/>
      <c r="W617" s="173"/>
      <c r="X617" s="173"/>
      <c r="Y617" s="173"/>
      <c r="Z617" s="173"/>
    </row>
    <row r="618" spans="1:26" ht="11.25" customHeight="1">
      <c r="A618" s="173"/>
      <c r="B618" s="207"/>
      <c r="C618" s="208"/>
      <c r="D618" s="244"/>
      <c r="E618" s="173"/>
      <c r="F618" s="173"/>
      <c r="G618" s="173"/>
      <c r="H618" s="173"/>
      <c r="I618" s="173"/>
      <c r="J618" s="173"/>
      <c r="K618" s="173"/>
      <c r="L618" s="173"/>
      <c r="M618" s="173"/>
      <c r="N618" s="173"/>
      <c r="O618" s="173"/>
      <c r="P618" s="173"/>
      <c r="Q618" s="173"/>
      <c r="R618" s="173"/>
      <c r="S618" s="173"/>
      <c r="T618" s="173"/>
      <c r="U618" s="173"/>
      <c r="V618" s="173"/>
      <c r="W618" s="173"/>
      <c r="X618" s="173"/>
      <c r="Y618" s="173"/>
      <c r="Z618" s="173"/>
    </row>
    <row r="619" spans="1:26" ht="11.25" customHeight="1">
      <c r="A619" s="173"/>
      <c r="B619" s="207"/>
      <c r="C619" s="208"/>
      <c r="D619" s="244"/>
      <c r="E619" s="173"/>
      <c r="F619" s="173"/>
      <c r="G619" s="173"/>
      <c r="H619" s="173"/>
      <c r="I619" s="173"/>
      <c r="J619" s="173"/>
      <c r="K619" s="173"/>
      <c r="L619" s="173"/>
      <c r="M619" s="173"/>
      <c r="N619" s="173"/>
      <c r="O619" s="173"/>
      <c r="P619" s="173"/>
      <c r="Q619" s="173"/>
      <c r="R619" s="173"/>
      <c r="S619" s="173"/>
      <c r="T619" s="173"/>
      <c r="U619" s="173"/>
      <c r="V619" s="173"/>
      <c r="W619" s="173"/>
      <c r="X619" s="173"/>
      <c r="Y619" s="173"/>
      <c r="Z619" s="173"/>
    </row>
    <row r="620" spans="1:26" ht="11.25" customHeight="1">
      <c r="A620" s="173"/>
      <c r="B620" s="207"/>
      <c r="C620" s="208"/>
      <c r="D620" s="244"/>
      <c r="E620" s="173"/>
      <c r="F620" s="173"/>
      <c r="G620" s="173"/>
      <c r="H620" s="173"/>
      <c r="I620" s="173"/>
      <c r="J620" s="173"/>
      <c r="K620" s="173"/>
      <c r="L620" s="173"/>
      <c r="M620" s="173"/>
      <c r="N620" s="173"/>
      <c r="O620" s="173"/>
      <c r="P620" s="173"/>
      <c r="Q620" s="173"/>
      <c r="R620" s="173"/>
      <c r="S620" s="173"/>
      <c r="T620" s="173"/>
      <c r="U620" s="173"/>
      <c r="V620" s="173"/>
      <c r="W620" s="173"/>
      <c r="X620" s="173"/>
      <c r="Y620" s="173"/>
      <c r="Z620" s="173"/>
    </row>
    <row r="621" spans="1:26" ht="11.25" customHeight="1">
      <c r="A621" s="173"/>
      <c r="B621" s="207"/>
      <c r="C621" s="208"/>
      <c r="D621" s="244"/>
      <c r="E621" s="173"/>
      <c r="F621" s="173"/>
      <c r="G621" s="173"/>
      <c r="H621" s="173"/>
      <c r="I621" s="173"/>
      <c r="J621" s="173"/>
      <c r="K621" s="173"/>
      <c r="L621" s="173"/>
      <c r="M621" s="173"/>
      <c r="N621" s="173"/>
      <c r="O621" s="173"/>
      <c r="P621" s="173"/>
      <c r="Q621" s="173"/>
      <c r="R621" s="173"/>
      <c r="S621" s="173"/>
      <c r="T621" s="173"/>
      <c r="U621" s="173"/>
      <c r="V621" s="173"/>
      <c r="W621" s="173"/>
      <c r="X621" s="173"/>
      <c r="Y621" s="173"/>
      <c r="Z621" s="173"/>
    </row>
    <row r="622" spans="1:26" ht="11.25" customHeight="1">
      <c r="A622" s="173"/>
      <c r="B622" s="207"/>
      <c r="C622" s="208"/>
      <c r="D622" s="244"/>
      <c r="E622" s="173"/>
      <c r="F622" s="173"/>
      <c r="G622" s="173"/>
      <c r="H622" s="173"/>
      <c r="I622" s="173"/>
      <c r="J622" s="173"/>
      <c r="K622" s="173"/>
      <c r="L622" s="173"/>
      <c r="M622" s="173"/>
      <c r="N622" s="173"/>
      <c r="O622" s="173"/>
      <c r="P622" s="173"/>
      <c r="Q622" s="173"/>
      <c r="R622" s="173"/>
      <c r="S622" s="173"/>
      <c r="T622" s="173"/>
      <c r="U622" s="173"/>
      <c r="V622" s="173"/>
      <c r="W622" s="173"/>
      <c r="X622" s="173"/>
      <c r="Y622" s="173"/>
      <c r="Z622" s="173"/>
    </row>
    <row r="623" spans="1:26" ht="11.25" customHeight="1">
      <c r="A623" s="173"/>
      <c r="B623" s="207"/>
      <c r="C623" s="208"/>
      <c r="D623" s="244"/>
      <c r="E623" s="173"/>
      <c r="F623" s="173"/>
      <c r="G623" s="173"/>
      <c r="H623" s="173"/>
      <c r="I623" s="173"/>
      <c r="J623" s="173"/>
      <c r="K623" s="173"/>
      <c r="L623" s="173"/>
      <c r="M623" s="173"/>
      <c r="N623" s="173"/>
      <c r="O623" s="173"/>
      <c r="P623" s="173"/>
      <c r="Q623" s="173"/>
      <c r="R623" s="173"/>
      <c r="S623" s="173"/>
      <c r="T623" s="173"/>
      <c r="U623" s="173"/>
      <c r="V623" s="173"/>
      <c r="W623" s="173"/>
      <c r="X623" s="173"/>
      <c r="Y623" s="173"/>
      <c r="Z623" s="173"/>
    </row>
    <row r="624" spans="1:26" ht="11.25" customHeight="1">
      <c r="A624" s="173"/>
      <c r="B624" s="207"/>
      <c r="C624" s="208"/>
      <c r="D624" s="244"/>
      <c r="E624" s="173"/>
      <c r="F624" s="173"/>
      <c r="G624" s="173"/>
      <c r="H624" s="173"/>
      <c r="I624" s="173"/>
      <c r="J624" s="173"/>
      <c r="K624" s="173"/>
      <c r="L624" s="173"/>
      <c r="M624" s="173"/>
      <c r="N624" s="173"/>
      <c r="O624" s="173"/>
      <c r="P624" s="173"/>
      <c r="Q624" s="173"/>
      <c r="R624" s="173"/>
      <c r="S624" s="173"/>
      <c r="T624" s="173"/>
      <c r="U624" s="173"/>
      <c r="V624" s="173"/>
      <c r="W624" s="173"/>
      <c r="X624" s="173"/>
      <c r="Y624" s="173"/>
      <c r="Z624" s="173"/>
    </row>
    <row r="625" spans="1:26" ht="11.25" customHeight="1">
      <c r="A625" s="173"/>
      <c r="B625" s="207"/>
      <c r="C625" s="208"/>
      <c r="D625" s="244"/>
      <c r="E625" s="173"/>
      <c r="F625" s="173"/>
      <c r="G625" s="173"/>
      <c r="H625" s="173"/>
      <c r="I625" s="173"/>
      <c r="J625" s="173"/>
      <c r="K625" s="173"/>
      <c r="L625" s="173"/>
      <c r="M625" s="173"/>
      <c r="N625" s="173"/>
      <c r="O625" s="173"/>
      <c r="P625" s="173"/>
      <c r="Q625" s="173"/>
      <c r="R625" s="173"/>
      <c r="S625" s="173"/>
      <c r="T625" s="173"/>
      <c r="U625" s="173"/>
      <c r="V625" s="173"/>
      <c r="W625" s="173"/>
      <c r="X625" s="173"/>
      <c r="Y625" s="173"/>
      <c r="Z625" s="173"/>
    </row>
    <row r="626" spans="1:26" ht="11.25" customHeight="1">
      <c r="A626" s="173"/>
      <c r="B626" s="207"/>
      <c r="C626" s="208"/>
      <c r="D626" s="244"/>
      <c r="E626" s="173"/>
      <c r="F626" s="173"/>
      <c r="G626" s="173"/>
      <c r="H626" s="173"/>
      <c r="I626" s="173"/>
      <c r="J626" s="173"/>
      <c r="K626" s="173"/>
      <c r="L626" s="173"/>
      <c r="M626" s="173"/>
      <c r="N626" s="173"/>
      <c r="O626" s="173"/>
      <c r="P626" s="173"/>
      <c r="Q626" s="173"/>
      <c r="R626" s="173"/>
      <c r="S626" s="173"/>
      <c r="T626" s="173"/>
      <c r="U626" s="173"/>
      <c r="V626" s="173"/>
      <c r="W626" s="173"/>
      <c r="X626" s="173"/>
      <c r="Y626" s="173"/>
      <c r="Z626" s="173"/>
    </row>
    <row r="627" spans="1:26" ht="11.25" customHeight="1">
      <c r="A627" s="173"/>
      <c r="B627" s="207"/>
      <c r="C627" s="208"/>
      <c r="D627" s="244"/>
      <c r="E627" s="173"/>
      <c r="F627" s="173"/>
      <c r="G627" s="173"/>
      <c r="H627" s="173"/>
      <c r="I627" s="173"/>
      <c r="J627" s="173"/>
      <c r="K627" s="173"/>
      <c r="L627" s="173"/>
      <c r="M627" s="173"/>
      <c r="N627" s="173"/>
      <c r="O627" s="173"/>
      <c r="P627" s="173"/>
      <c r="Q627" s="173"/>
      <c r="R627" s="173"/>
      <c r="S627" s="173"/>
      <c r="T627" s="173"/>
      <c r="U627" s="173"/>
      <c r="V627" s="173"/>
      <c r="W627" s="173"/>
      <c r="X627" s="173"/>
      <c r="Y627" s="173"/>
      <c r="Z627" s="173"/>
    </row>
    <row r="628" spans="1:26" ht="11.25" customHeight="1">
      <c r="A628" s="173"/>
      <c r="B628" s="207"/>
      <c r="C628" s="208"/>
      <c r="D628" s="244"/>
      <c r="E628" s="173"/>
      <c r="F628" s="173"/>
      <c r="G628" s="173"/>
      <c r="H628" s="173"/>
      <c r="I628" s="173"/>
      <c r="J628" s="173"/>
      <c r="K628" s="173"/>
      <c r="L628" s="173"/>
      <c r="M628" s="173"/>
      <c r="N628" s="173"/>
      <c r="O628" s="173"/>
      <c r="P628" s="173"/>
      <c r="Q628" s="173"/>
      <c r="R628" s="173"/>
      <c r="S628" s="173"/>
      <c r="T628" s="173"/>
      <c r="U628" s="173"/>
      <c r="V628" s="173"/>
      <c r="W628" s="173"/>
      <c r="X628" s="173"/>
      <c r="Y628" s="173"/>
      <c r="Z628" s="173"/>
    </row>
    <row r="629" spans="1:26" ht="11.25" customHeight="1">
      <c r="A629" s="173"/>
      <c r="B629" s="207"/>
      <c r="C629" s="208"/>
      <c r="D629" s="244"/>
      <c r="E629" s="173"/>
      <c r="F629" s="173"/>
      <c r="G629" s="173"/>
      <c r="H629" s="173"/>
      <c r="I629" s="173"/>
      <c r="J629" s="173"/>
      <c r="K629" s="173"/>
      <c r="L629" s="173"/>
      <c r="M629" s="173"/>
      <c r="N629" s="173"/>
      <c r="O629" s="173"/>
      <c r="P629" s="173"/>
      <c r="Q629" s="173"/>
      <c r="R629" s="173"/>
      <c r="S629" s="173"/>
      <c r="T629" s="173"/>
      <c r="U629" s="173"/>
      <c r="V629" s="173"/>
      <c r="W629" s="173"/>
      <c r="X629" s="173"/>
      <c r="Y629" s="173"/>
      <c r="Z629" s="173"/>
    </row>
    <row r="630" spans="1:26" ht="11.25" customHeight="1">
      <c r="A630" s="173"/>
      <c r="B630" s="207"/>
      <c r="C630" s="208"/>
      <c r="D630" s="244"/>
      <c r="E630" s="173"/>
      <c r="F630" s="173"/>
      <c r="G630" s="173"/>
      <c r="H630" s="173"/>
      <c r="I630" s="173"/>
      <c r="J630" s="173"/>
      <c r="K630" s="173"/>
      <c r="L630" s="173"/>
      <c r="M630" s="173"/>
      <c r="N630" s="173"/>
      <c r="O630" s="173"/>
      <c r="P630" s="173"/>
      <c r="Q630" s="173"/>
      <c r="R630" s="173"/>
      <c r="S630" s="173"/>
      <c r="T630" s="173"/>
      <c r="U630" s="173"/>
      <c r="V630" s="173"/>
      <c r="W630" s="173"/>
      <c r="X630" s="173"/>
      <c r="Y630" s="173"/>
      <c r="Z630" s="173"/>
    </row>
    <row r="631" spans="1:26" ht="11.25" customHeight="1">
      <c r="A631" s="173"/>
      <c r="B631" s="207"/>
      <c r="C631" s="208"/>
      <c r="D631" s="244"/>
      <c r="E631" s="173"/>
      <c r="F631" s="173"/>
      <c r="G631" s="173"/>
      <c r="H631" s="173"/>
      <c r="I631" s="173"/>
      <c r="J631" s="173"/>
      <c r="K631" s="173"/>
      <c r="L631" s="173"/>
      <c r="M631" s="173"/>
      <c r="N631" s="173"/>
      <c r="O631" s="173"/>
      <c r="P631" s="173"/>
      <c r="Q631" s="173"/>
      <c r="R631" s="173"/>
      <c r="S631" s="173"/>
      <c r="T631" s="173"/>
      <c r="U631" s="173"/>
      <c r="V631" s="173"/>
      <c r="W631" s="173"/>
      <c r="X631" s="173"/>
      <c r="Y631" s="173"/>
      <c r="Z631" s="173"/>
    </row>
    <row r="632" spans="1:26" ht="11.25" customHeight="1">
      <c r="A632" s="173"/>
      <c r="B632" s="207"/>
      <c r="C632" s="208"/>
      <c r="D632" s="244"/>
      <c r="E632" s="173"/>
      <c r="F632" s="173"/>
      <c r="G632" s="173"/>
      <c r="H632" s="173"/>
      <c r="I632" s="173"/>
      <c r="J632" s="173"/>
      <c r="K632" s="173"/>
      <c r="L632" s="173"/>
      <c r="M632" s="173"/>
      <c r="N632" s="173"/>
      <c r="O632" s="173"/>
      <c r="P632" s="173"/>
      <c r="Q632" s="173"/>
      <c r="R632" s="173"/>
      <c r="S632" s="173"/>
      <c r="T632" s="173"/>
      <c r="U632" s="173"/>
      <c r="V632" s="173"/>
      <c r="W632" s="173"/>
      <c r="X632" s="173"/>
      <c r="Y632" s="173"/>
      <c r="Z632" s="173"/>
    </row>
    <row r="633" spans="1:26" ht="11.25" customHeight="1">
      <c r="A633" s="173"/>
      <c r="B633" s="207"/>
      <c r="C633" s="208"/>
      <c r="D633" s="244"/>
      <c r="E633" s="173"/>
      <c r="F633" s="173"/>
      <c r="G633" s="173"/>
      <c r="H633" s="173"/>
      <c r="I633" s="173"/>
      <c r="J633" s="173"/>
      <c r="K633" s="173"/>
      <c r="L633" s="173"/>
      <c r="M633" s="173"/>
      <c r="N633" s="173"/>
      <c r="O633" s="173"/>
      <c r="P633" s="173"/>
      <c r="Q633" s="173"/>
      <c r="R633" s="173"/>
      <c r="S633" s="173"/>
      <c r="T633" s="173"/>
      <c r="U633" s="173"/>
      <c r="V633" s="173"/>
      <c r="W633" s="173"/>
      <c r="X633" s="173"/>
      <c r="Y633" s="173"/>
      <c r="Z633" s="173"/>
    </row>
    <row r="634" spans="1:26" ht="11.25" customHeight="1">
      <c r="A634" s="173"/>
      <c r="B634" s="207"/>
      <c r="C634" s="208"/>
      <c r="D634" s="244"/>
      <c r="E634" s="173"/>
      <c r="F634" s="173"/>
      <c r="G634" s="173"/>
      <c r="H634" s="173"/>
      <c r="I634" s="173"/>
      <c r="J634" s="173"/>
      <c r="K634" s="173"/>
      <c r="L634" s="173"/>
      <c r="M634" s="173"/>
      <c r="N634" s="173"/>
      <c r="O634" s="173"/>
      <c r="P634" s="173"/>
      <c r="Q634" s="173"/>
      <c r="R634" s="173"/>
      <c r="S634" s="173"/>
      <c r="T634" s="173"/>
      <c r="U634" s="173"/>
      <c r="V634" s="173"/>
      <c r="W634" s="173"/>
      <c r="X634" s="173"/>
      <c r="Y634" s="173"/>
      <c r="Z634" s="173"/>
    </row>
    <row r="635" spans="1:26" ht="11.25" customHeight="1">
      <c r="A635" s="173"/>
      <c r="B635" s="207"/>
      <c r="C635" s="208"/>
      <c r="D635" s="244"/>
      <c r="E635" s="173"/>
      <c r="F635" s="173"/>
      <c r="G635" s="173"/>
      <c r="H635" s="173"/>
      <c r="I635" s="173"/>
      <c r="J635" s="173"/>
      <c r="K635" s="173"/>
      <c r="L635" s="173"/>
      <c r="M635" s="173"/>
      <c r="N635" s="173"/>
      <c r="O635" s="173"/>
      <c r="P635" s="173"/>
      <c r="Q635" s="173"/>
      <c r="R635" s="173"/>
      <c r="S635" s="173"/>
      <c r="T635" s="173"/>
      <c r="U635" s="173"/>
      <c r="V635" s="173"/>
      <c r="W635" s="173"/>
      <c r="X635" s="173"/>
      <c r="Y635" s="173"/>
      <c r="Z635" s="173"/>
    </row>
    <row r="636" spans="1:26" ht="11.25" customHeight="1">
      <c r="A636" s="173"/>
      <c r="B636" s="207"/>
      <c r="C636" s="208"/>
      <c r="D636" s="244"/>
      <c r="E636" s="173"/>
      <c r="F636" s="173"/>
      <c r="G636" s="173"/>
      <c r="H636" s="173"/>
      <c r="I636" s="173"/>
      <c r="J636" s="173"/>
      <c r="K636" s="173"/>
      <c r="L636" s="173"/>
      <c r="M636" s="173"/>
      <c r="N636" s="173"/>
      <c r="O636" s="173"/>
      <c r="P636" s="173"/>
      <c r="Q636" s="173"/>
      <c r="R636" s="173"/>
      <c r="S636" s="173"/>
      <c r="T636" s="173"/>
      <c r="U636" s="173"/>
      <c r="V636" s="173"/>
      <c r="W636" s="173"/>
      <c r="X636" s="173"/>
      <c r="Y636" s="173"/>
      <c r="Z636" s="173"/>
    </row>
    <row r="637" spans="1:26" ht="11.25" customHeight="1">
      <c r="A637" s="173"/>
      <c r="B637" s="207"/>
      <c r="C637" s="208"/>
      <c r="D637" s="244"/>
      <c r="E637" s="173"/>
      <c r="F637" s="173"/>
      <c r="G637" s="173"/>
      <c r="H637" s="173"/>
      <c r="I637" s="173"/>
      <c r="J637" s="173"/>
      <c r="K637" s="173"/>
      <c r="L637" s="173"/>
      <c r="M637" s="173"/>
      <c r="N637" s="173"/>
      <c r="O637" s="173"/>
      <c r="P637" s="173"/>
      <c r="Q637" s="173"/>
      <c r="R637" s="173"/>
      <c r="S637" s="173"/>
      <c r="T637" s="173"/>
      <c r="U637" s="173"/>
      <c r="V637" s="173"/>
      <c r="W637" s="173"/>
      <c r="X637" s="173"/>
      <c r="Y637" s="173"/>
      <c r="Z637" s="173"/>
    </row>
    <row r="638" spans="1:26" ht="11.25" customHeight="1">
      <c r="A638" s="173"/>
      <c r="B638" s="207"/>
      <c r="C638" s="208"/>
      <c r="D638" s="244"/>
      <c r="E638" s="173"/>
      <c r="F638" s="173"/>
      <c r="G638" s="173"/>
      <c r="H638" s="173"/>
      <c r="I638" s="173"/>
      <c r="J638" s="173"/>
      <c r="K638" s="173"/>
      <c r="L638" s="173"/>
      <c r="M638" s="173"/>
      <c r="N638" s="173"/>
      <c r="O638" s="173"/>
      <c r="P638" s="173"/>
      <c r="Q638" s="173"/>
      <c r="R638" s="173"/>
      <c r="S638" s="173"/>
      <c r="T638" s="173"/>
      <c r="U638" s="173"/>
      <c r="V638" s="173"/>
      <c r="W638" s="173"/>
      <c r="X638" s="173"/>
      <c r="Y638" s="173"/>
      <c r="Z638" s="173"/>
    </row>
    <row r="639" spans="1:26" ht="11.25" customHeight="1">
      <c r="A639" s="173"/>
      <c r="B639" s="207"/>
      <c r="C639" s="208"/>
      <c r="D639" s="244"/>
      <c r="E639" s="173"/>
      <c r="F639" s="173"/>
      <c r="G639" s="173"/>
      <c r="H639" s="173"/>
      <c r="I639" s="173"/>
      <c r="J639" s="173"/>
      <c r="K639" s="173"/>
      <c r="L639" s="173"/>
      <c r="M639" s="173"/>
      <c r="N639" s="173"/>
      <c r="O639" s="173"/>
      <c r="P639" s="173"/>
      <c r="Q639" s="173"/>
      <c r="R639" s="173"/>
      <c r="S639" s="173"/>
      <c r="T639" s="173"/>
      <c r="U639" s="173"/>
      <c r="V639" s="173"/>
      <c r="W639" s="173"/>
      <c r="X639" s="173"/>
      <c r="Y639" s="173"/>
      <c r="Z639" s="173"/>
    </row>
    <row r="640" spans="1:26" ht="11.25" customHeight="1">
      <c r="A640" s="173"/>
      <c r="B640" s="207"/>
      <c r="C640" s="208"/>
      <c r="D640" s="244"/>
      <c r="E640" s="173"/>
      <c r="F640" s="173"/>
      <c r="G640" s="173"/>
      <c r="H640" s="173"/>
      <c r="I640" s="173"/>
      <c r="J640" s="173"/>
      <c r="K640" s="173"/>
      <c r="L640" s="173"/>
      <c r="M640" s="173"/>
      <c r="N640" s="173"/>
      <c r="O640" s="173"/>
      <c r="P640" s="173"/>
      <c r="Q640" s="173"/>
      <c r="R640" s="173"/>
      <c r="S640" s="173"/>
      <c r="T640" s="173"/>
      <c r="U640" s="173"/>
      <c r="V640" s="173"/>
      <c r="W640" s="173"/>
      <c r="X640" s="173"/>
      <c r="Y640" s="173"/>
      <c r="Z640" s="173"/>
    </row>
    <row r="641" spans="1:26" ht="11.25" customHeight="1">
      <c r="A641" s="173"/>
      <c r="B641" s="207"/>
      <c r="C641" s="208"/>
      <c r="D641" s="244"/>
      <c r="E641" s="173"/>
      <c r="F641" s="173"/>
      <c r="G641" s="173"/>
      <c r="H641" s="173"/>
      <c r="I641" s="173"/>
      <c r="J641" s="173"/>
      <c r="K641" s="173"/>
      <c r="L641" s="173"/>
      <c r="M641" s="173"/>
      <c r="N641" s="173"/>
      <c r="O641" s="173"/>
      <c r="P641" s="173"/>
      <c r="Q641" s="173"/>
      <c r="R641" s="173"/>
      <c r="S641" s="173"/>
      <c r="T641" s="173"/>
      <c r="U641" s="173"/>
      <c r="V641" s="173"/>
      <c r="W641" s="173"/>
      <c r="X641" s="173"/>
      <c r="Y641" s="173"/>
      <c r="Z641" s="173"/>
    </row>
    <row r="642" spans="1:26" ht="11.25" customHeight="1">
      <c r="A642" s="173"/>
      <c r="B642" s="207"/>
      <c r="C642" s="208"/>
      <c r="D642" s="244"/>
      <c r="E642" s="173"/>
      <c r="F642" s="173"/>
      <c r="G642" s="173"/>
      <c r="H642" s="173"/>
      <c r="I642" s="173"/>
      <c r="J642" s="173"/>
      <c r="K642" s="173"/>
      <c r="L642" s="173"/>
      <c r="M642" s="173"/>
      <c r="N642" s="173"/>
      <c r="O642" s="173"/>
      <c r="P642" s="173"/>
      <c r="Q642" s="173"/>
      <c r="R642" s="173"/>
      <c r="S642" s="173"/>
      <c r="T642" s="173"/>
      <c r="U642" s="173"/>
      <c r="V642" s="173"/>
      <c r="W642" s="173"/>
      <c r="X642" s="173"/>
      <c r="Y642" s="173"/>
      <c r="Z642" s="173"/>
    </row>
    <row r="643" spans="1:26" ht="11.25" customHeight="1">
      <c r="A643" s="173"/>
      <c r="B643" s="207"/>
      <c r="C643" s="208"/>
      <c r="D643" s="244"/>
      <c r="E643" s="173"/>
      <c r="F643" s="173"/>
      <c r="G643" s="173"/>
      <c r="H643" s="173"/>
      <c r="I643" s="173"/>
      <c r="J643" s="173"/>
      <c r="K643" s="173"/>
      <c r="L643" s="173"/>
      <c r="M643" s="173"/>
      <c r="N643" s="173"/>
      <c r="O643" s="173"/>
      <c r="P643" s="173"/>
      <c r="Q643" s="173"/>
      <c r="R643" s="173"/>
      <c r="S643" s="173"/>
      <c r="T643" s="173"/>
      <c r="U643" s="173"/>
      <c r="V643" s="173"/>
      <c r="W643" s="173"/>
      <c r="X643" s="173"/>
      <c r="Y643" s="173"/>
      <c r="Z643" s="173"/>
    </row>
    <row r="644" spans="1:26" ht="11.25" customHeight="1">
      <c r="A644" s="173"/>
      <c r="B644" s="207"/>
      <c r="C644" s="208"/>
      <c r="D644" s="244"/>
      <c r="E644" s="173"/>
      <c r="F644" s="173"/>
      <c r="G644" s="173"/>
      <c r="H644" s="173"/>
      <c r="I644" s="173"/>
      <c r="J644" s="173"/>
      <c r="K644" s="173"/>
      <c r="L644" s="173"/>
      <c r="M644" s="173"/>
      <c r="N644" s="173"/>
      <c r="O644" s="173"/>
      <c r="P644" s="173"/>
      <c r="Q644" s="173"/>
      <c r="R644" s="173"/>
      <c r="S644" s="173"/>
      <c r="T644" s="173"/>
      <c r="U644" s="173"/>
      <c r="V644" s="173"/>
      <c r="W644" s="173"/>
      <c r="X644" s="173"/>
      <c r="Y644" s="173"/>
      <c r="Z644" s="173"/>
    </row>
    <row r="645" spans="1:26" ht="11.25" customHeight="1">
      <c r="A645" s="173"/>
      <c r="B645" s="207"/>
      <c r="C645" s="208"/>
      <c r="D645" s="244"/>
      <c r="E645" s="173"/>
      <c r="F645" s="173"/>
      <c r="G645" s="173"/>
      <c r="H645" s="173"/>
      <c r="I645" s="173"/>
      <c r="J645" s="173"/>
      <c r="K645" s="173"/>
      <c r="L645" s="173"/>
      <c r="M645" s="173"/>
      <c r="N645" s="173"/>
      <c r="O645" s="173"/>
      <c r="P645" s="173"/>
      <c r="Q645" s="173"/>
      <c r="R645" s="173"/>
      <c r="S645" s="173"/>
      <c r="T645" s="173"/>
      <c r="U645" s="173"/>
      <c r="V645" s="173"/>
      <c r="W645" s="173"/>
      <c r="X645" s="173"/>
      <c r="Y645" s="173"/>
      <c r="Z645" s="173"/>
    </row>
    <row r="646" spans="1:26" ht="11.25" customHeight="1">
      <c r="A646" s="173"/>
      <c r="B646" s="207"/>
      <c r="C646" s="208"/>
      <c r="D646" s="244"/>
      <c r="E646" s="173"/>
      <c r="F646" s="173"/>
      <c r="G646" s="173"/>
      <c r="H646" s="173"/>
      <c r="I646" s="173"/>
      <c r="J646" s="173"/>
      <c r="K646" s="173"/>
      <c r="L646" s="173"/>
      <c r="M646" s="173"/>
      <c r="N646" s="173"/>
      <c r="O646" s="173"/>
      <c r="P646" s="173"/>
      <c r="Q646" s="173"/>
      <c r="R646" s="173"/>
      <c r="S646" s="173"/>
      <c r="T646" s="173"/>
      <c r="U646" s="173"/>
      <c r="V646" s="173"/>
      <c r="W646" s="173"/>
      <c r="X646" s="173"/>
      <c r="Y646" s="173"/>
      <c r="Z646" s="173"/>
    </row>
    <row r="647" spans="1:26" ht="11.25" customHeight="1">
      <c r="A647" s="173"/>
      <c r="B647" s="207"/>
      <c r="C647" s="208"/>
      <c r="D647" s="244"/>
      <c r="E647" s="173"/>
      <c r="F647" s="173"/>
      <c r="G647" s="173"/>
      <c r="H647" s="173"/>
      <c r="I647" s="173"/>
      <c r="J647" s="173"/>
      <c r="K647" s="173"/>
      <c r="L647" s="173"/>
      <c r="M647" s="173"/>
      <c r="N647" s="173"/>
      <c r="O647" s="173"/>
      <c r="P647" s="173"/>
      <c r="Q647" s="173"/>
      <c r="R647" s="173"/>
      <c r="S647" s="173"/>
      <c r="T647" s="173"/>
      <c r="U647" s="173"/>
      <c r="V647" s="173"/>
      <c r="W647" s="173"/>
      <c r="X647" s="173"/>
      <c r="Y647" s="173"/>
      <c r="Z647" s="173"/>
    </row>
    <row r="648" spans="1:26" ht="11.25" customHeight="1">
      <c r="A648" s="173"/>
      <c r="B648" s="207"/>
      <c r="C648" s="208"/>
      <c r="D648" s="244"/>
      <c r="E648" s="173"/>
      <c r="F648" s="173"/>
      <c r="G648" s="173"/>
      <c r="H648" s="173"/>
      <c r="I648" s="173"/>
      <c r="J648" s="173"/>
      <c r="K648" s="173"/>
      <c r="L648" s="173"/>
      <c r="M648" s="173"/>
      <c r="N648" s="173"/>
      <c r="O648" s="173"/>
      <c r="P648" s="173"/>
      <c r="Q648" s="173"/>
      <c r="R648" s="173"/>
      <c r="S648" s="173"/>
      <c r="T648" s="173"/>
      <c r="U648" s="173"/>
      <c r="V648" s="173"/>
      <c r="W648" s="173"/>
      <c r="X648" s="173"/>
      <c r="Y648" s="173"/>
      <c r="Z648" s="173"/>
    </row>
    <row r="649" spans="1:26" ht="11.25" customHeight="1">
      <c r="A649" s="173"/>
      <c r="B649" s="207"/>
      <c r="C649" s="208"/>
      <c r="D649" s="244"/>
      <c r="E649" s="173"/>
      <c r="F649" s="173"/>
      <c r="G649" s="173"/>
      <c r="H649" s="173"/>
      <c r="I649" s="173"/>
      <c r="J649" s="173"/>
      <c r="K649" s="173"/>
      <c r="L649" s="173"/>
      <c r="M649" s="173"/>
      <c r="N649" s="173"/>
      <c r="O649" s="173"/>
      <c r="P649" s="173"/>
      <c r="Q649" s="173"/>
      <c r="R649" s="173"/>
      <c r="S649" s="173"/>
      <c r="T649" s="173"/>
      <c r="U649" s="173"/>
      <c r="V649" s="173"/>
      <c r="W649" s="173"/>
      <c r="X649" s="173"/>
      <c r="Y649" s="173"/>
      <c r="Z649" s="173"/>
    </row>
    <row r="650" spans="1:26" ht="11.25" customHeight="1">
      <c r="A650" s="173"/>
      <c r="B650" s="207"/>
      <c r="C650" s="208"/>
      <c r="D650" s="244"/>
      <c r="E650" s="173"/>
      <c r="F650" s="173"/>
      <c r="G650" s="173"/>
      <c r="H650" s="173"/>
      <c r="I650" s="173"/>
      <c r="J650" s="173"/>
      <c r="K650" s="173"/>
      <c r="L650" s="173"/>
      <c r="M650" s="173"/>
      <c r="N650" s="173"/>
      <c r="O650" s="173"/>
      <c r="P650" s="173"/>
      <c r="Q650" s="173"/>
      <c r="R650" s="173"/>
      <c r="S650" s="173"/>
      <c r="T650" s="173"/>
      <c r="U650" s="173"/>
      <c r="V650" s="173"/>
      <c r="W650" s="173"/>
      <c r="X650" s="173"/>
      <c r="Y650" s="173"/>
      <c r="Z650" s="173"/>
    </row>
    <row r="651" spans="1:26" ht="11.25" customHeight="1">
      <c r="A651" s="173"/>
      <c r="B651" s="207"/>
      <c r="C651" s="208"/>
      <c r="D651" s="244"/>
      <c r="E651" s="173"/>
      <c r="F651" s="173"/>
      <c r="G651" s="173"/>
      <c r="H651" s="173"/>
      <c r="I651" s="173"/>
      <c r="J651" s="173"/>
      <c r="K651" s="173"/>
      <c r="L651" s="173"/>
      <c r="M651" s="173"/>
      <c r="N651" s="173"/>
      <c r="O651" s="173"/>
      <c r="P651" s="173"/>
      <c r="Q651" s="173"/>
      <c r="R651" s="173"/>
      <c r="S651" s="173"/>
      <c r="T651" s="173"/>
      <c r="U651" s="173"/>
      <c r="V651" s="173"/>
      <c r="W651" s="173"/>
      <c r="X651" s="173"/>
      <c r="Y651" s="173"/>
      <c r="Z651" s="173"/>
    </row>
    <row r="652" spans="1:26" ht="11.25" customHeight="1">
      <c r="A652" s="173"/>
      <c r="B652" s="207"/>
      <c r="C652" s="208"/>
      <c r="D652" s="244"/>
      <c r="E652" s="173"/>
      <c r="F652" s="173"/>
      <c r="G652" s="173"/>
      <c r="H652" s="173"/>
      <c r="I652" s="173"/>
      <c r="J652" s="173"/>
      <c r="K652" s="173"/>
      <c r="L652" s="173"/>
      <c r="M652" s="173"/>
      <c r="N652" s="173"/>
      <c r="O652" s="173"/>
      <c r="P652" s="173"/>
      <c r="Q652" s="173"/>
      <c r="R652" s="173"/>
      <c r="S652" s="173"/>
      <c r="T652" s="173"/>
      <c r="U652" s="173"/>
      <c r="V652" s="173"/>
      <c r="W652" s="173"/>
      <c r="X652" s="173"/>
      <c r="Y652" s="173"/>
      <c r="Z652" s="173"/>
    </row>
    <row r="653" spans="1:26" ht="11.25" customHeight="1">
      <c r="A653" s="173"/>
      <c r="B653" s="207"/>
      <c r="C653" s="208"/>
      <c r="D653" s="244"/>
      <c r="E653" s="173"/>
      <c r="F653" s="173"/>
      <c r="G653" s="173"/>
      <c r="H653" s="173"/>
      <c r="I653" s="173"/>
      <c r="J653" s="173"/>
      <c r="K653" s="173"/>
      <c r="L653" s="173"/>
      <c r="M653" s="173"/>
      <c r="N653" s="173"/>
      <c r="O653" s="173"/>
      <c r="P653" s="173"/>
      <c r="Q653" s="173"/>
      <c r="R653" s="173"/>
      <c r="S653" s="173"/>
      <c r="T653" s="173"/>
      <c r="U653" s="173"/>
      <c r="V653" s="173"/>
      <c r="W653" s="173"/>
      <c r="X653" s="173"/>
      <c r="Y653" s="173"/>
      <c r="Z653" s="173"/>
    </row>
    <row r="654" spans="1:26" ht="11.25" customHeight="1">
      <c r="A654" s="173"/>
      <c r="B654" s="207"/>
      <c r="C654" s="208"/>
      <c r="D654" s="244"/>
      <c r="E654" s="173"/>
      <c r="F654" s="173"/>
      <c r="G654" s="173"/>
      <c r="H654" s="173"/>
      <c r="I654" s="173"/>
      <c r="J654" s="173"/>
      <c r="K654" s="173"/>
      <c r="L654" s="173"/>
      <c r="M654" s="173"/>
      <c r="N654" s="173"/>
      <c r="O654" s="173"/>
      <c r="P654" s="173"/>
      <c r="Q654" s="173"/>
      <c r="R654" s="173"/>
      <c r="S654" s="173"/>
      <c r="T654" s="173"/>
      <c r="U654" s="173"/>
      <c r="V654" s="173"/>
      <c r="W654" s="173"/>
      <c r="X654" s="173"/>
      <c r="Y654" s="173"/>
      <c r="Z654" s="173"/>
    </row>
    <row r="655" spans="1:26" ht="11.25" customHeight="1">
      <c r="A655" s="173"/>
      <c r="B655" s="207"/>
      <c r="C655" s="208"/>
      <c r="D655" s="244"/>
      <c r="E655" s="173"/>
      <c r="F655" s="173"/>
      <c r="G655" s="173"/>
      <c r="H655" s="173"/>
      <c r="I655" s="173"/>
      <c r="J655" s="173"/>
      <c r="K655" s="173"/>
      <c r="L655" s="173"/>
      <c r="M655" s="173"/>
      <c r="N655" s="173"/>
      <c r="O655" s="173"/>
      <c r="P655" s="173"/>
      <c r="Q655" s="173"/>
      <c r="R655" s="173"/>
      <c r="S655" s="173"/>
      <c r="T655" s="173"/>
      <c r="U655" s="173"/>
      <c r="V655" s="173"/>
      <c r="W655" s="173"/>
      <c r="X655" s="173"/>
      <c r="Y655" s="173"/>
      <c r="Z655" s="173"/>
    </row>
    <row r="656" spans="1:26" ht="11.25" customHeight="1">
      <c r="A656" s="173"/>
      <c r="B656" s="207"/>
      <c r="C656" s="208"/>
      <c r="D656" s="244"/>
      <c r="E656" s="173"/>
      <c r="F656" s="173"/>
      <c r="G656" s="173"/>
      <c r="H656" s="173"/>
      <c r="I656" s="173"/>
      <c r="J656" s="173"/>
      <c r="K656" s="173"/>
      <c r="L656" s="173"/>
      <c r="M656" s="173"/>
      <c r="N656" s="173"/>
      <c r="O656" s="173"/>
      <c r="P656" s="173"/>
      <c r="Q656" s="173"/>
      <c r="R656" s="173"/>
      <c r="S656" s="173"/>
      <c r="T656" s="173"/>
      <c r="U656" s="173"/>
      <c r="V656" s="173"/>
      <c r="W656" s="173"/>
      <c r="X656" s="173"/>
      <c r="Y656" s="173"/>
      <c r="Z656" s="173"/>
    </row>
    <row r="657" spans="1:26" ht="11.25" customHeight="1">
      <c r="A657" s="173"/>
      <c r="B657" s="207"/>
      <c r="C657" s="208"/>
      <c r="D657" s="244"/>
      <c r="E657" s="173"/>
      <c r="F657" s="173"/>
      <c r="G657" s="173"/>
      <c r="H657" s="173"/>
      <c r="I657" s="173"/>
      <c r="J657" s="173"/>
      <c r="K657" s="173"/>
      <c r="L657" s="173"/>
      <c r="M657" s="173"/>
      <c r="N657" s="173"/>
      <c r="O657" s="173"/>
      <c r="P657" s="173"/>
      <c r="Q657" s="173"/>
      <c r="R657" s="173"/>
      <c r="S657" s="173"/>
      <c r="T657" s="173"/>
      <c r="U657" s="173"/>
      <c r="V657" s="173"/>
      <c r="W657" s="173"/>
      <c r="X657" s="173"/>
      <c r="Y657" s="173"/>
      <c r="Z657" s="173"/>
    </row>
    <row r="658" spans="1:26" ht="11.25" customHeight="1">
      <c r="A658" s="173"/>
      <c r="B658" s="207"/>
      <c r="C658" s="208"/>
      <c r="D658" s="244"/>
      <c r="E658" s="173"/>
      <c r="F658" s="173"/>
      <c r="G658" s="173"/>
      <c r="H658" s="173"/>
      <c r="I658" s="173"/>
      <c r="J658" s="173"/>
      <c r="K658" s="173"/>
      <c r="L658" s="173"/>
      <c r="M658" s="173"/>
      <c r="N658" s="173"/>
      <c r="O658" s="173"/>
      <c r="P658" s="173"/>
      <c r="Q658" s="173"/>
      <c r="R658" s="173"/>
      <c r="S658" s="173"/>
      <c r="T658" s="173"/>
      <c r="U658" s="173"/>
      <c r="V658" s="173"/>
      <c r="W658" s="173"/>
      <c r="X658" s="173"/>
      <c r="Y658" s="173"/>
      <c r="Z658" s="173"/>
    </row>
    <row r="659" spans="1:26" ht="11.25" customHeight="1">
      <c r="A659" s="173"/>
      <c r="B659" s="207"/>
      <c r="C659" s="208"/>
      <c r="D659" s="244"/>
      <c r="E659" s="173"/>
      <c r="F659" s="173"/>
      <c r="G659" s="173"/>
      <c r="H659" s="173"/>
      <c r="I659" s="173"/>
      <c r="J659" s="173"/>
      <c r="K659" s="173"/>
      <c r="L659" s="173"/>
      <c r="M659" s="173"/>
      <c r="N659" s="173"/>
      <c r="O659" s="173"/>
      <c r="P659" s="173"/>
      <c r="Q659" s="173"/>
      <c r="R659" s="173"/>
      <c r="S659" s="173"/>
      <c r="T659" s="173"/>
      <c r="U659" s="173"/>
      <c r="V659" s="173"/>
      <c r="W659" s="173"/>
      <c r="X659" s="173"/>
      <c r="Y659" s="173"/>
      <c r="Z659" s="173"/>
    </row>
    <row r="660" spans="1:26" ht="11.25" customHeight="1">
      <c r="A660" s="173"/>
      <c r="B660" s="207"/>
      <c r="C660" s="208"/>
      <c r="D660" s="244"/>
      <c r="E660" s="173"/>
      <c r="F660" s="173"/>
      <c r="G660" s="173"/>
      <c r="H660" s="173"/>
      <c r="I660" s="173"/>
      <c r="J660" s="173"/>
      <c r="K660" s="173"/>
      <c r="L660" s="173"/>
      <c r="M660" s="173"/>
      <c r="N660" s="173"/>
      <c r="O660" s="173"/>
      <c r="P660" s="173"/>
      <c r="Q660" s="173"/>
      <c r="R660" s="173"/>
      <c r="S660" s="173"/>
      <c r="T660" s="173"/>
      <c r="U660" s="173"/>
      <c r="V660" s="173"/>
      <c r="W660" s="173"/>
      <c r="X660" s="173"/>
      <c r="Y660" s="173"/>
      <c r="Z660" s="173"/>
    </row>
    <row r="661" spans="1:26" ht="11.25" customHeight="1">
      <c r="A661" s="173"/>
      <c r="B661" s="207"/>
      <c r="C661" s="208"/>
      <c r="D661" s="244"/>
      <c r="E661" s="173"/>
      <c r="F661" s="173"/>
      <c r="G661" s="173"/>
      <c r="H661" s="173"/>
      <c r="I661" s="173"/>
      <c r="J661" s="173"/>
      <c r="K661" s="173"/>
      <c r="L661" s="173"/>
      <c r="M661" s="173"/>
      <c r="N661" s="173"/>
      <c r="O661" s="173"/>
      <c r="P661" s="173"/>
      <c r="Q661" s="173"/>
      <c r="R661" s="173"/>
      <c r="S661" s="173"/>
      <c r="T661" s="173"/>
      <c r="U661" s="173"/>
      <c r="V661" s="173"/>
      <c r="W661" s="173"/>
      <c r="X661" s="173"/>
      <c r="Y661" s="173"/>
      <c r="Z661" s="173"/>
    </row>
    <row r="662" spans="1:26" ht="11.25" customHeight="1">
      <c r="A662" s="173"/>
      <c r="B662" s="207"/>
      <c r="C662" s="208"/>
      <c r="D662" s="244"/>
      <c r="E662" s="173"/>
      <c r="F662" s="173"/>
      <c r="G662" s="173"/>
      <c r="H662" s="173"/>
      <c r="I662" s="173"/>
      <c r="J662" s="173"/>
      <c r="K662" s="173"/>
      <c r="L662" s="173"/>
      <c r="M662" s="173"/>
      <c r="N662" s="173"/>
      <c r="O662" s="173"/>
      <c r="P662" s="173"/>
      <c r="Q662" s="173"/>
      <c r="R662" s="173"/>
      <c r="S662" s="173"/>
      <c r="T662" s="173"/>
      <c r="U662" s="173"/>
      <c r="V662" s="173"/>
      <c r="W662" s="173"/>
      <c r="X662" s="173"/>
      <c r="Y662" s="173"/>
      <c r="Z662" s="173"/>
    </row>
    <row r="663" spans="1:26" ht="11.25" customHeight="1">
      <c r="A663" s="173"/>
      <c r="B663" s="207"/>
      <c r="C663" s="208"/>
      <c r="D663" s="244"/>
      <c r="E663" s="173"/>
      <c r="F663" s="173"/>
      <c r="G663" s="173"/>
      <c r="H663" s="173"/>
      <c r="I663" s="173"/>
      <c r="J663" s="173"/>
      <c r="K663" s="173"/>
      <c r="L663" s="173"/>
      <c r="M663" s="173"/>
      <c r="N663" s="173"/>
      <c r="O663" s="173"/>
      <c r="P663" s="173"/>
      <c r="Q663" s="173"/>
      <c r="R663" s="173"/>
      <c r="S663" s="173"/>
      <c r="T663" s="173"/>
      <c r="U663" s="173"/>
      <c r="V663" s="173"/>
      <c r="W663" s="173"/>
      <c r="X663" s="173"/>
      <c r="Y663" s="173"/>
      <c r="Z663" s="173"/>
    </row>
    <row r="664" spans="1:26" ht="11.25" customHeight="1">
      <c r="A664" s="173"/>
      <c r="B664" s="207"/>
      <c r="C664" s="208"/>
      <c r="D664" s="244"/>
      <c r="E664" s="173"/>
      <c r="F664" s="173"/>
      <c r="G664" s="173"/>
      <c r="H664" s="173"/>
      <c r="I664" s="173"/>
      <c r="J664" s="173"/>
      <c r="K664" s="173"/>
      <c r="L664" s="173"/>
      <c r="M664" s="173"/>
      <c r="N664" s="173"/>
      <c r="O664" s="173"/>
      <c r="P664" s="173"/>
      <c r="Q664" s="173"/>
      <c r="R664" s="173"/>
      <c r="S664" s="173"/>
      <c r="T664" s="173"/>
      <c r="U664" s="173"/>
      <c r="V664" s="173"/>
      <c r="W664" s="173"/>
      <c r="X664" s="173"/>
      <c r="Y664" s="173"/>
      <c r="Z664" s="173"/>
    </row>
    <row r="665" spans="1:26" ht="11.25" customHeight="1">
      <c r="A665" s="173"/>
      <c r="B665" s="207"/>
      <c r="C665" s="208"/>
      <c r="D665" s="244"/>
      <c r="E665" s="173"/>
      <c r="F665" s="173"/>
      <c r="G665" s="173"/>
      <c r="H665" s="173"/>
      <c r="I665" s="173"/>
      <c r="J665" s="173"/>
      <c r="K665" s="173"/>
      <c r="L665" s="173"/>
      <c r="M665" s="173"/>
      <c r="N665" s="173"/>
      <c r="O665" s="173"/>
      <c r="P665" s="173"/>
      <c r="Q665" s="173"/>
      <c r="R665" s="173"/>
      <c r="S665" s="173"/>
      <c r="T665" s="173"/>
      <c r="U665" s="173"/>
      <c r="V665" s="173"/>
      <c r="W665" s="173"/>
      <c r="X665" s="173"/>
      <c r="Y665" s="173"/>
      <c r="Z665" s="173"/>
    </row>
    <row r="666" spans="1:26" ht="11.25" customHeight="1">
      <c r="A666" s="173"/>
      <c r="B666" s="207"/>
      <c r="C666" s="208"/>
      <c r="D666" s="244"/>
      <c r="E666" s="173"/>
      <c r="F666" s="173"/>
      <c r="G666" s="173"/>
      <c r="H666" s="173"/>
      <c r="I666" s="173"/>
      <c r="J666" s="173"/>
      <c r="K666" s="173"/>
      <c r="L666" s="173"/>
      <c r="M666" s="173"/>
      <c r="N666" s="173"/>
      <c r="O666" s="173"/>
      <c r="P666" s="173"/>
      <c r="Q666" s="173"/>
      <c r="R666" s="173"/>
      <c r="S666" s="173"/>
      <c r="T666" s="173"/>
      <c r="U666" s="173"/>
      <c r="V666" s="173"/>
      <c r="W666" s="173"/>
      <c r="X666" s="173"/>
      <c r="Y666" s="173"/>
      <c r="Z666" s="173"/>
    </row>
    <row r="667" spans="1:26" ht="11.25" customHeight="1">
      <c r="A667" s="173"/>
      <c r="B667" s="207"/>
      <c r="C667" s="208"/>
      <c r="D667" s="244"/>
      <c r="E667" s="173"/>
      <c r="F667" s="173"/>
      <c r="G667" s="173"/>
      <c r="H667" s="173"/>
      <c r="I667" s="173"/>
      <c r="J667" s="173"/>
      <c r="K667" s="173"/>
      <c r="L667" s="173"/>
      <c r="M667" s="173"/>
      <c r="N667" s="173"/>
      <c r="O667" s="173"/>
      <c r="P667" s="173"/>
      <c r="Q667" s="173"/>
      <c r="R667" s="173"/>
      <c r="S667" s="173"/>
      <c r="T667" s="173"/>
      <c r="U667" s="173"/>
      <c r="V667" s="173"/>
      <c r="W667" s="173"/>
      <c r="X667" s="173"/>
      <c r="Y667" s="173"/>
      <c r="Z667" s="173"/>
    </row>
    <row r="668" spans="1:26" ht="11.25" customHeight="1">
      <c r="A668" s="173"/>
      <c r="B668" s="207"/>
      <c r="C668" s="208"/>
      <c r="D668" s="244"/>
      <c r="E668" s="173"/>
      <c r="F668" s="173"/>
      <c r="G668" s="173"/>
      <c r="H668" s="173"/>
      <c r="I668" s="173"/>
      <c r="J668" s="173"/>
      <c r="K668" s="173"/>
      <c r="L668" s="173"/>
      <c r="M668" s="173"/>
      <c r="N668" s="173"/>
      <c r="O668" s="173"/>
      <c r="P668" s="173"/>
      <c r="Q668" s="173"/>
      <c r="R668" s="173"/>
      <c r="S668" s="173"/>
      <c r="T668" s="173"/>
      <c r="U668" s="173"/>
      <c r="V668" s="173"/>
      <c r="W668" s="173"/>
      <c r="X668" s="173"/>
      <c r="Y668" s="173"/>
      <c r="Z668" s="173"/>
    </row>
    <row r="669" spans="1:26" ht="11.25" customHeight="1">
      <c r="A669" s="173"/>
      <c r="B669" s="207"/>
      <c r="C669" s="208"/>
      <c r="D669" s="244"/>
      <c r="E669" s="173"/>
      <c r="F669" s="173"/>
      <c r="G669" s="173"/>
      <c r="H669" s="173"/>
      <c r="I669" s="173"/>
      <c r="J669" s="173"/>
      <c r="K669" s="173"/>
      <c r="L669" s="173"/>
      <c r="M669" s="173"/>
      <c r="N669" s="173"/>
      <c r="O669" s="173"/>
      <c r="P669" s="173"/>
      <c r="Q669" s="173"/>
      <c r="R669" s="173"/>
      <c r="S669" s="173"/>
      <c r="T669" s="173"/>
      <c r="U669" s="173"/>
      <c r="V669" s="173"/>
      <c r="W669" s="173"/>
      <c r="X669" s="173"/>
      <c r="Y669" s="173"/>
      <c r="Z669" s="173"/>
    </row>
    <row r="670" spans="1:26" ht="11.25" customHeight="1">
      <c r="A670" s="173"/>
      <c r="B670" s="207"/>
      <c r="C670" s="208"/>
      <c r="D670" s="244"/>
      <c r="E670" s="173"/>
      <c r="F670" s="173"/>
      <c r="G670" s="173"/>
      <c r="H670" s="173"/>
      <c r="I670" s="173"/>
      <c r="J670" s="173"/>
      <c r="K670" s="173"/>
      <c r="L670" s="173"/>
      <c r="M670" s="173"/>
      <c r="N670" s="173"/>
      <c r="O670" s="173"/>
      <c r="P670" s="173"/>
      <c r="Q670" s="173"/>
      <c r="R670" s="173"/>
      <c r="S670" s="173"/>
      <c r="T670" s="173"/>
      <c r="U670" s="173"/>
      <c r="V670" s="173"/>
      <c r="W670" s="173"/>
      <c r="X670" s="173"/>
      <c r="Y670" s="173"/>
      <c r="Z670" s="173"/>
    </row>
    <row r="671" spans="1:26" ht="11.25" customHeight="1">
      <c r="A671" s="173"/>
      <c r="B671" s="207"/>
      <c r="C671" s="208"/>
      <c r="D671" s="244"/>
      <c r="E671" s="173"/>
      <c r="F671" s="173"/>
      <c r="G671" s="173"/>
      <c r="H671" s="173"/>
      <c r="I671" s="173"/>
      <c r="J671" s="173"/>
      <c r="K671" s="173"/>
      <c r="L671" s="173"/>
      <c r="M671" s="173"/>
      <c r="N671" s="173"/>
      <c r="O671" s="173"/>
      <c r="P671" s="173"/>
      <c r="Q671" s="173"/>
      <c r="R671" s="173"/>
      <c r="S671" s="173"/>
      <c r="T671" s="173"/>
      <c r="U671" s="173"/>
      <c r="V671" s="173"/>
      <c r="W671" s="173"/>
      <c r="X671" s="173"/>
      <c r="Y671" s="173"/>
      <c r="Z671" s="173"/>
    </row>
    <row r="672" spans="1:26" ht="11.25" customHeight="1">
      <c r="A672" s="173"/>
      <c r="B672" s="207"/>
      <c r="C672" s="208"/>
      <c r="D672" s="244"/>
      <c r="E672" s="173"/>
      <c r="F672" s="173"/>
      <c r="G672" s="173"/>
      <c r="H672" s="173"/>
      <c r="I672" s="173"/>
      <c r="J672" s="173"/>
      <c r="K672" s="173"/>
      <c r="L672" s="173"/>
      <c r="M672" s="173"/>
      <c r="N672" s="173"/>
      <c r="O672" s="173"/>
      <c r="P672" s="173"/>
      <c r="Q672" s="173"/>
      <c r="R672" s="173"/>
      <c r="S672" s="173"/>
      <c r="T672" s="173"/>
      <c r="U672" s="173"/>
      <c r="V672" s="173"/>
      <c r="W672" s="173"/>
      <c r="X672" s="173"/>
      <c r="Y672" s="173"/>
      <c r="Z672" s="173"/>
    </row>
    <row r="673" spans="1:26" ht="11.25" customHeight="1">
      <c r="A673" s="173"/>
      <c r="B673" s="207"/>
      <c r="C673" s="208"/>
      <c r="D673" s="244"/>
      <c r="E673" s="173"/>
      <c r="F673" s="173"/>
      <c r="G673" s="173"/>
      <c r="H673" s="173"/>
      <c r="I673" s="173"/>
      <c r="J673" s="173"/>
      <c r="K673" s="173"/>
      <c r="L673" s="173"/>
      <c r="M673" s="173"/>
      <c r="N673" s="173"/>
      <c r="O673" s="173"/>
      <c r="P673" s="173"/>
      <c r="Q673" s="173"/>
      <c r="R673" s="173"/>
      <c r="S673" s="173"/>
      <c r="T673" s="173"/>
      <c r="U673" s="173"/>
      <c r="V673" s="173"/>
      <c r="W673" s="173"/>
      <c r="X673" s="173"/>
      <c r="Y673" s="173"/>
      <c r="Z673" s="173"/>
    </row>
    <row r="674" spans="1:26" ht="11.25" customHeight="1">
      <c r="A674" s="173"/>
      <c r="B674" s="207"/>
      <c r="C674" s="208"/>
      <c r="D674" s="244"/>
      <c r="E674" s="173"/>
      <c r="F674" s="173"/>
      <c r="G674" s="173"/>
      <c r="H674" s="173"/>
      <c r="I674" s="173"/>
      <c r="J674" s="173"/>
      <c r="K674" s="173"/>
      <c r="L674" s="173"/>
      <c r="M674" s="173"/>
      <c r="N674" s="173"/>
      <c r="O674" s="173"/>
      <c r="P674" s="173"/>
      <c r="Q674" s="173"/>
      <c r="R674" s="173"/>
      <c r="S674" s="173"/>
      <c r="T674" s="173"/>
      <c r="U674" s="173"/>
      <c r="V674" s="173"/>
      <c r="W674" s="173"/>
      <c r="X674" s="173"/>
      <c r="Y674" s="173"/>
      <c r="Z674" s="173"/>
    </row>
    <row r="675" spans="1:26" ht="11.25" customHeight="1">
      <c r="A675" s="173"/>
      <c r="B675" s="207"/>
      <c r="C675" s="208"/>
      <c r="D675" s="244"/>
      <c r="E675" s="173"/>
      <c r="F675" s="173"/>
      <c r="G675" s="173"/>
      <c r="H675" s="173"/>
      <c r="I675" s="173"/>
      <c r="J675" s="173"/>
      <c r="K675" s="173"/>
      <c r="L675" s="173"/>
      <c r="M675" s="173"/>
      <c r="N675" s="173"/>
      <c r="O675" s="173"/>
      <c r="P675" s="173"/>
      <c r="Q675" s="173"/>
      <c r="R675" s="173"/>
      <c r="S675" s="173"/>
      <c r="T675" s="173"/>
      <c r="U675" s="173"/>
      <c r="V675" s="173"/>
      <c r="W675" s="173"/>
      <c r="X675" s="173"/>
      <c r="Y675" s="173"/>
      <c r="Z675" s="173"/>
    </row>
    <row r="676" spans="1:26" ht="11.25" customHeight="1">
      <c r="A676" s="173"/>
      <c r="B676" s="207"/>
      <c r="C676" s="208"/>
      <c r="D676" s="244"/>
      <c r="E676" s="173"/>
      <c r="F676" s="173"/>
      <c r="G676" s="173"/>
      <c r="H676" s="173"/>
      <c r="I676" s="173"/>
      <c r="J676" s="173"/>
      <c r="K676" s="173"/>
      <c r="L676" s="173"/>
      <c r="M676" s="173"/>
      <c r="N676" s="173"/>
      <c r="O676" s="173"/>
      <c r="P676" s="173"/>
      <c r="Q676" s="173"/>
      <c r="R676" s="173"/>
      <c r="S676" s="173"/>
      <c r="T676" s="173"/>
      <c r="U676" s="173"/>
      <c r="V676" s="173"/>
      <c r="W676" s="173"/>
      <c r="X676" s="173"/>
      <c r="Y676" s="173"/>
      <c r="Z676" s="173"/>
    </row>
    <row r="677" spans="1:26" ht="11.25" customHeight="1">
      <c r="A677" s="173"/>
      <c r="B677" s="207"/>
      <c r="C677" s="208"/>
      <c r="D677" s="244"/>
      <c r="E677" s="173"/>
      <c r="F677" s="173"/>
      <c r="G677" s="173"/>
      <c r="H677" s="173"/>
      <c r="I677" s="173"/>
      <c r="J677" s="173"/>
      <c r="K677" s="173"/>
      <c r="L677" s="173"/>
      <c r="M677" s="173"/>
      <c r="N677" s="173"/>
      <c r="O677" s="173"/>
      <c r="P677" s="173"/>
      <c r="Q677" s="173"/>
      <c r="R677" s="173"/>
      <c r="S677" s="173"/>
      <c r="T677" s="173"/>
      <c r="U677" s="173"/>
      <c r="V677" s="173"/>
      <c r="W677" s="173"/>
      <c r="X677" s="173"/>
      <c r="Y677" s="173"/>
      <c r="Z677" s="173"/>
    </row>
    <row r="678" spans="1:26" ht="11.25" customHeight="1">
      <c r="A678" s="173"/>
      <c r="B678" s="207"/>
      <c r="C678" s="208"/>
      <c r="D678" s="244"/>
      <c r="E678" s="173"/>
      <c r="F678" s="173"/>
      <c r="G678" s="173"/>
      <c r="H678" s="173"/>
      <c r="I678" s="173"/>
      <c r="J678" s="173"/>
      <c r="K678" s="173"/>
      <c r="L678" s="173"/>
      <c r="M678" s="173"/>
      <c r="N678" s="173"/>
      <c r="O678" s="173"/>
      <c r="P678" s="173"/>
      <c r="Q678" s="173"/>
      <c r="R678" s="173"/>
      <c r="S678" s="173"/>
      <c r="T678" s="173"/>
      <c r="U678" s="173"/>
      <c r="V678" s="173"/>
      <c r="W678" s="173"/>
      <c r="X678" s="173"/>
      <c r="Y678" s="173"/>
      <c r="Z678" s="173"/>
    </row>
    <row r="679" spans="1:26" ht="11.25" customHeight="1">
      <c r="A679" s="173"/>
      <c r="B679" s="207"/>
      <c r="C679" s="208"/>
      <c r="D679" s="244"/>
      <c r="E679" s="173"/>
      <c r="F679" s="173"/>
      <c r="G679" s="173"/>
      <c r="H679" s="173"/>
      <c r="I679" s="173"/>
      <c r="J679" s="173"/>
      <c r="K679" s="173"/>
      <c r="L679" s="173"/>
      <c r="M679" s="173"/>
      <c r="N679" s="173"/>
      <c r="O679" s="173"/>
      <c r="P679" s="173"/>
      <c r="Q679" s="173"/>
      <c r="R679" s="173"/>
      <c r="S679" s="173"/>
      <c r="T679" s="173"/>
      <c r="U679" s="173"/>
      <c r="V679" s="173"/>
      <c r="W679" s="173"/>
      <c r="X679" s="173"/>
      <c r="Y679" s="173"/>
      <c r="Z679" s="173"/>
    </row>
    <row r="680" spans="1:26" ht="11.25" customHeight="1">
      <c r="A680" s="173"/>
      <c r="B680" s="207"/>
      <c r="C680" s="208"/>
      <c r="D680" s="244"/>
      <c r="E680" s="173"/>
      <c r="F680" s="173"/>
      <c r="G680" s="173"/>
      <c r="H680" s="173"/>
      <c r="I680" s="173"/>
      <c r="J680" s="173"/>
      <c r="K680" s="173"/>
      <c r="L680" s="173"/>
      <c r="M680" s="173"/>
      <c r="N680" s="173"/>
      <c r="O680" s="173"/>
      <c r="P680" s="173"/>
      <c r="Q680" s="173"/>
      <c r="R680" s="173"/>
      <c r="S680" s="173"/>
      <c r="T680" s="173"/>
      <c r="U680" s="173"/>
      <c r="V680" s="173"/>
      <c r="W680" s="173"/>
      <c r="X680" s="173"/>
      <c r="Y680" s="173"/>
      <c r="Z680" s="173"/>
    </row>
    <row r="681" spans="1:26" ht="11.25" customHeight="1">
      <c r="A681" s="173"/>
      <c r="B681" s="207"/>
      <c r="C681" s="208"/>
      <c r="D681" s="244"/>
      <c r="E681" s="173"/>
      <c r="F681" s="173"/>
      <c r="G681" s="173"/>
      <c r="H681" s="173"/>
      <c r="I681" s="173"/>
      <c r="J681" s="173"/>
      <c r="K681" s="173"/>
      <c r="L681" s="173"/>
      <c r="M681" s="173"/>
      <c r="N681" s="173"/>
      <c r="O681" s="173"/>
      <c r="P681" s="173"/>
      <c r="Q681" s="173"/>
      <c r="R681" s="173"/>
      <c r="S681" s="173"/>
      <c r="T681" s="173"/>
      <c r="U681" s="173"/>
      <c r="V681" s="173"/>
      <c r="W681" s="173"/>
      <c r="X681" s="173"/>
      <c r="Y681" s="173"/>
      <c r="Z681" s="173"/>
    </row>
    <row r="682" spans="1:26" ht="11.25" customHeight="1">
      <c r="A682" s="173"/>
      <c r="B682" s="207"/>
      <c r="C682" s="208"/>
      <c r="D682" s="244"/>
      <c r="E682" s="173"/>
      <c r="F682" s="173"/>
      <c r="G682" s="173"/>
      <c r="H682" s="173"/>
      <c r="I682" s="173"/>
      <c r="J682" s="173"/>
      <c r="K682" s="173"/>
      <c r="L682" s="173"/>
      <c r="M682" s="173"/>
      <c r="N682" s="173"/>
      <c r="O682" s="173"/>
      <c r="P682" s="173"/>
      <c r="Q682" s="173"/>
      <c r="R682" s="173"/>
      <c r="S682" s="173"/>
      <c r="T682" s="173"/>
      <c r="U682" s="173"/>
      <c r="V682" s="173"/>
      <c r="W682" s="173"/>
      <c r="X682" s="173"/>
      <c r="Y682" s="173"/>
      <c r="Z682" s="173"/>
    </row>
    <row r="683" spans="1:26" ht="11.25" customHeight="1">
      <c r="A683" s="173"/>
      <c r="B683" s="207"/>
      <c r="C683" s="208"/>
      <c r="D683" s="244"/>
      <c r="E683" s="173"/>
      <c r="F683" s="173"/>
      <c r="G683" s="173"/>
      <c r="H683" s="173"/>
      <c r="I683" s="173"/>
      <c r="J683" s="173"/>
      <c r="K683" s="173"/>
      <c r="L683" s="173"/>
      <c r="M683" s="173"/>
      <c r="N683" s="173"/>
      <c r="O683" s="173"/>
      <c r="P683" s="173"/>
      <c r="Q683" s="173"/>
      <c r="R683" s="173"/>
      <c r="S683" s="173"/>
      <c r="T683" s="173"/>
      <c r="U683" s="173"/>
      <c r="V683" s="173"/>
      <c r="W683" s="173"/>
      <c r="X683" s="173"/>
      <c r="Y683" s="173"/>
      <c r="Z683" s="173"/>
    </row>
    <row r="684" spans="1:26" ht="11.25" customHeight="1">
      <c r="A684" s="173"/>
      <c r="B684" s="207"/>
      <c r="C684" s="208"/>
      <c r="D684" s="244"/>
      <c r="E684" s="173"/>
      <c r="F684" s="173"/>
      <c r="G684" s="173"/>
      <c r="H684" s="173"/>
      <c r="I684" s="173"/>
      <c r="J684" s="173"/>
      <c r="K684" s="173"/>
      <c r="L684" s="173"/>
      <c r="M684" s="173"/>
      <c r="N684" s="173"/>
      <c r="O684" s="173"/>
      <c r="P684" s="173"/>
      <c r="Q684" s="173"/>
      <c r="R684" s="173"/>
      <c r="S684" s="173"/>
      <c r="T684" s="173"/>
      <c r="U684" s="173"/>
      <c r="V684" s="173"/>
      <c r="W684" s="173"/>
      <c r="X684" s="173"/>
      <c r="Y684" s="173"/>
      <c r="Z684" s="173"/>
    </row>
    <row r="685" spans="1:26" ht="11.25" customHeight="1">
      <c r="A685" s="173"/>
      <c r="B685" s="207"/>
      <c r="C685" s="208"/>
      <c r="D685" s="244"/>
      <c r="E685" s="173"/>
      <c r="F685" s="173"/>
      <c r="G685" s="173"/>
      <c r="H685" s="173"/>
      <c r="I685" s="173"/>
      <c r="J685" s="173"/>
      <c r="K685" s="173"/>
      <c r="L685" s="173"/>
      <c r="M685" s="173"/>
      <c r="N685" s="173"/>
      <c r="O685" s="173"/>
      <c r="P685" s="173"/>
      <c r="Q685" s="173"/>
      <c r="R685" s="173"/>
      <c r="S685" s="173"/>
      <c r="T685" s="173"/>
      <c r="U685" s="173"/>
      <c r="V685" s="173"/>
      <c r="W685" s="173"/>
      <c r="X685" s="173"/>
      <c r="Y685" s="173"/>
      <c r="Z685" s="173"/>
    </row>
    <row r="686" spans="1:26" ht="11.25" customHeight="1">
      <c r="A686" s="173"/>
      <c r="B686" s="207"/>
      <c r="C686" s="208"/>
      <c r="D686" s="244"/>
      <c r="E686" s="173"/>
      <c r="F686" s="173"/>
      <c r="G686" s="173"/>
      <c r="H686" s="173"/>
      <c r="I686" s="173"/>
      <c r="J686" s="173"/>
      <c r="K686" s="173"/>
      <c r="L686" s="173"/>
      <c r="M686" s="173"/>
      <c r="N686" s="173"/>
      <c r="O686" s="173"/>
      <c r="P686" s="173"/>
      <c r="Q686" s="173"/>
      <c r="R686" s="173"/>
      <c r="S686" s="173"/>
      <c r="T686" s="173"/>
      <c r="U686" s="173"/>
      <c r="V686" s="173"/>
      <c r="W686" s="173"/>
      <c r="X686" s="173"/>
      <c r="Y686" s="173"/>
      <c r="Z686" s="173"/>
    </row>
    <row r="687" spans="1:26" ht="11.25" customHeight="1">
      <c r="A687" s="173"/>
      <c r="B687" s="207"/>
      <c r="C687" s="208"/>
      <c r="D687" s="244"/>
      <c r="E687" s="173"/>
      <c r="F687" s="173"/>
      <c r="G687" s="173"/>
      <c r="H687" s="173"/>
      <c r="I687" s="173"/>
      <c r="J687" s="173"/>
      <c r="K687" s="173"/>
      <c r="L687" s="173"/>
      <c r="M687" s="173"/>
      <c r="N687" s="173"/>
      <c r="O687" s="173"/>
      <c r="P687" s="173"/>
      <c r="Q687" s="173"/>
      <c r="R687" s="173"/>
      <c r="S687" s="173"/>
      <c r="T687" s="173"/>
      <c r="U687" s="173"/>
      <c r="V687" s="173"/>
      <c r="W687" s="173"/>
      <c r="X687" s="173"/>
      <c r="Y687" s="173"/>
      <c r="Z687" s="173"/>
    </row>
    <row r="688" spans="1:26" ht="11.25" customHeight="1">
      <c r="A688" s="173"/>
      <c r="B688" s="207"/>
      <c r="C688" s="208"/>
      <c r="D688" s="244"/>
      <c r="E688" s="173"/>
      <c r="F688" s="173"/>
      <c r="G688" s="173"/>
      <c r="H688" s="173"/>
      <c r="I688" s="173"/>
      <c r="J688" s="173"/>
      <c r="K688" s="173"/>
      <c r="L688" s="173"/>
      <c r="M688" s="173"/>
      <c r="N688" s="173"/>
      <c r="O688" s="173"/>
      <c r="P688" s="173"/>
      <c r="Q688" s="173"/>
      <c r="R688" s="173"/>
      <c r="S688" s="173"/>
      <c r="T688" s="173"/>
      <c r="U688" s="173"/>
      <c r="V688" s="173"/>
      <c r="W688" s="173"/>
      <c r="X688" s="173"/>
      <c r="Y688" s="173"/>
      <c r="Z688" s="173"/>
    </row>
    <row r="689" spans="1:26" ht="11.25" customHeight="1">
      <c r="A689" s="173"/>
      <c r="B689" s="207"/>
      <c r="C689" s="208"/>
      <c r="D689" s="244"/>
      <c r="E689" s="173"/>
      <c r="F689" s="173"/>
      <c r="G689" s="173"/>
      <c r="H689" s="173"/>
      <c r="I689" s="173"/>
      <c r="J689" s="173"/>
      <c r="K689" s="173"/>
      <c r="L689" s="173"/>
      <c r="M689" s="173"/>
      <c r="N689" s="173"/>
      <c r="O689" s="173"/>
      <c r="P689" s="173"/>
      <c r="Q689" s="173"/>
      <c r="R689" s="173"/>
      <c r="S689" s="173"/>
      <c r="T689" s="173"/>
      <c r="U689" s="173"/>
      <c r="V689" s="173"/>
      <c r="W689" s="173"/>
      <c r="X689" s="173"/>
      <c r="Y689" s="173"/>
      <c r="Z689" s="173"/>
    </row>
    <row r="690" spans="1:26" ht="11.25" customHeight="1">
      <c r="A690" s="173"/>
      <c r="B690" s="207"/>
      <c r="C690" s="208"/>
      <c r="D690" s="244"/>
      <c r="E690" s="173"/>
      <c r="F690" s="173"/>
      <c r="G690" s="173"/>
      <c r="H690" s="173"/>
      <c r="I690" s="173"/>
      <c r="J690" s="173"/>
      <c r="K690" s="173"/>
      <c r="L690" s="173"/>
      <c r="M690" s="173"/>
      <c r="N690" s="173"/>
      <c r="O690" s="173"/>
      <c r="P690" s="173"/>
      <c r="Q690" s="173"/>
      <c r="R690" s="173"/>
      <c r="S690" s="173"/>
      <c r="T690" s="173"/>
      <c r="U690" s="173"/>
      <c r="V690" s="173"/>
      <c r="W690" s="173"/>
      <c r="X690" s="173"/>
      <c r="Y690" s="173"/>
      <c r="Z690" s="173"/>
    </row>
    <row r="691" spans="1:26" ht="11.25" customHeight="1">
      <c r="A691" s="173"/>
      <c r="B691" s="207"/>
      <c r="C691" s="208"/>
      <c r="D691" s="244"/>
      <c r="E691" s="173"/>
      <c r="F691" s="173"/>
      <c r="G691" s="173"/>
      <c r="H691" s="173"/>
      <c r="I691" s="173"/>
      <c r="J691" s="173"/>
      <c r="K691" s="173"/>
      <c r="L691" s="173"/>
      <c r="M691" s="173"/>
      <c r="N691" s="173"/>
      <c r="O691" s="173"/>
      <c r="P691" s="173"/>
      <c r="Q691" s="173"/>
      <c r="R691" s="173"/>
      <c r="S691" s="173"/>
      <c r="T691" s="173"/>
      <c r="U691" s="173"/>
      <c r="V691" s="173"/>
      <c r="W691" s="173"/>
      <c r="X691" s="173"/>
      <c r="Y691" s="173"/>
      <c r="Z691" s="173"/>
    </row>
    <row r="692" spans="1:26" ht="11.25" customHeight="1">
      <c r="A692" s="173"/>
      <c r="B692" s="207"/>
      <c r="C692" s="208"/>
      <c r="D692" s="244"/>
      <c r="E692" s="173"/>
      <c r="F692" s="173"/>
      <c r="G692" s="173"/>
      <c r="H692" s="173"/>
      <c r="I692" s="173"/>
      <c r="J692" s="173"/>
      <c r="K692" s="173"/>
      <c r="L692" s="173"/>
      <c r="M692" s="173"/>
      <c r="N692" s="173"/>
      <c r="O692" s="173"/>
      <c r="P692" s="173"/>
      <c r="Q692" s="173"/>
      <c r="R692" s="173"/>
      <c r="S692" s="173"/>
      <c r="T692" s="173"/>
      <c r="U692" s="173"/>
      <c r="V692" s="173"/>
      <c r="W692" s="173"/>
      <c r="X692" s="173"/>
      <c r="Y692" s="173"/>
      <c r="Z692" s="173"/>
    </row>
    <row r="693" spans="1:26" ht="11.25" customHeight="1">
      <c r="A693" s="173"/>
      <c r="B693" s="207"/>
      <c r="C693" s="208"/>
      <c r="D693" s="244"/>
      <c r="E693" s="173"/>
      <c r="F693" s="173"/>
      <c r="G693" s="173"/>
      <c r="H693" s="173"/>
      <c r="I693" s="173"/>
      <c r="J693" s="173"/>
      <c r="K693" s="173"/>
      <c r="L693" s="173"/>
      <c r="M693" s="173"/>
      <c r="N693" s="173"/>
      <c r="O693" s="173"/>
      <c r="P693" s="173"/>
      <c r="Q693" s="173"/>
      <c r="R693" s="173"/>
      <c r="S693" s="173"/>
      <c r="T693" s="173"/>
      <c r="U693" s="173"/>
      <c r="V693" s="173"/>
      <c r="W693" s="173"/>
      <c r="X693" s="173"/>
      <c r="Y693" s="173"/>
      <c r="Z693" s="173"/>
    </row>
    <row r="694" spans="1:26" ht="11.25" customHeight="1">
      <c r="A694" s="173"/>
      <c r="B694" s="207"/>
      <c r="C694" s="208"/>
      <c r="D694" s="244"/>
      <c r="E694" s="173"/>
      <c r="F694" s="173"/>
      <c r="G694" s="173"/>
      <c r="H694" s="173"/>
      <c r="I694" s="173"/>
      <c r="J694" s="173"/>
      <c r="K694" s="173"/>
      <c r="L694" s="173"/>
      <c r="M694" s="173"/>
      <c r="N694" s="173"/>
      <c r="O694" s="173"/>
      <c r="P694" s="173"/>
      <c r="Q694" s="173"/>
      <c r="R694" s="173"/>
      <c r="S694" s="173"/>
      <c r="T694" s="173"/>
      <c r="U694" s="173"/>
      <c r="V694" s="173"/>
      <c r="W694" s="173"/>
      <c r="X694" s="173"/>
      <c r="Y694" s="173"/>
      <c r="Z694" s="173"/>
    </row>
    <row r="695" spans="1:26" ht="11.25" customHeight="1">
      <c r="A695" s="173"/>
      <c r="B695" s="207"/>
      <c r="C695" s="208"/>
      <c r="D695" s="244"/>
      <c r="E695" s="173"/>
      <c r="F695" s="173"/>
      <c r="G695" s="173"/>
      <c r="H695" s="173"/>
      <c r="I695" s="173"/>
      <c r="J695" s="173"/>
      <c r="K695" s="173"/>
      <c r="L695" s="173"/>
      <c r="M695" s="173"/>
      <c r="N695" s="173"/>
      <c r="O695" s="173"/>
      <c r="P695" s="173"/>
      <c r="Q695" s="173"/>
      <c r="R695" s="173"/>
      <c r="S695" s="173"/>
      <c r="T695" s="173"/>
      <c r="U695" s="173"/>
      <c r="V695" s="173"/>
      <c r="W695" s="173"/>
      <c r="X695" s="173"/>
      <c r="Y695" s="173"/>
      <c r="Z695" s="173"/>
    </row>
    <row r="696" spans="1:26" ht="11.25" customHeight="1">
      <c r="A696" s="173"/>
      <c r="B696" s="207"/>
      <c r="C696" s="208"/>
      <c r="D696" s="244"/>
      <c r="E696" s="173"/>
      <c r="F696" s="173"/>
      <c r="G696" s="173"/>
      <c r="H696" s="173"/>
      <c r="I696" s="173"/>
      <c r="J696" s="173"/>
      <c r="K696" s="173"/>
      <c r="L696" s="173"/>
      <c r="M696" s="173"/>
      <c r="N696" s="173"/>
      <c r="O696" s="173"/>
      <c r="P696" s="173"/>
      <c r="Q696" s="173"/>
      <c r="R696" s="173"/>
      <c r="S696" s="173"/>
      <c r="T696" s="173"/>
      <c r="U696" s="173"/>
      <c r="V696" s="173"/>
      <c r="W696" s="173"/>
      <c r="X696" s="173"/>
      <c r="Y696" s="173"/>
      <c r="Z696" s="173"/>
    </row>
    <row r="697" spans="1:26" ht="11.25" customHeight="1">
      <c r="A697" s="173"/>
      <c r="B697" s="207"/>
      <c r="C697" s="208"/>
      <c r="D697" s="244"/>
      <c r="E697" s="173"/>
      <c r="F697" s="173"/>
      <c r="G697" s="173"/>
      <c r="H697" s="173"/>
      <c r="I697" s="173"/>
      <c r="J697" s="173"/>
      <c r="K697" s="173"/>
      <c r="L697" s="173"/>
      <c r="M697" s="173"/>
      <c r="N697" s="173"/>
      <c r="O697" s="173"/>
      <c r="P697" s="173"/>
      <c r="Q697" s="173"/>
      <c r="R697" s="173"/>
      <c r="S697" s="173"/>
      <c r="T697" s="173"/>
      <c r="U697" s="173"/>
      <c r="V697" s="173"/>
      <c r="W697" s="173"/>
      <c r="X697" s="173"/>
      <c r="Y697" s="173"/>
      <c r="Z697" s="173"/>
    </row>
    <row r="698" spans="1:26" ht="11.25" customHeight="1">
      <c r="A698" s="173"/>
      <c r="B698" s="207"/>
      <c r="C698" s="208"/>
      <c r="D698" s="244"/>
      <c r="E698" s="173"/>
      <c r="F698" s="173"/>
      <c r="G698" s="173"/>
      <c r="H698" s="173"/>
      <c r="I698" s="173"/>
      <c r="J698" s="173"/>
      <c r="K698" s="173"/>
      <c r="L698" s="173"/>
      <c r="M698" s="173"/>
      <c r="N698" s="173"/>
      <c r="O698" s="173"/>
      <c r="P698" s="173"/>
      <c r="Q698" s="173"/>
      <c r="R698" s="173"/>
      <c r="S698" s="173"/>
      <c r="T698" s="173"/>
      <c r="U698" s="173"/>
      <c r="V698" s="173"/>
      <c r="W698" s="173"/>
      <c r="X698" s="173"/>
      <c r="Y698" s="173"/>
      <c r="Z698" s="173"/>
    </row>
    <row r="699" spans="1:26" ht="11.25" customHeight="1">
      <c r="A699" s="173"/>
      <c r="B699" s="207"/>
      <c r="C699" s="208"/>
      <c r="D699" s="244"/>
      <c r="E699" s="173"/>
      <c r="F699" s="173"/>
      <c r="G699" s="173"/>
      <c r="H699" s="173"/>
      <c r="I699" s="173"/>
      <c r="J699" s="173"/>
      <c r="K699" s="173"/>
      <c r="L699" s="173"/>
      <c r="M699" s="173"/>
      <c r="N699" s="173"/>
      <c r="O699" s="173"/>
      <c r="P699" s="173"/>
      <c r="Q699" s="173"/>
      <c r="R699" s="173"/>
      <c r="S699" s="173"/>
      <c r="T699" s="173"/>
      <c r="U699" s="173"/>
      <c r="V699" s="173"/>
      <c r="W699" s="173"/>
      <c r="X699" s="173"/>
      <c r="Y699" s="173"/>
      <c r="Z699" s="173"/>
    </row>
    <row r="700" spans="1:26" ht="11.25" customHeight="1">
      <c r="A700" s="173"/>
      <c r="B700" s="207"/>
      <c r="C700" s="208"/>
      <c r="D700" s="244"/>
      <c r="E700" s="173"/>
      <c r="F700" s="173"/>
      <c r="G700" s="173"/>
      <c r="H700" s="173"/>
      <c r="I700" s="173"/>
      <c r="J700" s="173"/>
      <c r="K700" s="173"/>
      <c r="L700" s="173"/>
      <c r="M700" s="173"/>
      <c r="N700" s="173"/>
      <c r="O700" s="173"/>
      <c r="P700" s="173"/>
      <c r="Q700" s="173"/>
      <c r="R700" s="173"/>
      <c r="S700" s="173"/>
      <c r="T700" s="173"/>
      <c r="U700" s="173"/>
      <c r="V700" s="173"/>
      <c r="W700" s="173"/>
      <c r="X700" s="173"/>
      <c r="Y700" s="173"/>
      <c r="Z700" s="173"/>
    </row>
    <row r="701" spans="1:26" ht="11.25" customHeight="1">
      <c r="A701" s="173"/>
      <c r="B701" s="207"/>
      <c r="C701" s="208"/>
      <c r="D701" s="244"/>
      <c r="E701" s="173"/>
      <c r="F701" s="173"/>
      <c r="G701" s="173"/>
      <c r="H701" s="173"/>
      <c r="I701" s="173"/>
      <c r="J701" s="173"/>
      <c r="K701" s="173"/>
      <c r="L701" s="173"/>
      <c r="M701" s="173"/>
      <c r="N701" s="173"/>
      <c r="O701" s="173"/>
      <c r="P701" s="173"/>
      <c r="Q701" s="173"/>
      <c r="R701" s="173"/>
      <c r="S701" s="173"/>
      <c r="T701" s="173"/>
      <c r="U701" s="173"/>
      <c r="V701" s="173"/>
      <c r="W701" s="173"/>
      <c r="X701" s="173"/>
      <c r="Y701" s="173"/>
      <c r="Z701" s="173"/>
    </row>
    <row r="702" spans="1:26" ht="11.25" customHeight="1">
      <c r="A702" s="173"/>
      <c r="B702" s="207"/>
      <c r="C702" s="208"/>
      <c r="D702" s="244"/>
      <c r="E702" s="173"/>
      <c r="F702" s="173"/>
      <c r="G702" s="173"/>
      <c r="H702" s="173"/>
      <c r="I702" s="173"/>
      <c r="J702" s="173"/>
      <c r="K702" s="173"/>
      <c r="L702" s="173"/>
      <c r="M702" s="173"/>
      <c r="N702" s="173"/>
      <c r="O702" s="173"/>
      <c r="P702" s="173"/>
      <c r="Q702" s="173"/>
      <c r="R702" s="173"/>
      <c r="S702" s="173"/>
      <c r="T702" s="173"/>
      <c r="U702" s="173"/>
      <c r="V702" s="173"/>
      <c r="W702" s="173"/>
      <c r="X702" s="173"/>
      <c r="Y702" s="173"/>
      <c r="Z702" s="173"/>
    </row>
    <row r="703" spans="1:26" ht="11.25" customHeight="1">
      <c r="A703" s="173"/>
      <c r="B703" s="207"/>
      <c r="C703" s="208"/>
      <c r="D703" s="244"/>
      <c r="E703" s="173"/>
      <c r="F703" s="173"/>
      <c r="G703" s="173"/>
      <c r="H703" s="173"/>
      <c r="I703" s="173"/>
      <c r="J703" s="173"/>
      <c r="K703" s="173"/>
      <c r="L703" s="173"/>
      <c r="M703" s="173"/>
      <c r="N703" s="173"/>
      <c r="O703" s="173"/>
      <c r="P703" s="173"/>
      <c r="Q703" s="173"/>
      <c r="R703" s="173"/>
      <c r="S703" s="173"/>
      <c r="T703" s="173"/>
      <c r="U703" s="173"/>
      <c r="V703" s="173"/>
      <c r="W703" s="173"/>
      <c r="X703" s="173"/>
      <c r="Y703" s="173"/>
      <c r="Z703" s="173"/>
    </row>
    <row r="704" spans="1:26" ht="11.25" customHeight="1">
      <c r="A704" s="173"/>
      <c r="B704" s="207"/>
      <c r="C704" s="208"/>
      <c r="D704" s="244"/>
      <c r="E704" s="173"/>
      <c r="F704" s="173"/>
      <c r="G704" s="173"/>
      <c r="H704" s="173"/>
      <c r="I704" s="173"/>
      <c r="J704" s="173"/>
      <c r="K704" s="173"/>
      <c r="L704" s="173"/>
      <c r="M704" s="173"/>
      <c r="N704" s="173"/>
      <c r="O704" s="173"/>
      <c r="P704" s="173"/>
      <c r="Q704" s="173"/>
      <c r="R704" s="173"/>
      <c r="S704" s="173"/>
      <c r="T704" s="173"/>
      <c r="U704" s="173"/>
      <c r="V704" s="173"/>
      <c r="W704" s="173"/>
      <c r="X704" s="173"/>
      <c r="Y704" s="173"/>
      <c r="Z704" s="173"/>
    </row>
    <row r="705" spans="1:26" ht="11.25" customHeight="1">
      <c r="A705" s="173"/>
      <c r="B705" s="207"/>
      <c r="C705" s="208"/>
      <c r="D705" s="244"/>
      <c r="E705" s="173"/>
      <c r="F705" s="173"/>
      <c r="G705" s="173"/>
      <c r="H705" s="173"/>
      <c r="I705" s="173"/>
      <c r="J705" s="173"/>
      <c r="K705" s="173"/>
      <c r="L705" s="173"/>
      <c r="M705" s="173"/>
      <c r="N705" s="173"/>
      <c r="O705" s="173"/>
      <c r="P705" s="173"/>
      <c r="Q705" s="173"/>
      <c r="R705" s="173"/>
      <c r="S705" s="173"/>
      <c r="T705" s="173"/>
      <c r="U705" s="173"/>
      <c r="V705" s="173"/>
      <c r="W705" s="173"/>
      <c r="X705" s="173"/>
      <c r="Y705" s="173"/>
      <c r="Z705" s="173"/>
    </row>
    <row r="706" spans="1:26" ht="11.25" customHeight="1">
      <c r="A706" s="173"/>
      <c r="B706" s="207"/>
      <c r="C706" s="208"/>
      <c r="D706" s="244"/>
      <c r="E706" s="173"/>
      <c r="F706" s="173"/>
      <c r="G706" s="173"/>
      <c r="H706" s="173"/>
      <c r="I706" s="173"/>
      <c r="J706" s="173"/>
      <c r="K706" s="173"/>
      <c r="L706" s="173"/>
      <c r="M706" s="173"/>
      <c r="N706" s="173"/>
      <c r="O706" s="173"/>
      <c r="P706" s="173"/>
      <c r="Q706" s="173"/>
      <c r="R706" s="173"/>
      <c r="S706" s="173"/>
      <c r="T706" s="173"/>
      <c r="U706" s="173"/>
      <c r="V706" s="173"/>
      <c r="W706" s="173"/>
      <c r="X706" s="173"/>
      <c r="Y706" s="173"/>
      <c r="Z706" s="173"/>
    </row>
    <row r="707" spans="1:26" ht="11.25" customHeight="1">
      <c r="A707" s="173"/>
      <c r="B707" s="207"/>
      <c r="C707" s="208"/>
      <c r="D707" s="244"/>
      <c r="E707" s="173"/>
      <c r="F707" s="173"/>
      <c r="G707" s="173"/>
      <c r="H707" s="173"/>
      <c r="I707" s="173"/>
      <c r="J707" s="173"/>
      <c r="K707" s="173"/>
      <c r="L707" s="173"/>
      <c r="M707" s="173"/>
      <c r="N707" s="173"/>
      <c r="O707" s="173"/>
      <c r="P707" s="173"/>
      <c r="Q707" s="173"/>
      <c r="R707" s="173"/>
      <c r="S707" s="173"/>
      <c r="T707" s="173"/>
      <c r="U707" s="173"/>
      <c r="V707" s="173"/>
      <c r="W707" s="173"/>
      <c r="X707" s="173"/>
      <c r="Y707" s="173"/>
      <c r="Z707" s="173"/>
    </row>
    <row r="708" spans="1:26" ht="11.25" customHeight="1">
      <c r="A708" s="173"/>
      <c r="B708" s="207"/>
      <c r="C708" s="208"/>
      <c r="D708" s="244"/>
      <c r="E708" s="173"/>
      <c r="F708" s="173"/>
      <c r="G708" s="173"/>
      <c r="H708" s="173"/>
      <c r="I708" s="173"/>
      <c r="J708" s="173"/>
      <c r="K708" s="173"/>
      <c r="L708" s="173"/>
      <c r="M708" s="173"/>
      <c r="N708" s="173"/>
      <c r="O708" s="173"/>
      <c r="P708" s="173"/>
      <c r="Q708" s="173"/>
      <c r="R708" s="173"/>
      <c r="S708" s="173"/>
      <c r="T708" s="173"/>
      <c r="U708" s="173"/>
      <c r="V708" s="173"/>
      <c r="W708" s="173"/>
      <c r="X708" s="173"/>
      <c r="Y708" s="173"/>
      <c r="Z708" s="173"/>
    </row>
    <row r="709" spans="1:26" ht="11.25" customHeight="1">
      <c r="A709" s="173"/>
      <c r="B709" s="207"/>
      <c r="C709" s="208"/>
      <c r="D709" s="244"/>
      <c r="E709" s="173"/>
      <c r="F709" s="173"/>
      <c r="G709" s="173"/>
      <c r="H709" s="173"/>
      <c r="I709" s="173"/>
      <c r="J709" s="173"/>
      <c r="K709" s="173"/>
      <c r="L709" s="173"/>
      <c r="M709" s="173"/>
      <c r="N709" s="173"/>
      <c r="O709" s="173"/>
      <c r="P709" s="173"/>
      <c r="Q709" s="173"/>
      <c r="R709" s="173"/>
      <c r="S709" s="173"/>
      <c r="T709" s="173"/>
      <c r="U709" s="173"/>
      <c r="V709" s="173"/>
      <c r="W709" s="173"/>
      <c r="X709" s="173"/>
      <c r="Y709" s="173"/>
      <c r="Z709" s="173"/>
    </row>
    <row r="710" spans="1:26" ht="11.25" customHeight="1">
      <c r="A710" s="173"/>
      <c r="B710" s="207"/>
      <c r="C710" s="208"/>
      <c r="D710" s="244"/>
      <c r="E710" s="173"/>
      <c r="F710" s="173"/>
      <c r="G710" s="173"/>
      <c r="H710" s="173"/>
      <c r="I710" s="173"/>
      <c r="J710" s="173"/>
      <c r="K710" s="173"/>
      <c r="L710" s="173"/>
      <c r="M710" s="173"/>
      <c r="N710" s="173"/>
      <c r="O710" s="173"/>
      <c r="P710" s="173"/>
      <c r="Q710" s="173"/>
      <c r="R710" s="173"/>
      <c r="S710" s="173"/>
      <c r="T710" s="173"/>
      <c r="U710" s="173"/>
      <c r="V710" s="173"/>
      <c r="W710" s="173"/>
      <c r="X710" s="173"/>
      <c r="Y710" s="173"/>
      <c r="Z710" s="173"/>
    </row>
    <row r="711" spans="1:26" ht="11.25" customHeight="1">
      <c r="A711" s="173"/>
      <c r="B711" s="207"/>
      <c r="C711" s="208"/>
      <c r="D711" s="244"/>
      <c r="E711" s="173"/>
      <c r="F711" s="173"/>
      <c r="G711" s="173"/>
      <c r="H711" s="173"/>
      <c r="I711" s="173"/>
      <c r="J711" s="173"/>
      <c r="K711" s="173"/>
      <c r="L711" s="173"/>
      <c r="M711" s="173"/>
      <c r="N711" s="173"/>
      <c r="O711" s="173"/>
      <c r="P711" s="173"/>
      <c r="Q711" s="173"/>
      <c r="R711" s="173"/>
      <c r="S711" s="173"/>
      <c r="T711" s="173"/>
      <c r="U711" s="173"/>
      <c r="V711" s="173"/>
      <c r="W711" s="173"/>
      <c r="X711" s="173"/>
      <c r="Y711" s="173"/>
      <c r="Z711" s="173"/>
    </row>
    <row r="712" spans="1:26" ht="11.25" customHeight="1">
      <c r="A712" s="173"/>
      <c r="B712" s="207"/>
      <c r="C712" s="208"/>
      <c r="D712" s="244"/>
      <c r="E712" s="173"/>
      <c r="F712" s="173"/>
      <c r="G712" s="173"/>
      <c r="H712" s="173"/>
      <c r="I712" s="173"/>
      <c r="J712" s="173"/>
      <c r="K712" s="173"/>
      <c r="L712" s="173"/>
      <c r="M712" s="173"/>
      <c r="N712" s="173"/>
      <c r="O712" s="173"/>
      <c r="P712" s="173"/>
      <c r="Q712" s="173"/>
      <c r="R712" s="173"/>
      <c r="S712" s="173"/>
      <c r="T712" s="173"/>
      <c r="U712" s="173"/>
      <c r="V712" s="173"/>
      <c r="W712" s="173"/>
      <c r="X712" s="173"/>
      <c r="Y712" s="173"/>
      <c r="Z712" s="173"/>
    </row>
    <row r="713" spans="1:26" ht="11.25" customHeight="1">
      <c r="A713" s="173"/>
      <c r="B713" s="207"/>
      <c r="C713" s="208"/>
      <c r="D713" s="244"/>
      <c r="E713" s="173"/>
      <c r="F713" s="173"/>
      <c r="G713" s="173"/>
      <c r="H713" s="173"/>
      <c r="I713" s="173"/>
      <c r="J713" s="173"/>
      <c r="K713" s="173"/>
      <c r="L713" s="173"/>
      <c r="M713" s="173"/>
      <c r="N713" s="173"/>
      <c r="O713" s="173"/>
      <c r="P713" s="173"/>
      <c r="Q713" s="173"/>
      <c r="R713" s="173"/>
      <c r="S713" s="173"/>
      <c r="T713" s="173"/>
      <c r="U713" s="173"/>
      <c r="V713" s="173"/>
      <c r="W713" s="173"/>
      <c r="X713" s="173"/>
      <c r="Y713" s="173"/>
      <c r="Z713" s="173"/>
    </row>
    <row r="714" spans="1:26" ht="11.25" customHeight="1">
      <c r="A714" s="173"/>
      <c r="B714" s="207"/>
      <c r="C714" s="208"/>
      <c r="D714" s="244"/>
      <c r="E714" s="173"/>
      <c r="F714" s="173"/>
      <c r="G714" s="173"/>
      <c r="H714" s="173"/>
      <c r="I714" s="173"/>
      <c r="J714" s="173"/>
      <c r="K714" s="173"/>
      <c r="L714" s="173"/>
      <c r="M714" s="173"/>
      <c r="N714" s="173"/>
      <c r="O714" s="173"/>
      <c r="P714" s="173"/>
      <c r="Q714" s="173"/>
      <c r="R714" s="173"/>
      <c r="S714" s="173"/>
      <c r="T714" s="173"/>
      <c r="U714" s="173"/>
      <c r="V714" s="173"/>
      <c r="W714" s="173"/>
      <c r="X714" s="173"/>
      <c r="Y714" s="173"/>
      <c r="Z714" s="173"/>
    </row>
    <row r="715" spans="1:26" ht="11.25" customHeight="1">
      <c r="A715" s="173"/>
      <c r="B715" s="207"/>
      <c r="C715" s="208"/>
      <c r="D715" s="244"/>
      <c r="E715" s="173"/>
      <c r="F715" s="173"/>
      <c r="G715" s="173"/>
      <c r="H715" s="173"/>
      <c r="I715" s="173"/>
      <c r="J715" s="173"/>
      <c r="K715" s="173"/>
      <c r="L715" s="173"/>
      <c r="M715" s="173"/>
      <c r="N715" s="173"/>
      <c r="O715" s="173"/>
      <c r="P715" s="173"/>
      <c r="Q715" s="173"/>
      <c r="R715" s="173"/>
      <c r="S715" s="173"/>
      <c r="T715" s="173"/>
      <c r="U715" s="173"/>
      <c r="V715" s="173"/>
      <c r="W715" s="173"/>
      <c r="X715" s="173"/>
      <c r="Y715" s="173"/>
      <c r="Z715" s="173"/>
    </row>
    <row r="716" spans="1:26" ht="11.25" customHeight="1">
      <c r="A716" s="173"/>
      <c r="B716" s="207"/>
      <c r="C716" s="208"/>
      <c r="D716" s="244"/>
      <c r="E716" s="173"/>
      <c r="F716" s="173"/>
      <c r="G716" s="173"/>
      <c r="H716" s="173"/>
      <c r="I716" s="173"/>
      <c r="J716" s="173"/>
      <c r="K716" s="173"/>
      <c r="L716" s="173"/>
      <c r="M716" s="173"/>
      <c r="N716" s="173"/>
      <c r="O716" s="173"/>
      <c r="P716" s="173"/>
      <c r="Q716" s="173"/>
      <c r="R716" s="173"/>
      <c r="S716" s="173"/>
      <c r="T716" s="173"/>
      <c r="U716" s="173"/>
      <c r="V716" s="173"/>
      <c r="W716" s="173"/>
      <c r="X716" s="173"/>
      <c r="Y716" s="173"/>
      <c r="Z716" s="173"/>
    </row>
    <row r="717" spans="1:26" ht="11.25" customHeight="1">
      <c r="A717" s="173"/>
      <c r="B717" s="207"/>
      <c r="C717" s="208"/>
      <c r="D717" s="244"/>
      <c r="E717" s="173"/>
      <c r="F717" s="173"/>
      <c r="G717" s="173"/>
      <c r="H717" s="173"/>
      <c r="I717" s="173"/>
      <c r="J717" s="173"/>
      <c r="K717" s="173"/>
      <c r="L717" s="173"/>
      <c r="M717" s="173"/>
      <c r="N717" s="173"/>
      <c r="O717" s="173"/>
      <c r="P717" s="173"/>
      <c r="Q717" s="173"/>
      <c r="R717" s="173"/>
      <c r="S717" s="173"/>
      <c r="T717" s="173"/>
      <c r="U717" s="173"/>
      <c r="V717" s="173"/>
      <c r="W717" s="173"/>
      <c r="X717" s="173"/>
      <c r="Y717" s="173"/>
      <c r="Z717" s="173"/>
    </row>
    <row r="718" spans="1:26" ht="11.25" customHeight="1">
      <c r="A718" s="173"/>
      <c r="B718" s="207"/>
      <c r="C718" s="208"/>
      <c r="D718" s="244"/>
      <c r="E718" s="173"/>
      <c r="F718" s="173"/>
      <c r="G718" s="173"/>
      <c r="H718" s="173"/>
      <c r="I718" s="173"/>
      <c r="J718" s="173"/>
      <c r="K718" s="173"/>
      <c r="L718" s="173"/>
      <c r="M718" s="173"/>
      <c r="N718" s="173"/>
      <c r="O718" s="173"/>
      <c r="P718" s="173"/>
      <c r="Q718" s="173"/>
      <c r="R718" s="173"/>
      <c r="S718" s="173"/>
      <c r="T718" s="173"/>
      <c r="U718" s="173"/>
      <c r="V718" s="173"/>
      <c r="W718" s="173"/>
      <c r="X718" s="173"/>
      <c r="Y718" s="173"/>
      <c r="Z718" s="173"/>
    </row>
    <row r="719" spans="1:26" ht="11.25" customHeight="1">
      <c r="A719" s="173"/>
      <c r="B719" s="207"/>
      <c r="C719" s="208"/>
      <c r="D719" s="244"/>
      <c r="E719" s="173"/>
      <c r="F719" s="173"/>
      <c r="G719" s="173"/>
      <c r="H719" s="173"/>
      <c r="I719" s="173"/>
      <c r="J719" s="173"/>
      <c r="K719" s="173"/>
      <c r="L719" s="173"/>
      <c r="M719" s="173"/>
      <c r="N719" s="173"/>
      <c r="O719" s="173"/>
      <c r="P719" s="173"/>
      <c r="Q719" s="173"/>
      <c r="R719" s="173"/>
      <c r="S719" s="173"/>
      <c r="T719" s="173"/>
      <c r="U719" s="173"/>
      <c r="V719" s="173"/>
      <c r="W719" s="173"/>
      <c r="X719" s="173"/>
      <c r="Y719" s="173"/>
      <c r="Z719" s="173"/>
    </row>
    <row r="720" spans="1:26" ht="11.25" customHeight="1">
      <c r="A720" s="173"/>
      <c r="B720" s="207"/>
      <c r="C720" s="208"/>
      <c r="D720" s="244"/>
      <c r="E720" s="173"/>
      <c r="F720" s="173"/>
      <c r="G720" s="173"/>
      <c r="H720" s="173"/>
      <c r="I720" s="173"/>
      <c r="J720" s="173"/>
      <c r="K720" s="173"/>
      <c r="L720" s="173"/>
      <c r="M720" s="173"/>
      <c r="N720" s="173"/>
      <c r="O720" s="173"/>
      <c r="P720" s="173"/>
      <c r="Q720" s="173"/>
      <c r="R720" s="173"/>
      <c r="S720" s="173"/>
      <c r="T720" s="173"/>
      <c r="U720" s="173"/>
      <c r="V720" s="173"/>
      <c r="W720" s="173"/>
      <c r="X720" s="173"/>
      <c r="Y720" s="173"/>
      <c r="Z720" s="173"/>
    </row>
    <row r="721" spans="1:26" ht="11.25" customHeight="1">
      <c r="A721" s="173"/>
      <c r="B721" s="207"/>
      <c r="C721" s="208"/>
      <c r="D721" s="244"/>
      <c r="E721" s="173"/>
      <c r="F721" s="173"/>
      <c r="G721" s="173"/>
      <c r="H721" s="173"/>
      <c r="I721" s="173"/>
      <c r="J721" s="173"/>
      <c r="K721" s="173"/>
      <c r="L721" s="173"/>
      <c r="M721" s="173"/>
      <c r="N721" s="173"/>
      <c r="O721" s="173"/>
      <c r="P721" s="173"/>
      <c r="Q721" s="173"/>
      <c r="R721" s="173"/>
      <c r="S721" s="173"/>
      <c r="T721" s="173"/>
      <c r="U721" s="173"/>
      <c r="V721" s="173"/>
      <c r="W721" s="173"/>
      <c r="X721" s="173"/>
      <c r="Y721" s="173"/>
      <c r="Z721" s="173"/>
    </row>
    <row r="722" spans="1:26" ht="11.25" customHeight="1">
      <c r="A722" s="173"/>
      <c r="B722" s="207"/>
      <c r="C722" s="208"/>
      <c r="D722" s="244"/>
      <c r="E722" s="173"/>
      <c r="F722" s="173"/>
      <c r="G722" s="173"/>
      <c r="H722" s="173"/>
      <c r="I722" s="173"/>
      <c r="J722" s="173"/>
      <c r="K722" s="173"/>
      <c r="L722" s="173"/>
      <c r="M722" s="173"/>
      <c r="N722" s="173"/>
      <c r="O722" s="173"/>
      <c r="P722" s="173"/>
      <c r="Q722" s="173"/>
      <c r="R722" s="173"/>
      <c r="S722" s="173"/>
      <c r="T722" s="173"/>
      <c r="U722" s="173"/>
      <c r="V722" s="173"/>
      <c r="W722" s="173"/>
      <c r="X722" s="173"/>
      <c r="Y722" s="173"/>
      <c r="Z722" s="173"/>
    </row>
    <row r="723" spans="1:26" ht="11.25" customHeight="1">
      <c r="A723" s="173"/>
      <c r="B723" s="207"/>
      <c r="C723" s="208"/>
      <c r="D723" s="244"/>
      <c r="E723" s="173"/>
      <c r="F723" s="173"/>
      <c r="G723" s="173"/>
      <c r="H723" s="173"/>
      <c r="I723" s="173"/>
      <c r="J723" s="173"/>
      <c r="K723" s="173"/>
      <c r="L723" s="173"/>
      <c r="M723" s="173"/>
      <c r="N723" s="173"/>
      <c r="O723" s="173"/>
      <c r="P723" s="173"/>
      <c r="Q723" s="173"/>
      <c r="R723" s="173"/>
      <c r="S723" s="173"/>
      <c r="T723" s="173"/>
      <c r="U723" s="173"/>
      <c r="V723" s="173"/>
      <c r="W723" s="173"/>
      <c r="X723" s="173"/>
      <c r="Y723" s="173"/>
      <c r="Z723" s="173"/>
    </row>
    <row r="724" spans="1:26" ht="11.25" customHeight="1">
      <c r="A724" s="173"/>
      <c r="B724" s="207"/>
      <c r="C724" s="208"/>
      <c r="D724" s="244"/>
      <c r="E724" s="173"/>
      <c r="F724" s="173"/>
      <c r="G724" s="173"/>
      <c r="H724" s="173"/>
      <c r="I724" s="173"/>
      <c r="J724" s="173"/>
      <c r="K724" s="173"/>
      <c r="L724" s="173"/>
      <c r="M724" s="173"/>
      <c r="N724" s="173"/>
      <c r="O724" s="173"/>
      <c r="P724" s="173"/>
      <c r="Q724" s="173"/>
      <c r="R724" s="173"/>
      <c r="S724" s="173"/>
      <c r="T724" s="173"/>
      <c r="U724" s="173"/>
      <c r="V724" s="173"/>
      <c r="W724" s="173"/>
      <c r="X724" s="173"/>
      <c r="Y724" s="173"/>
      <c r="Z724" s="173"/>
    </row>
    <row r="725" spans="1:26" ht="11.25" customHeight="1">
      <c r="A725" s="173"/>
      <c r="B725" s="207"/>
      <c r="C725" s="208"/>
      <c r="D725" s="244"/>
      <c r="E725" s="173"/>
      <c r="F725" s="173"/>
      <c r="G725" s="173"/>
      <c r="H725" s="173"/>
      <c r="I725" s="173"/>
      <c r="J725" s="173"/>
      <c r="K725" s="173"/>
      <c r="L725" s="173"/>
      <c r="M725" s="173"/>
      <c r="N725" s="173"/>
      <c r="O725" s="173"/>
      <c r="P725" s="173"/>
      <c r="Q725" s="173"/>
      <c r="R725" s="173"/>
      <c r="S725" s="173"/>
      <c r="T725" s="173"/>
      <c r="U725" s="173"/>
      <c r="V725" s="173"/>
      <c r="W725" s="173"/>
      <c r="X725" s="173"/>
      <c r="Y725" s="173"/>
      <c r="Z725" s="173"/>
    </row>
    <row r="726" spans="1:26" ht="11.25" customHeight="1">
      <c r="A726" s="173"/>
      <c r="B726" s="207"/>
      <c r="C726" s="208"/>
      <c r="D726" s="244"/>
      <c r="E726" s="173"/>
      <c r="F726" s="173"/>
      <c r="G726" s="173"/>
      <c r="H726" s="173"/>
      <c r="I726" s="173"/>
      <c r="J726" s="173"/>
      <c r="K726" s="173"/>
      <c r="L726" s="173"/>
      <c r="M726" s="173"/>
      <c r="N726" s="173"/>
      <c r="O726" s="173"/>
      <c r="P726" s="173"/>
      <c r="Q726" s="173"/>
      <c r="R726" s="173"/>
      <c r="S726" s="173"/>
      <c r="T726" s="173"/>
      <c r="U726" s="173"/>
      <c r="V726" s="173"/>
      <c r="W726" s="173"/>
      <c r="X726" s="173"/>
      <c r="Y726" s="173"/>
      <c r="Z726" s="173"/>
    </row>
    <row r="727" spans="1:26" ht="11.25" customHeight="1">
      <c r="A727" s="173"/>
      <c r="B727" s="207"/>
      <c r="C727" s="208"/>
      <c r="D727" s="244"/>
      <c r="E727" s="173"/>
      <c r="F727" s="173"/>
      <c r="G727" s="173"/>
      <c r="H727" s="173"/>
      <c r="I727" s="173"/>
      <c r="J727" s="173"/>
      <c r="K727" s="173"/>
      <c r="L727" s="173"/>
      <c r="M727" s="173"/>
      <c r="N727" s="173"/>
      <c r="O727" s="173"/>
      <c r="P727" s="173"/>
      <c r="Q727" s="173"/>
      <c r="R727" s="173"/>
      <c r="S727" s="173"/>
      <c r="T727" s="173"/>
      <c r="U727" s="173"/>
      <c r="V727" s="173"/>
      <c r="W727" s="173"/>
      <c r="X727" s="173"/>
      <c r="Y727" s="173"/>
      <c r="Z727" s="173"/>
    </row>
    <row r="728" spans="1:26" ht="11.25" customHeight="1">
      <c r="A728" s="173"/>
      <c r="B728" s="207"/>
      <c r="C728" s="208"/>
      <c r="D728" s="244"/>
      <c r="E728" s="173"/>
      <c r="F728" s="173"/>
      <c r="G728" s="173"/>
      <c r="H728" s="173"/>
      <c r="I728" s="173"/>
      <c r="J728" s="173"/>
      <c r="K728" s="173"/>
      <c r="L728" s="173"/>
      <c r="M728" s="173"/>
      <c r="N728" s="173"/>
      <c r="O728" s="173"/>
      <c r="P728" s="173"/>
      <c r="Q728" s="173"/>
      <c r="R728" s="173"/>
      <c r="S728" s="173"/>
      <c r="T728" s="173"/>
      <c r="U728" s="173"/>
      <c r="V728" s="173"/>
      <c r="W728" s="173"/>
      <c r="X728" s="173"/>
      <c r="Y728" s="173"/>
      <c r="Z728" s="173"/>
    </row>
    <row r="729" spans="1:26" ht="11.25" customHeight="1">
      <c r="A729" s="173"/>
      <c r="B729" s="207"/>
      <c r="C729" s="208"/>
      <c r="D729" s="244"/>
      <c r="E729" s="173"/>
      <c r="F729" s="173"/>
      <c r="G729" s="173"/>
      <c r="H729" s="173"/>
      <c r="I729" s="173"/>
      <c r="J729" s="173"/>
      <c r="K729" s="173"/>
      <c r="L729" s="173"/>
      <c r="M729" s="173"/>
      <c r="N729" s="173"/>
      <c r="O729" s="173"/>
      <c r="P729" s="173"/>
      <c r="Q729" s="173"/>
      <c r="R729" s="173"/>
      <c r="S729" s="173"/>
      <c r="T729" s="173"/>
      <c r="U729" s="173"/>
      <c r="V729" s="173"/>
      <c r="W729" s="173"/>
      <c r="X729" s="173"/>
      <c r="Y729" s="173"/>
      <c r="Z729" s="173"/>
    </row>
    <row r="730" spans="1:26" ht="11.25" customHeight="1">
      <c r="A730" s="173"/>
      <c r="B730" s="207"/>
      <c r="C730" s="208"/>
      <c r="D730" s="244"/>
      <c r="E730" s="173"/>
      <c r="F730" s="173"/>
      <c r="G730" s="173"/>
      <c r="H730" s="173"/>
      <c r="I730" s="173"/>
      <c r="J730" s="173"/>
      <c r="K730" s="173"/>
      <c r="L730" s="173"/>
      <c r="M730" s="173"/>
      <c r="N730" s="173"/>
      <c r="O730" s="173"/>
      <c r="P730" s="173"/>
      <c r="Q730" s="173"/>
      <c r="R730" s="173"/>
      <c r="S730" s="173"/>
      <c r="T730" s="173"/>
      <c r="U730" s="173"/>
      <c r="V730" s="173"/>
      <c r="W730" s="173"/>
      <c r="X730" s="173"/>
      <c r="Y730" s="173"/>
      <c r="Z730" s="173"/>
    </row>
    <row r="731" spans="1:26" ht="11.25" customHeight="1">
      <c r="A731" s="173"/>
      <c r="B731" s="207"/>
      <c r="C731" s="208"/>
      <c r="D731" s="244"/>
      <c r="E731" s="173"/>
      <c r="F731" s="173"/>
      <c r="G731" s="173"/>
      <c r="H731" s="173"/>
      <c r="I731" s="173"/>
      <c r="J731" s="173"/>
      <c r="K731" s="173"/>
      <c r="L731" s="173"/>
      <c r="M731" s="173"/>
      <c r="N731" s="173"/>
      <c r="O731" s="173"/>
      <c r="P731" s="173"/>
      <c r="Q731" s="173"/>
      <c r="R731" s="173"/>
      <c r="S731" s="173"/>
      <c r="T731" s="173"/>
      <c r="U731" s="173"/>
      <c r="V731" s="173"/>
      <c r="W731" s="173"/>
      <c r="X731" s="173"/>
      <c r="Y731" s="173"/>
      <c r="Z731" s="173"/>
    </row>
    <row r="732" spans="1:26" ht="11.25" customHeight="1">
      <c r="A732" s="173"/>
      <c r="B732" s="207"/>
      <c r="C732" s="208"/>
      <c r="D732" s="244"/>
      <c r="E732" s="173"/>
      <c r="F732" s="173"/>
      <c r="G732" s="173"/>
      <c r="H732" s="173"/>
      <c r="I732" s="173"/>
      <c r="J732" s="173"/>
      <c r="K732" s="173"/>
      <c r="L732" s="173"/>
      <c r="M732" s="173"/>
      <c r="N732" s="173"/>
      <c r="O732" s="173"/>
      <c r="P732" s="173"/>
      <c r="Q732" s="173"/>
      <c r="R732" s="173"/>
      <c r="S732" s="173"/>
      <c r="T732" s="173"/>
      <c r="U732" s="173"/>
      <c r="V732" s="173"/>
      <c r="W732" s="173"/>
      <c r="X732" s="173"/>
      <c r="Y732" s="173"/>
      <c r="Z732" s="173"/>
    </row>
    <row r="733" spans="1:26" ht="11.25" customHeight="1">
      <c r="A733" s="173"/>
      <c r="B733" s="207"/>
      <c r="C733" s="208"/>
      <c r="D733" s="244"/>
      <c r="E733" s="173"/>
      <c r="F733" s="173"/>
      <c r="G733" s="173"/>
      <c r="H733" s="173"/>
      <c r="I733" s="173"/>
      <c r="J733" s="173"/>
      <c r="K733" s="173"/>
      <c r="L733" s="173"/>
      <c r="M733" s="173"/>
      <c r="N733" s="173"/>
      <c r="O733" s="173"/>
      <c r="P733" s="173"/>
      <c r="Q733" s="173"/>
      <c r="R733" s="173"/>
      <c r="S733" s="173"/>
      <c r="T733" s="173"/>
      <c r="U733" s="173"/>
      <c r="V733" s="173"/>
      <c r="W733" s="173"/>
      <c r="X733" s="173"/>
      <c r="Y733" s="173"/>
      <c r="Z733" s="173"/>
    </row>
    <row r="734" spans="1:26" ht="11.25" customHeight="1">
      <c r="A734" s="173"/>
      <c r="B734" s="207"/>
      <c r="C734" s="208"/>
      <c r="D734" s="244"/>
      <c r="E734" s="173"/>
      <c r="F734" s="173"/>
      <c r="G734" s="173"/>
      <c r="H734" s="173"/>
      <c r="I734" s="173"/>
      <c r="J734" s="173"/>
      <c r="K734" s="173"/>
      <c r="L734" s="173"/>
      <c r="M734" s="173"/>
      <c r="N734" s="173"/>
      <c r="O734" s="173"/>
      <c r="P734" s="173"/>
      <c r="Q734" s="173"/>
      <c r="R734" s="173"/>
      <c r="S734" s="173"/>
      <c r="T734" s="173"/>
      <c r="U734" s="173"/>
      <c r="V734" s="173"/>
      <c r="W734" s="173"/>
      <c r="X734" s="173"/>
      <c r="Y734" s="173"/>
      <c r="Z734" s="173"/>
    </row>
    <row r="735" spans="1:26" ht="11.25" customHeight="1">
      <c r="A735" s="173"/>
      <c r="B735" s="207"/>
      <c r="C735" s="208"/>
      <c r="D735" s="244"/>
      <c r="E735" s="173"/>
      <c r="F735" s="173"/>
      <c r="G735" s="173"/>
      <c r="H735" s="173"/>
      <c r="I735" s="173"/>
      <c r="J735" s="173"/>
      <c r="K735" s="173"/>
      <c r="L735" s="173"/>
      <c r="M735" s="173"/>
      <c r="N735" s="173"/>
      <c r="O735" s="173"/>
      <c r="P735" s="173"/>
      <c r="Q735" s="173"/>
      <c r="R735" s="173"/>
      <c r="S735" s="173"/>
      <c r="T735" s="173"/>
      <c r="U735" s="173"/>
      <c r="V735" s="173"/>
      <c r="W735" s="173"/>
      <c r="X735" s="173"/>
      <c r="Y735" s="173"/>
      <c r="Z735" s="173"/>
    </row>
    <row r="736" spans="1:26" ht="11.25" customHeight="1">
      <c r="A736" s="173"/>
      <c r="B736" s="207"/>
      <c r="C736" s="208"/>
      <c r="D736" s="244"/>
      <c r="E736" s="173"/>
      <c r="F736" s="173"/>
      <c r="G736" s="173"/>
      <c r="H736" s="173"/>
      <c r="I736" s="173"/>
      <c r="J736" s="173"/>
      <c r="K736" s="173"/>
      <c r="L736" s="173"/>
      <c r="M736" s="173"/>
      <c r="N736" s="173"/>
      <c r="O736" s="173"/>
      <c r="P736" s="173"/>
      <c r="Q736" s="173"/>
      <c r="R736" s="173"/>
      <c r="S736" s="173"/>
      <c r="T736" s="173"/>
      <c r="U736" s="173"/>
      <c r="V736" s="173"/>
      <c r="W736" s="173"/>
      <c r="X736" s="173"/>
      <c r="Y736" s="173"/>
      <c r="Z736" s="173"/>
    </row>
    <row r="737" spans="1:26" ht="11.25" customHeight="1">
      <c r="A737" s="173"/>
      <c r="B737" s="207"/>
      <c r="C737" s="208"/>
      <c r="D737" s="244"/>
      <c r="E737" s="173"/>
      <c r="F737" s="173"/>
      <c r="G737" s="173"/>
      <c r="H737" s="173"/>
      <c r="I737" s="173"/>
      <c r="J737" s="173"/>
      <c r="K737" s="173"/>
      <c r="L737" s="173"/>
      <c r="M737" s="173"/>
      <c r="N737" s="173"/>
      <c r="O737" s="173"/>
      <c r="P737" s="173"/>
      <c r="Q737" s="173"/>
      <c r="R737" s="173"/>
      <c r="S737" s="173"/>
      <c r="T737" s="173"/>
      <c r="U737" s="173"/>
      <c r="V737" s="173"/>
      <c r="W737" s="173"/>
      <c r="X737" s="173"/>
      <c r="Y737" s="173"/>
      <c r="Z737" s="173"/>
    </row>
    <row r="738" spans="1:26" ht="11.25" customHeight="1">
      <c r="A738" s="173"/>
      <c r="B738" s="207"/>
      <c r="C738" s="208"/>
      <c r="D738" s="244"/>
      <c r="E738" s="173"/>
      <c r="F738" s="173"/>
      <c r="G738" s="173"/>
      <c r="H738" s="173"/>
      <c r="I738" s="173"/>
      <c r="J738" s="173"/>
      <c r="K738" s="173"/>
      <c r="L738" s="173"/>
      <c r="M738" s="173"/>
      <c r="N738" s="173"/>
      <c r="O738" s="173"/>
      <c r="P738" s="173"/>
      <c r="Q738" s="173"/>
      <c r="R738" s="173"/>
      <c r="S738" s="173"/>
      <c r="T738" s="173"/>
      <c r="U738" s="173"/>
      <c r="V738" s="173"/>
      <c r="W738" s="173"/>
      <c r="X738" s="173"/>
      <c r="Y738" s="173"/>
      <c r="Z738" s="173"/>
    </row>
    <row r="739" spans="1:26" ht="11.25" customHeight="1">
      <c r="A739" s="173"/>
      <c r="B739" s="207"/>
      <c r="C739" s="208"/>
      <c r="D739" s="244"/>
      <c r="E739" s="173"/>
      <c r="F739" s="173"/>
      <c r="G739" s="173"/>
      <c r="H739" s="173"/>
      <c r="I739" s="173"/>
      <c r="J739" s="173"/>
      <c r="K739" s="173"/>
      <c r="L739" s="173"/>
      <c r="M739" s="173"/>
      <c r="N739" s="173"/>
      <c r="O739" s="173"/>
      <c r="P739" s="173"/>
      <c r="Q739" s="173"/>
      <c r="R739" s="173"/>
      <c r="S739" s="173"/>
      <c r="T739" s="173"/>
      <c r="U739" s="173"/>
      <c r="V739" s="173"/>
      <c r="W739" s="173"/>
      <c r="X739" s="173"/>
      <c r="Y739" s="173"/>
      <c r="Z739" s="173"/>
    </row>
    <row r="740" spans="1:26" ht="11.25" customHeight="1">
      <c r="A740" s="173"/>
      <c r="B740" s="207"/>
      <c r="C740" s="208"/>
      <c r="D740" s="244"/>
      <c r="E740" s="173"/>
      <c r="F740" s="173"/>
      <c r="G740" s="173"/>
      <c r="H740" s="173"/>
      <c r="I740" s="173"/>
      <c r="J740" s="173"/>
      <c r="K740" s="173"/>
      <c r="L740" s="173"/>
      <c r="M740" s="173"/>
      <c r="N740" s="173"/>
      <c r="O740" s="173"/>
      <c r="P740" s="173"/>
      <c r="Q740" s="173"/>
      <c r="R740" s="173"/>
      <c r="S740" s="173"/>
      <c r="T740" s="173"/>
      <c r="U740" s="173"/>
      <c r="V740" s="173"/>
      <c r="W740" s="173"/>
      <c r="X740" s="173"/>
      <c r="Y740" s="173"/>
      <c r="Z740" s="173"/>
    </row>
    <row r="741" spans="1:26" ht="11.25" customHeight="1">
      <c r="A741" s="173"/>
      <c r="B741" s="207"/>
      <c r="C741" s="208"/>
      <c r="D741" s="244"/>
      <c r="E741" s="173"/>
      <c r="F741" s="173"/>
      <c r="G741" s="173"/>
      <c r="H741" s="173"/>
      <c r="I741" s="173"/>
      <c r="J741" s="173"/>
      <c r="K741" s="173"/>
      <c r="L741" s="173"/>
      <c r="M741" s="173"/>
      <c r="N741" s="173"/>
      <c r="O741" s="173"/>
      <c r="P741" s="173"/>
      <c r="Q741" s="173"/>
      <c r="R741" s="173"/>
      <c r="S741" s="173"/>
      <c r="T741" s="173"/>
      <c r="U741" s="173"/>
      <c r="V741" s="173"/>
      <c r="W741" s="173"/>
      <c r="X741" s="173"/>
      <c r="Y741" s="173"/>
      <c r="Z741" s="173"/>
    </row>
    <row r="742" spans="1:26" ht="11.25" customHeight="1">
      <c r="A742" s="173"/>
      <c r="B742" s="207"/>
      <c r="C742" s="208"/>
      <c r="D742" s="244"/>
      <c r="E742" s="173"/>
      <c r="F742" s="173"/>
      <c r="G742" s="173"/>
      <c r="H742" s="173"/>
      <c r="I742" s="173"/>
      <c r="J742" s="173"/>
      <c r="K742" s="173"/>
      <c r="L742" s="173"/>
      <c r="M742" s="173"/>
      <c r="N742" s="173"/>
      <c r="O742" s="173"/>
      <c r="P742" s="173"/>
      <c r="Q742" s="173"/>
      <c r="R742" s="173"/>
      <c r="S742" s="173"/>
      <c r="T742" s="173"/>
      <c r="U742" s="173"/>
      <c r="V742" s="173"/>
      <c r="W742" s="173"/>
      <c r="X742" s="173"/>
      <c r="Y742" s="173"/>
      <c r="Z742" s="173"/>
    </row>
    <row r="743" spans="1:26" ht="11.25" customHeight="1">
      <c r="A743" s="173"/>
      <c r="B743" s="207"/>
      <c r="C743" s="208"/>
      <c r="D743" s="244"/>
      <c r="E743" s="173"/>
      <c r="F743" s="173"/>
      <c r="G743" s="173"/>
      <c r="H743" s="173"/>
      <c r="I743" s="173"/>
      <c r="J743" s="173"/>
      <c r="K743" s="173"/>
      <c r="L743" s="173"/>
      <c r="M743" s="173"/>
      <c r="N743" s="173"/>
      <c r="O743" s="173"/>
      <c r="P743" s="173"/>
      <c r="Q743" s="173"/>
      <c r="R743" s="173"/>
      <c r="S743" s="173"/>
      <c r="T743" s="173"/>
      <c r="U743" s="173"/>
      <c r="V743" s="173"/>
      <c r="W743" s="173"/>
      <c r="X743" s="173"/>
      <c r="Y743" s="173"/>
      <c r="Z743" s="173"/>
    </row>
    <row r="744" spans="1:26" ht="11.25" customHeight="1">
      <c r="A744" s="173"/>
      <c r="B744" s="207"/>
      <c r="C744" s="208"/>
      <c r="D744" s="244"/>
      <c r="E744" s="173"/>
      <c r="F744" s="173"/>
      <c r="G744" s="173"/>
      <c r="H744" s="173"/>
      <c r="I744" s="173"/>
      <c r="J744" s="173"/>
      <c r="K744" s="173"/>
      <c r="L744" s="173"/>
      <c r="M744" s="173"/>
      <c r="N744" s="173"/>
      <c r="O744" s="173"/>
      <c r="P744" s="173"/>
      <c r="Q744" s="173"/>
      <c r="R744" s="173"/>
      <c r="S744" s="173"/>
      <c r="T744" s="173"/>
      <c r="U744" s="173"/>
      <c r="V744" s="173"/>
      <c r="W744" s="173"/>
      <c r="X744" s="173"/>
      <c r="Y744" s="173"/>
      <c r="Z744" s="173"/>
    </row>
    <row r="745" spans="1:26" ht="11.25" customHeight="1">
      <c r="A745" s="173"/>
      <c r="B745" s="207"/>
      <c r="C745" s="208"/>
      <c r="D745" s="244"/>
      <c r="E745" s="173"/>
      <c r="F745" s="173"/>
      <c r="G745" s="173"/>
      <c r="H745" s="173"/>
      <c r="I745" s="173"/>
      <c r="J745" s="173"/>
      <c r="K745" s="173"/>
      <c r="L745" s="173"/>
      <c r="M745" s="173"/>
      <c r="N745" s="173"/>
      <c r="O745" s="173"/>
      <c r="P745" s="173"/>
      <c r="Q745" s="173"/>
      <c r="R745" s="173"/>
      <c r="S745" s="173"/>
      <c r="T745" s="173"/>
      <c r="U745" s="173"/>
      <c r="V745" s="173"/>
      <c r="W745" s="173"/>
      <c r="X745" s="173"/>
      <c r="Y745" s="173"/>
      <c r="Z745" s="173"/>
    </row>
    <row r="746" spans="1:26" ht="11.25" customHeight="1">
      <c r="A746" s="173"/>
      <c r="B746" s="207"/>
      <c r="C746" s="208"/>
      <c r="D746" s="244"/>
      <c r="E746" s="173"/>
      <c r="F746" s="173"/>
      <c r="G746" s="173"/>
      <c r="H746" s="173"/>
      <c r="I746" s="173"/>
      <c r="J746" s="173"/>
      <c r="K746" s="173"/>
      <c r="L746" s="173"/>
      <c r="M746" s="173"/>
      <c r="N746" s="173"/>
      <c r="O746" s="173"/>
      <c r="P746" s="173"/>
      <c r="Q746" s="173"/>
      <c r="R746" s="173"/>
      <c r="S746" s="173"/>
      <c r="T746" s="173"/>
      <c r="U746" s="173"/>
      <c r="V746" s="173"/>
      <c r="W746" s="173"/>
      <c r="X746" s="173"/>
      <c r="Y746" s="173"/>
      <c r="Z746" s="173"/>
    </row>
    <row r="747" spans="1:26" ht="11.25" customHeight="1">
      <c r="A747" s="173"/>
      <c r="B747" s="207"/>
      <c r="C747" s="208"/>
      <c r="D747" s="244"/>
      <c r="E747" s="173"/>
      <c r="F747" s="173"/>
      <c r="G747" s="173"/>
      <c r="H747" s="173"/>
      <c r="I747" s="173"/>
      <c r="J747" s="173"/>
      <c r="K747" s="173"/>
      <c r="L747" s="173"/>
      <c r="M747" s="173"/>
      <c r="N747" s="173"/>
      <c r="O747" s="173"/>
      <c r="P747" s="173"/>
      <c r="Q747" s="173"/>
      <c r="R747" s="173"/>
      <c r="S747" s="173"/>
      <c r="T747" s="173"/>
      <c r="U747" s="173"/>
      <c r="V747" s="173"/>
      <c r="W747" s="173"/>
      <c r="X747" s="173"/>
      <c r="Y747" s="173"/>
      <c r="Z747" s="173"/>
    </row>
    <row r="748" spans="1:26" ht="11.25" customHeight="1">
      <c r="A748" s="173"/>
      <c r="B748" s="207"/>
      <c r="C748" s="208"/>
      <c r="D748" s="244"/>
      <c r="E748" s="173"/>
      <c r="F748" s="173"/>
      <c r="G748" s="173"/>
      <c r="H748" s="173"/>
      <c r="I748" s="173"/>
      <c r="J748" s="173"/>
      <c r="K748" s="173"/>
      <c r="L748" s="173"/>
      <c r="M748" s="173"/>
      <c r="N748" s="173"/>
      <c r="O748" s="173"/>
      <c r="P748" s="173"/>
      <c r="Q748" s="173"/>
      <c r="R748" s="173"/>
      <c r="S748" s="173"/>
      <c r="T748" s="173"/>
      <c r="U748" s="173"/>
      <c r="V748" s="173"/>
      <c r="W748" s="173"/>
      <c r="X748" s="173"/>
      <c r="Y748" s="173"/>
      <c r="Z748" s="173"/>
    </row>
    <row r="749" spans="1:26" ht="11.25" customHeight="1">
      <c r="A749" s="173"/>
      <c r="B749" s="207"/>
      <c r="C749" s="208"/>
      <c r="D749" s="244"/>
      <c r="E749" s="173"/>
      <c r="F749" s="173"/>
      <c r="G749" s="173"/>
      <c r="H749" s="173"/>
      <c r="I749" s="173"/>
      <c r="J749" s="173"/>
      <c r="K749" s="173"/>
      <c r="L749" s="173"/>
      <c r="M749" s="173"/>
      <c r="N749" s="173"/>
      <c r="O749" s="173"/>
      <c r="P749" s="173"/>
      <c r="Q749" s="173"/>
      <c r="R749" s="173"/>
      <c r="S749" s="173"/>
      <c r="T749" s="173"/>
      <c r="U749" s="173"/>
      <c r="V749" s="173"/>
      <c r="W749" s="173"/>
      <c r="X749" s="173"/>
      <c r="Y749" s="173"/>
      <c r="Z749" s="173"/>
    </row>
    <row r="750" spans="1:26" ht="11.25" customHeight="1">
      <c r="A750" s="173"/>
      <c r="B750" s="207"/>
      <c r="C750" s="208"/>
      <c r="D750" s="244"/>
      <c r="E750" s="173"/>
      <c r="F750" s="173"/>
      <c r="G750" s="173"/>
      <c r="H750" s="173"/>
      <c r="I750" s="173"/>
      <c r="J750" s="173"/>
      <c r="K750" s="173"/>
      <c r="L750" s="173"/>
      <c r="M750" s="173"/>
      <c r="N750" s="173"/>
      <c r="O750" s="173"/>
      <c r="P750" s="173"/>
      <c r="Q750" s="173"/>
      <c r="R750" s="173"/>
      <c r="S750" s="173"/>
      <c r="T750" s="173"/>
      <c r="U750" s="173"/>
      <c r="V750" s="173"/>
      <c r="W750" s="173"/>
      <c r="X750" s="173"/>
      <c r="Y750" s="173"/>
      <c r="Z750" s="173"/>
    </row>
    <row r="751" spans="1:26" ht="11.25" customHeight="1">
      <c r="A751" s="173"/>
      <c r="B751" s="207"/>
      <c r="C751" s="208"/>
      <c r="D751" s="244"/>
      <c r="E751" s="173"/>
      <c r="F751" s="173"/>
      <c r="G751" s="173"/>
      <c r="H751" s="173"/>
      <c r="I751" s="173"/>
      <c r="J751" s="173"/>
      <c r="K751" s="173"/>
      <c r="L751" s="173"/>
      <c r="M751" s="173"/>
      <c r="N751" s="173"/>
      <c r="O751" s="173"/>
      <c r="P751" s="173"/>
      <c r="Q751" s="173"/>
      <c r="R751" s="173"/>
      <c r="S751" s="173"/>
      <c r="T751" s="173"/>
      <c r="U751" s="173"/>
      <c r="V751" s="173"/>
      <c r="W751" s="173"/>
      <c r="X751" s="173"/>
      <c r="Y751" s="173"/>
      <c r="Z751" s="173"/>
    </row>
    <row r="752" spans="1:26" ht="11.25" customHeight="1">
      <c r="A752" s="173"/>
      <c r="B752" s="207"/>
      <c r="C752" s="208"/>
      <c r="D752" s="244"/>
      <c r="E752" s="173"/>
      <c r="F752" s="173"/>
      <c r="G752" s="173"/>
      <c r="H752" s="173"/>
      <c r="I752" s="173"/>
      <c r="J752" s="173"/>
      <c r="K752" s="173"/>
      <c r="L752" s="173"/>
      <c r="M752" s="173"/>
      <c r="N752" s="173"/>
      <c r="O752" s="173"/>
      <c r="P752" s="173"/>
      <c r="Q752" s="173"/>
      <c r="R752" s="173"/>
      <c r="S752" s="173"/>
      <c r="T752" s="173"/>
      <c r="U752" s="173"/>
      <c r="V752" s="173"/>
      <c r="W752" s="173"/>
      <c r="X752" s="173"/>
      <c r="Y752" s="173"/>
      <c r="Z752" s="173"/>
    </row>
    <row r="753" spans="1:26" ht="11.25" customHeight="1">
      <c r="A753" s="173"/>
      <c r="B753" s="207"/>
      <c r="C753" s="208"/>
      <c r="D753" s="244"/>
      <c r="E753" s="173"/>
      <c r="F753" s="173"/>
      <c r="G753" s="173"/>
      <c r="H753" s="173"/>
      <c r="I753" s="173"/>
      <c r="J753" s="173"/>
      <c r="K753" s="173"/>
      <c r="L753" s="173"/>
      <c r="M753" s="173"/>
      <c r="N753" s="173"/>
      <c r="O753" s="173"/>
      <c r="P753" s="173"/>
      <c r="Q753" s="173"/>
      <c r="R753" s="173"/>
      <c r="S753" s="173"/>
      <c r="T753" s="173"/>
      <c r="U753" s="173"/>
      <c r="V753" s="173"/>
      <c r="W753" s="173"/>
      <c r="X753" s="173"/>
      <c r="Y753" s="173"/>
      <c r="Z753" s="173"/>
    </row>
    <row r="754" spans="1:26" ht="11.25" customHeight="1">
      <c r="A754" s="173"/>
      <c r="B754" s="207"/>
      <c r="C754" s="208"/>
      <c r="D754" s="244"/>
      <c r="E754" s="173"/>
      <c r="F754" s="173"/>
      <c r="G754" s="173"/>
      <c r="H754" s="173"/>
      <c r="I754" s="173"/>
      <c r="J754" s="173"/>
      <c r="K754" s="173"/>
      <c r="L754" s="173"/>
      <c r="M754" s="173"/>
      <c r="N754" s="173"/>
      <c r="O754" s="173"/>
      <c r="P754" s="173"/>
      <c r="Q754" s="173"/>
      <c r="R754" s="173"/>
      <c r="S754" s="173"/>
      <c r="T754" s="173"/>
      <c r="U754" s="173"/>
      <c r="V754" s="173"/>
      <c r="W754" s="173"/>
      <c r="X754" s="173"/>
      <c r="Y754" s="173"/>
      <c r="Z754" s="173"/>
    </row>
    <row r="755" spans="1:26" ht="11.25" customHeight="1">
      <c r="A755" s="173"/>
      <c r="B755" s="207"/>
      <c r="C755" s="208"/>
      <c r="D755" s="244"/>
      <c r="E755" s="173"/>
      <c r="F755" s="173"/>
      <c r="G755" s="173"/>
      <c r="H755" s="173"/>
      <c r="I755" s="173"/>
      <c r="J755" s="173"/>
      <c r="K755" s="173"/>
      <c r="L755" s="173"/>
      <c r="M755" s="173"/>
      <c r="N755" s="173"/>
      <c r="O755" s="173"/>
      <c r="P755" s="173"/>
      <c r="Q755" s="173"/>
      <c r="R755" s="173"/>
      <c r="S755" s="173"/>
      <c r="T755" s="173"/>
      <c r="U755" s="173"/>
      <c r="V755" s="173"/>
      <c r="W755" s="173"/>
      <c r="X755" s="173"/>
      <c r="Y755" s="173"/>
      <c r="Z755" s="173"/>
    </row>
    <row r="756" spans="1:26" ht="11.25" customHeight="1">
      <c r="A756" s="173"/>
      <c r="B756" s="207"/>
      <c r="C756" s="208"/>
      <c r="D756" s="244"/>
      <c r="E756" s="173"/>
      <c r="F756" s="173"/>
      <c r="G756" s="173"/>
      <c r="H756" s="173"/>
      <c r="I756" s="173"/>
      <c r="J756" s="173"/>
      <c r="K756" s="173"/>
      <c r="L756" s="173"/>
      <c r="M756" s="173"/>
      <c r="N756" s="173"/>
      <c r="O756" s="173"/>
      <c r="P756" s="173"/>
      <c r="Q756" s="173"/>
      <c r="R756" s="173"/>
      <c r="S756" s="173"/>
      <c r="T756" s="173"/>
      <c r="U756" s="173"/>
      <c r="V756" s="173"/>
      <c r="W756" s="173"/>
      <c r="X756" s="173"/>
      <c r="Y756" s="173"/>
      <c r="Z756" s="173"/>
    </row>
    <row r="757" spans="1:26" ht="11.25" customHeight="1">
      <c r="A757" s="173"/>
      <c r="B757" s="207"/>
      <c r="C757" s="208"/>
      <c r="D757" s="244"/>
      <c r="E757" s="173"/>
      <c r="F757" s="173"/>
      <c r="G757" s="173"/>
      <c r="H757" s="173"/>
      <c r="I757" s="173"/>
      <c r="J757" s="173"/>
      <c r="K757" s="173"/>
      <c r="L757" s="173"/>
      <c r="M757" s="173"/>
      <c r="N757" s="173"/>
      <c r="O757" s="173"/>
      <c r="P757" s="173"/>
      <c r="Q757" s="173"/>
      <c r="R757" s="173"/>
      <c r="S757" s="173"/>
      <c r="T757" s="173"/>
      <c r="U757" s="173"/>
      <c r="V757" s="173"/>
      <c r="W757" s="173"/>
      <c r="X757" s="173"/>
      <c r="Y757" s="173"/>
      <c r="Z757" s="173"/>
    </row>
    <row r="758" spans="1:26" ht="11.25" customHeight="1">
      <c r="A758" s="173"/>
      <c r="B758" s="207"/>
      <c r="C758" s="208"/>
      <c r="D758" s="244"/>
      <c r="E758" s="173"/>
      <c r="F758" s="173"/>
      <c r="G758" s="173"/>
      <c r="H758" s="173"/>
      <c r="I758" s="173"/>
      <c r="J758" s="173"/>
      <c r="K758" s="173"/>
      <c r="L758" s="173"/>
      <c r="M758" s="173"/>
      <c r="N758" s="173"/>
      <c r="O758" s="173"/>
      <c r="P758" s="173"/>
      <c r="Q758" s="173"/>
      <c r="R758" s="173"/>
      <c r="S758" s="173"/>
      <c r="T758" s="173"/>
      <c r="U758" s="173"/>
      <c r="V758" s="173"/>
      <c r="W758" s="173"/>
      <c r="X758" s="173"/>
      <c r="Y758" s="173"/>
      <c r="Z758" s="173"/>
    </row>
    <row r="759" spans="1:26" ht="11.25" customHeight="1">
      <c r="A759" s="173"/>
      <c r="B759" s="207"/>
      <c r="C759" s="208"/>
      <c r="D759" s="244"/>
      <c r="E759" s="173"/>
      <c r="F759" s="173"/>
      <c r="G759" s="173"/>
      <c r="H759" s="173"/>
      <c r="I759" s="173"/>
      <c r="J759" s="173"/>
      <c r="K759" s="173"/>
      <c r="L759" s="173"/>
      <c r="M759" s="173"/>
      <c r="N759" s="173"/>
      <c r="O759" s="173"/>
      <c r="P759" s="173"/>
      <c r="Q759" s="173"/>
      <c r="R759" s="173"/>
      <c r="S759" s="173"/>
      <c r="T759" s="173"/>
      <c r="U759" s="173"/>
      <c r="V759" s="173"/>
      <c r="W759" s="173"/>
      <c r="X759" s="173"/>
      <c r="Y759" s="173"/>
      <c r="Z759" s="173"/>
    </row>
    <row r="760" spans="1:26" ht="11.25" customHeight="1">
      <c r="A760" s="173"/>
      <c r="B760" s="207"/>
      <c r="C760" s="208"/>
      <c r="D760" s="244"/>
      <c r="E760" s="173"/>
      <c r="F760" s="173"/>
      <c r="G760" s="173"/>
      <c r="H760" s="173"/>
      <c r="I760" s="173"/>
      <c r="J760" s="173"/>
      <c r="K760" s="173"/>
      <c r="L760" s="173"/>
      <c r="M760" s="173"/>
      <c r="N760" s="173"/>
      <c r="O760" s="173"/>
      <c r="P760" s="173"/>
      <c r="Q760" s="173"/>
      <c r="R760" s="173"/>
      <c r="S760" s="173"/>
      <c r="T760" s="173"/>
      <c r="U760" s="173"/>
      <c r="V760" s="173"/>
      <c r="W760" s="173"/>
      <c r="X760" s="173"/>
      <c r="Y760" s="173"/>
      <c r="Z760" s="173"/>
    </row>
    <row r="761" spans="1:26" ht="11.25" customHeight="1">
      <c r="A761" s="173"/>
      <c r="B761" s="207"/>
      <c r="C761" s="208"/>
      <c r="D761" s="244"/>
      <c r="E761" s="173"/>
      <c r="F761" s="173"/>
      <c r="G761" s="173"/>
      <c r="H761" s="173"/>
      <c r="I761" s="173"/>
      <c r="J761" s="173"/>
      <c r="K761" s="173"/>
      <c r="L761" s="173"/>
      <c r="M761" s="173"/>
      <c r="N761" s="173"/>
      <c r="O761" s="173"/>
      <c r="P761" s="173"/>
      <c r="Q761" s="173"/>
      <c r="R761" s="173"/>
      <c r="S761" s="173"/>
      <c r="T761" s="173"/>
      <c r="U761" s="173"/>
      <c r="V761" s="173"/>
      <c r="W761" s="173"/>
      <c r="X761" s="173"/>
      <c r="Y761" s="173"/>
      <c r="Z761" s="173"/>
    </row>
    <row r="762" spans="1:26" ht="11.25" customHeight="1">
      <c r="A762" s="173"/>
      <c r="B762" s="207"/>
      <c r="C762" s="208"/>
      <c r="D762" s="244"/>
      <c r="E762" s="173"/>
      <c r="F762" s="173"/>
      <c r="G762" s="173"/>
      <c r="H762" s="173"/>
      <c r="I762" s="173"/>
      <c r="J762" s="173"/>
      <c r="K762" s="173"/>
      <c r="L762" s="173"/>
      <c r="M762" s="173"/>
      <c r="N762" s="173"/>
      <c r="O762" s="173"/>
      <c r="P762" s="173"/>
      <c r="Q762" s="173"/>
      <c r="R762" s="173"/>
      <c r="S762" s="173"/>
      <c r="T762" s="173"/>
      <c r="U762" s="173"/>
      <c r="V762" s="173"/>
      <c r="W762" s="173"/>
      <c r="X762" s="173"/>
      <c r="Y762" s="173"/>
      <c r="Z762" s="173"/>
    </row>
    <row r="763" spans="1:26" ht="11.25" customHeight="1">
      <c r="A763" s="173"/>
      <c r="B763" s="207"/>
      <c r="C763" s="208"/>
      <c r="D763" s="244"/>
      <c r="E763" s="173"/>
      <c r="F763" s="173"/>
      <c r="G763" s="173"/>
      <c r="H763" s="173"/>
      <c r="I763" s="173"/>
      <c r="J763" s="173"/>
      <c r="K763" s="173"/>
      <c r="L763" s="173"/>
      <c r="M763" s="173"/>
      <c r="N763" s="173"/>
      <c r="O763" s="173"/>
      <c r="P763" s="173"/>
      <c r="Q763" s="173"/>
      <c r="R763" s="173"/>
      <c r="S763" s="173"/>
      <c r="T763" s="173"/>
      <c r="U763" s="173"/>
      <c r="V763" s="173"/>
      <c r="W763" s="173"/>
      <c r="X763" s="173"/>
      <c r="Y763" s="173"/>
      <c r="Z763" s="173"/>
    </row>
    <row r="764" spans="1:26" ht="11.25" customHeight="1">
      <c r="A764" s="173"/>
      <c r="B764" s="207"/>
      <c r="C764" s="208"/>
      <c r="D764" s="244"/>
      <c r="E764" s="173"/>
      <c r="F764" s="173"/>
      <c r="G764" s="173"/>
      <c r="H764" s="173"/>
      <c r="I764" s="173"/>
      <c r="J764" s="173"/>
      <c r="K764" s="173"/>
      <c r="L764" s="173"/>
      <c r="M764" s="173"/>
      <c r="N764" s="173"/>
      <c r="O764" s="173"/>
      <c r="P764" s="173"/>
      <c r="Q764" s="173"/>
      <c r="R764" s="173"/>
      <c r="S764" s="173"/>
      <c r="T764" s="173"/>
      <c r="U764" s="173"/>
      <c r="V764" s="173"/>
      <c r="W764" s="173"/>
      <c r="X764" s="173"/>
      <c r="Y764" s="173"/>
      <c r="Z764" s="173"/>
    </row>
    <row r="765" spans="1:26" ht="11.25" customHeight="1">
      <c r="A765" s="173"/>
      <c r="B765" s="207"/>
      <c r="C765" s="208"/>
      <c r="D765" s="244"/>
      <c r="E765" s="173"/>
      <c r="F765" s="173"/>
      <c r="G765" s="173"/>
      <c r="H765" s="173"/>
      <c r="I765" s="173"/>
      <c r="J765" s="173"/>
      <c r="K765" s="173"/>
      <c r="L765" s="173"/>
      <c r="M765" s="173"/>
      <c r="N765" s="173"/>
      <c r="O765" s="173"/>
      <c r="P765" s="173"/>
      <c r="Q765" s="173"/>
      <c r="R765" s="173"/>
      <c r="S765" s="173"/>
      <c r="T765" s="173"/>
      <c r="U765" s="173"/>
      <c r="V765" s="173"/>
      <c r="W765" s="173"/>
      <c r="X765" s="173"/>
      <c r="Y765" s="173"/>
      <c r="Z765" s="173"/>
    </row>
    <row r="766" spans="1:26" ht="11.25" customHeight="1">
      <c r="A766" s="173"/>
      <c r="B766" s="207"/>
      <c r="C766" s="208"/>
      <c r="D766" s="244"/>
      <c r="E766" s="173"/>
      <c r="F766" s="173"/>
      <c r="G766" s="173"/>
      <c r="H766" s="173"/>
      <c r="I766" s="173"/>
      <c r="J766" s="173"/>
      <c r="K766" s="173"/>
      <c r="L766" s="173"/>
      <c r="M766" s="173"/>
      <c r="N766" s="173"/>
      <c r="O766" s="173"/>
      <c r="P766" s="173"/>
      <c r="Q766" s="173"/>
      <c r="R766" s="173"/>
      <c r="S766" s="173"/>
      <c r="T766" s="173"/>
      <c r="U766" s="173"/>
      <c r="V766" s="173"/>
      <c r="W766" s="173"/>
      <c r="X766" s="173"/>
      <c r="Y766" s="173"/>
      <c r="Z766" s="173"/>
    </row>
    <row r="767" spans="1:26" ht="11.25" customHeight="1">
      <c r="A767" s="173"/>
      <c r="B767" s="207"/>
      <c r="C767" s="208"/>
      <c r="D767" s="244"/>
      <c r="E767" s="173"/>
      <c r="F767" s="173"/>
      <c r="G767" s="173"/>
      <c r="H767" s="173"/>
      <c r="I767" s="173"/>
      <c r="J767" s="173"/>
      <c r="K767" s="173"/>
      <c r="L767" s="173"/>
      <c r="M767" s="173"/>
      <c r="N767" s="173"/>
      <c r="O767" s="173"/>
      <c r="P767" s="173"/>
      <c r="Q767" s="173"/>
      <c r="R767" s="173"/>
      <c r="S767" s="173"/>
      <c r="T767" s="173"/>
      <c r="U767" s="173"/>
      <c r="V767" s="173"/>
      <c r="W767" s="173"/>
      <c r="X767" s="173"/>
      <c r="Y767" s="173"/>
      <c r="Z767" s="173"/>
    </row>
    <row r="768" spans="1:26" ht="11.25" customHeight="1">
      <c r="A768" s="173"/>
      <c r="B768" s="207"/>
      <c r="C768" s="208"/>
      <c r="D768" s="244"/>
      <c r="E768" s="173"/>
      <c r="F768" s="173"/>
      <c r="G768" s="173"/>
      <c r="H768" s="173"/>
      <c r="I768" s="173"/>
      <c r="J768" s="173"/>
      <c r="K768" s="173"/>
      <c r="L768" s="173"/>
      <c r="M768" s="173"/>
      <c r="N768" s="173"/>
      <c r="O768" s="173"/>
      <c r="P768" s="173"/>
      <c r="Q768" s="173"/>
      <c r="R768" s="173"/>
      <c r="S768" s="173"/>
      <c r="T768" s="173"/>
      <c r="U768" s="173"/>
      <c r="V768" s="173"/>
      <c r="W768" s="173"/>
      <c r="X768" s="173"/>
      <c r="Y768" s="173"/>
      <c r="Z768" s="173"/>
    </row>
    <row r="769" spans="1:26" ht="11.25" customHeight="1">
      <c r="A769" s="173"/>
      <c r="B769" s="207"/>
      <c r="C769" s="208"/>
      <c r="D769" s="244"/>
      <c r="E769" s="173"/>
      <c r="F769" s="173"/>
      <c r="G769" s="173"/>
      <c r="H769" s="173"/>
      <c r="I769" s="173"/>
      <c r="J769" s="173"/>
      <c r="K769" s="173"/>
      <c r="L769" s="173"/>
      <c r="M769" s="173"/>
      <c r="N769" s="173"/>
      <c r="O769" s="173"/>
      <c r="P769" s="173"/>
      <c r="Q769" s="173"/>
      <c r="R769" s="173"/>
      <c r="S769" s="173"/>
      <c r="T769" s="173"/>
      <c r="U769" s="173"/>
      <c r="V769" s="173"/>
      <c r="W769" s="173"/>
      <c r="X769" s="173"/>
      <c r="Y769" s="173"/>
      <c r="Z769" s="173"/>
    </row>
    <row r="770" spans="1:26" ht="11.25" customHeight="1">
      <c r="A770" s="173"/>
      <c r="B770" s="207"/>
      <c r="C770" s="208"/>
      <c r="D770" s="244"/>
      <c r="E770" s="173"/>
      <c r="F770" s="173"/>
      <c r="G770" s="173"/>
      <c r="H770" s="173"/>
      <c r="I770" s="173"/>
      <c r="J770" s="173"/>
      <c r="K770" s="173"/>
      <c r="L770" s="173"/>
      <c r="M770" s="173"/>
      <c r="N770" s="173"/>
      <c r="O770" s="173"/>
      <c r="P770" s="173"/>
      <c r="Q770" s="173"/>
      <c r="R770" s="173"/>
      <c r="S770" s="173"/>
      <c r="T770" s="173"/>
      <c r="U770" s="173"/>
      <c r="V770" s="173"/>
      <c r="W770" s="173"/>
      <c r="X770" s="173"/>
      <c r="Y770" s="173"/>
      <c r="Z770" s="173"/>
    </row>
    <row r="771" spans="1:26" ht="11.25" customHeight="1">
      <c r="A771" s="173"/>
      <c r="B771" s="207"/>
      <c r="C771" s="208"/>
      <c r="D771" s="244"/>
      <c r="E771" s="173"/>
      <c r="F771" s="173"/>
      <c r="G771" s="173"/>
      <c r="H771" s="173"/>
      <c r="I771" s="173"/>
      <c r="J771" s="173"/>
      <c r="K771" s="173"/>
      <c r="L771" s="173"/>
      <c r="M771" s="173"/>
      <c r="N771" s="173"/>
      <c r="O771" s="173"/>
      <c r="P771" s="173"/>
      <c r="Q771" s="173"/>
      <c r="R771" s="173"/>
      <c r="S771" s="173"/>
      <c r="T771" s="173"/>
      <c r="U771" s="173"/>
      <c r="V771" s="173"/>
      <c r="W771" s="173"/>
      <c r="X771" s="173"/>
      <c r="Y771" s="173"/>
      <c r="Z771" s="173"/>
    </row>
    <row r="772" spans="1:26" ht="11.25" customHeight="1">
      <c r="A772" s="173"/>
      <c r="B772" s="207"/>
      <c r="C772" s="208"/>
      <c r="D772" s="244"/>
      <c r="E772" s="173"/>
      <c r="F772" s="173"/>
      <c r="G772" s="173"/>
      <c r="H772" s="173"/>
      <c r="I772" s="173"/>
      <c r="J772" s="173"/>
      <c r="K772" s="173"/>
      <c r="L772" s="173"/>
      <c r="M772" s="173"/>
      <c r="N772" s="173"/>
      <c r="O772" s="173"/>
      <c r="P772" s="173"/>
      <c r="Q772" s="173"/>
      <c r="R772" s="173"/>
      <c r="S772" s="173"/>
      <c r="T772" s="173"/>
      <c r="U772" s="173"/>
      <c r="V772" s="173"/>
      <c r="W772" s="173"/>
      <c r="X772" s="173"/>
      <c r="Y772" s="173"/>
      <c r="Z772" s="173"/>
    </row>
    <row r="773" spans="1:26" ht="11.25" customHeight="1">
      <c r="A773" s="173"/>
      <c r="B773" s="207"/>
      <c r="C773" s="208"/>
      <c r="D773" s="244"/>
      <c r="E773" s="173"/>
      <c r="F773" s="173"/>
      <c r="G773" s="173"/>
      <c r="H773" s="173"/>
      <c r="I773" s="173"/>
      <c r="J773" s="173"/>
      <c r="K773" s="173"/>
      <c r="L773" s="173"/>
      <c r="M773" s="173"/>
      <c r="N773" s="173"/>
      <c r="O773" s="173"/>
      <c r="P773" s="173"/>
      <c r="Q773" s="173"/>
      <c r="R773" s="173"/>
      <c r="S773" s="173"/>
      <c r="T773" s="173"/>
      <c r="U773" s="173"/>
      <c r="V773" s="173"/>
      <c r="W773" s="173"/>
      <c r="X773" s="173"/>
      <c r="Y773" s="173"/>
      <c r="Z773" s="173"/>
    </row>
    <row r="774" spans="1:26" ht="11.25" customHeight="1">
      <c r="A774" s="173"/>
      <c r="B774" s="207"/>
      <c r="C774" s="208"/>
      <c r="D774" s="244"/>
      <c r="E774" s="173"/>
      <c r="F774" s="173"/>
      <c r="G774" s="173"/>
      <c r="H774" s="173"/>
      <c r="I774" s="173"/>
      <c r="J774" s="173"/>
      <c r="K774" s="173"/>
      <c r="L774" s="173"/>
      <c r="M774" s="173"/>
      <c r="N774" s="173"/>
      <c r="O774" s="173"/>
      <c r="P774" s="173"/>
      <c r="Q774" s="173"/>
      <c r="R774" s="173"/>
      <c r="S774" s="173"/>
      <c r="T774" s="173"/>
      <c r="U774" s="173"/>
      <c r="V774" s="173"/>
      <c r="W774" s="173"/>
      <c r="X774" s="173"/>
      <c r="Y774" s="173"/>
      <c r="Z774" s="173"/>
    </row>
    <row r="775" spans="1:26" ht="11.25" customHeight="1">
      <c r="A775" s="173"/>
      <c r="B775" s="207"/>
      <c r="C775" s="208"/>
      <c r="D775" s="244"/>
      <c r="E775" s="173"/>
      <c r="F775" s="173"/>
      <c r="G775" s="173"/>
      <c r="H775" s="173"/>
      <c r="I775" s="173"/>
      <c r="J775" s="173"/>
      <c r="K775" s="173"/>
      <c r="L775" s="173"/>
      <c r="M775" s="173"/>
      <c r="N775" s="173"/>
      <c r="O775" s="173"/>
      <c r="P775" s="173"/>
      <c r="Q775" s="173"/>
      <c r="R775" s="173"/>
      <c r="S775" s="173"/>
      <c r="T775" s="173"/>
      <c r="U775" s="173"/>
      <c r="V775" s="173"/>
      <c r="W775" s="173"/>
      <c r="X775" s="173"/>
      <c r="Y775" s="173"/>
      <c r="Z775" s="173"/>
    </row>
    <row r="776" spans="1:26" ht="11.25" customHeight="1">
      <c r="A776" s="173"/>
      <c r="B776" s="207"/>
      <c r="C776" s="208"/>
      <c r="D776" s="244"/>
      <c r="E776" s="173"/>
      <c r="F776" s="173"/>
      <c r="G776" s="173"/>
      <c r="H776" s="173"/>
      <c r="I776" s="173"/>
      <c r="J776" s="173"/>
      <c r="K776" s="173"/>
      <c r="L776" s="173"/>
      <c r="M776" s="173"/>
      <c r="N776" s="173"/>
      <c r="O776" s="173"/>
      <c r="P776" s="173"/>
      <c r="Q776" s="173"/>
      <c r="R776" s="173"/>
      <c r="S776" s="173"/>
      <c r="T776" s="173"/>
      <c r="U776" s="173"/>
      <c r="V776" s="173"/>
      <c r="W776" s="173"/>
      <c r="X776" s="173"/>
      <c r="Y776" s="173"/>
      <c r="Z776" s="173"/>
    </row>
    <row r="777" spans="1:26" ht="11.25" customHeight="1">
      <c r="A777" s="173"/>
      <c r="B777" s="207"/>
      <c r="C777" s="208"/>
      <c r="D777" s="244"/>
      <c r="E777" s="173"/>
      <c r="F777" s="173"/>
      <c r="G777" s="173"/>
      <c r="H777" s="173"/>
      <c r="I777" s="173"/>
      <c r="J777" s="173"/>
      <c r="K777" s="173"/>
      <c r="L777" s="173"/>
      <c r="M777" s="173"/>
      <c r="N777" s="173"/>
      <c r="O777" s="173"/>
      <c r="P777" s="173"/>
      <c r="Q777" s="173"/>
      <c r="R777" s="173"/>
      <c r="S777" s="173"/>
      <c r="T777" s="173"/>
      <c r="U777" s="173"/>
      <c r="V777" s="173"/>
      <c r="W777" s="173"/>
      <c r="X777" s="173"/>
      <c r="Y777" s="173"/>
      <c r="Z777" s="173"/>
    </row>
    <row r="778" spans="1:26" ht="11.25" customHeight="1">
      <c r="A778" s="173"/>
      <c r="B778" s="207"/>
      <c r="C778" s="208"/>
      <c r="D778" s="244"/>
      <c r="E778" s="173"/>
      <c r="F778" s="173"/>
      <c r="G778" s="173"/>
      <c r="H778" s="173"/>
      <c r="I778" s="173"/>
      <c r="J778" s="173"/>
      <c r="K778" s="173"/>
      <c r="L778" s="173"/>
      <c r="M778" s="173"/>
      <c r="N778" s="173"/>
      <c r="O778" s="173"/>
      <c r="P778" s="173"/>
      <c r="Q778" s="173"/>
      <c r="R778" s="173"/>
      <c r="S778" s="173"/>
      <c r="T778" s="173"/>
      <c r="U778" s="173"/>
      <c r="V778" s="173"/>
      <c r="W778" s="173"/>
      <c r="X778" s="173"/>
      <c r="Y778" s="173"/>
      <c r="Z778" s="173"/>
    </row>
    <row r="779" spans="1:26" ht="11.25" customHeight="1">
      <c r="A779" s="173"/>
      <c r="B779" s="207"/>
      <c r="C779" s="208"/>
      <c r="D779" s="244"/>
      <c r="E779" s="173"/>
      <c r="F779" s="173"/>
      <c r="G779" s="173"/>
      <c r="H779" s="173"/>
      <c r="I779" s="173"/>
      <c r="J779" s="173"/>
      <c r="K779" s="173"/>
      <c r="L779" s="173"/>
      <c r="M779" s="173"/>
      <c r="N779" s="173"/>
      <c r="O779" s="173"/>
      <c r="P779" s="173"/>
      <c r="Q779" s="173"/>
      <c r="R779" s="173"/>
      <c r="S779" s="173"/>
      <c r="T779" s="173"/>
      <c r="U779" s="173"/>
      <c r="V779" s="173"/>
      <c r="W779" s="173"/>
      <c r="X779" s="173"/>
      <c r="Y779" s="173"/>
      <c r="Z779" s="173"/>
    </row>
    <row r="780" spans="1:26" ht="11.25" customHeight="1">
      <c r="A780" s="173"/>
      <c r="B780" s="207"/>
      <c r="C780" s="208"/>
      <c r="D780" s="244"/>
      <c r="E780" s="173"/>
      <c r="F780" s="173"/>
      <c r="G780" s="173"/>
      <c r="H780" s="173"/>
      <c r="I780" s="173"/>
      <c r="J780" s="173"/>
      <c r="K780" s="173"/>
      <c r="L780" s="173"/>
      <c r="M780" s="173"/>
      <c r="N780" s="173"/>
      <c r="O780" s="173"/>
      <c r="P780" s="173"/>
      <c r="Q780" s="173"/>
      <c r="R780" s="173"/>
      <c r="S780" s="173"/>
      <c r="T780" s="173"/>
      <c r="U780" s="173"/>
      <c r="V780" s="173"/>
      <c r="W780" s="173"/>
      <c r="X780" s="173"/>
      <c r="Y780" s="173"/>
      <c r="Z780" s="173"/>
    </row>
    <row r="781" spans="1:26" ht="11.25" customHeight="1">
      <c r="A781" s="173"/>
      <c r="B781" s="207"/>
      <c r="C781" s="208"/>
      <c r="D781" s="244"/>
      <c r="E781" s="173"/>
      <c r="F781" s="173"/>
      <c r="G781" s="173"/>
      <c r="H781" s="173"/>
      <c r="I781" s="173"/>
      <c r="J781" s="173"/>
      <c r="K781" s="173"/>
      <c r="L781" s="173"/>
      <c r="M781" s="173"/>
      <c r="N781" s="173"/>
      <c r="O781" s="173"/>
      <c r="P781" s="173"/>
      <c r="Q781" s="173"/>
      <c r="R781" s="173"/>
      <c r="S781" s="173"/>
      <c r="T781" s="173"/>
      <c r="U781" s="173"/>
      <c r="V781" s="173"/>
      <c r="W781" s="173"/>
      <c r="X781" s="173"/>
      <c r="Y781" s="173"/>
      <c r="Z781" s="173"/>
    </row>
    <row r="782" spans="1:26" ht="11.25" customHeight="1">
      <c r="A782" s="173"/>
      <c r="B782" s="207"/>
      <c r="C782" s="208"/>
      <c r="D782" s="244"/>
      <c r="E782" s="173"/>
      <c r="F782" s="173"/>
      <c r="G782" s="173"/>
      <c r="H782" s="173"/>
      <c r="I782" s="173"/>
      <c r="J782" s="173"/>
      <c r="K782" s="173"/>
      <c r="L782" s="173"/>
      <c r="M782" s="173"/>
      <c r="N782" s="173"/>
      <c r="O782" s="173"/>
      <c r="P782" s="173"/>
      <c r="Q782" s="173"/>
      <c r="R782" s="173"/>
      <c r="S782" s="173"/>
      <c r="T782" s="173"/>
      <c r="U782" s="173"/>
      <c r="V782" s="173"/>
      <c r="W782" s="173"/>
      <c r="X782" s="173"/>
      <c r="Y782" s="173"/>
      <c r="Z782" s="173"/>
    </row>
    <row r="783" spans="1:26" ht="11.25" customHeight="1">
      <c r="A783" s="173"/>
      <c r="B783" s="207"/>
      <c r="C783" s="208"/>
      <c r="D783" s="244"/>
      <c r="E783" s="173"/>
      <c r="F783" s="173"/>
      <c r="G783" s="173"/>
      <c r="H783" s="173"/>
      <c r="I783" s="173"/>
      <c r="J783" s="173"/>
      <c r="K783" s="173"/>
      <c r="L783" s="173"/>
      <c r="M783" s="173"/>
      <c r="N783" s="173"/>
      <c r="O783" s="173"/>
      <c r="P783" s="173"/>
      <c r="Q783" s="173"/>
      <c r="R783" s="173"/>
      <c r="S783" s="173"/>
      <c r="T783" s="173"/>
      <c r="U783" s="173"/>
      <c r="V783" s="173"/>
      <c r="W783" s="173"/>
      <c r="X783" s="173"/>
      <c r="Y783" s="173"/>
      <c r="Z783" s="173"/>
    </row>
    <row r="784" spans="1:26" ht="11.25" customHeight="1">
      <c r="A784" s="173"/>
      <c r="B784" s="207"/>
      <c r="C784" s="208"/>
      <c r="D784" s="244"/>
      <c r="E784" s="173"/>
      <c r="F784" s="173"/>
      <c r="G784" s="173"/>
      <c r="H784" s="173"/>
      <c r="I784" s="173"/>
      <c r="J784" s="173"/>
      <c r="K784" s="173"/>
      <c r="L784" s="173"/>
      <c r="M784" s="173"/>
      <c r="N784" s="173"/>
      <c r="O784" s="173"/>
      <c r="P784" s="173"/>
      <c r="Q784" s="173"/>
      <c r="R784" s="173"/>
      <c r="S784" s="173"/>
      <c r="T784" s="173"/>
      <c r="U784" s="173"/>
      <c r="V784" s="173"/>
      <c r="W784" s="173"/>
      <c r="X784" s="173"/>
      <c r="Y784" s="173"/>
      <c r="Z784" s="173"/>
    </row>
    <row r="785" spans="1:26" ht="11.25" customHeight="1">
      <c r="A785" s="173"/>
      <c r="B785" s="207"/>
      <c r="C785" s="208"/>
      <c r="D785" s="244"/>
      <c r="E785" s="173"/>
      <c r="F785" s="173"/>
      <c r="G785" s="173"/>
      <c r="H785" s="173"/>
      <c r="I785" s="173"/>
      <c r="J785" s="173"/>
      <c r="K785" s="173"/>
      <c r="L785" s="173"/>
      <c r="M785" s="173"/>
      <c r="N785" s="173"/>
      <c r="O785" s="173"/>
      <c r="P785" s="173"/>
      <c r="Q785" s="173"/>
      <c r="R785" s="173"/>
      <c r="S785" s="173"/>
      <c r="T785" s="173"/>
      <c r="U785" s="173"/>
      <c r="V785" s="173"/>
      <c r="W785" s="173"/>
      <c r="X785" s="173"/>
      <c r="Y785" s="173"/>
      <c r="Z785" s="173"/>
    </row>
    <row r="786" spans="1:26" ht="11.25" customHeight="1">
      <c r="A786" s="173"/>
      <c r="B786" s="207"/>
      <c r="C786" s="208"/>
      <c r="D786" s="244"/>
      <c r="E786" s="173"/>
      <c r="F786" s="173"/>
      <c r="G786" s="173"/>
      <c r="H786" s="173"/>
      <c r="I786" s="173"/>
      <c r="J786" s="173"/>
      <c r="K786" s="173"/>
      <c r="L786" s="173"/>
      <c r="M786" s="173"/>
      <c r="N786" s="173"/>
      <c r="O786" s="173"/>
      <c r="P786" s="173"/>
      <c r="Q786" s="173"/>
      <c r="R786" s="173"/>
      <c r="S786" s="173"/>
      <c r="T786" s="173"/>
      <c r="U786" s="173"/>
      <c r="V786" s="173"/>
      <c r="W786" s="173"/>
      <c r="X786" s="173"/>
      <c r="Y786" s="173"/>
      <c r="Z786" s="173"/>
    </row>
    <row r="787" spans="1:26" ht="11.25" customHeight="1">
      <c r="A787" s="173"/>
      <c r="B787" s="207"/>
      <c r="C787" s="208"/>
      <c r="D787" s="244"/>
      <c r="E787" s="173"/>
      <c r="F787" s="173"/>
      <c r="G787" s="173"/>
      <c r="H787" s="173"/>
      <c r="I787" s="173"/>
      <c r="J787" s="173"/>
      <c r="K787" s="173"/>
      <c r="L787" s="173"/>
      <c r="M787" s="173"/>
      <c r="N787" s="173"/>
      <c r="O787" s="173"/>
      <c r="P787" s="173"/>
      <c r="Q787" s="173"/>
      <c r="R787" s="173"/>
      <c r="S787" s="173"/>
      <c r="T787" s="173"/>
      <c r="U787" s="173"/>
      <c r="V787" s="173"/>
      <c r="W787" s="173"/>
      <c r="X787" s="173"/>
      <c r="Y787" s="173"/>
      <c r="Z787" s="173"/>
    </row>
    <row r="788" spans="1:26" ht="11.25" customHeight="1">
      <c r="A788" s="173"/>
      <c r="B788" s="207"/>
      <c r="C788" s="208"/>
      <c r="D788" s="244"/>
      <c r="E788" s="173"/>
      <c r="F788" s="173"/>
      <c r="G788" s="173"/>
      <c r="H788" s="173"/>
      <c r="I788" s="173"/>
      <c r="J788" s="173"/>
      <c r="K788" s="173"/>
      <c r="L788" s="173"/>
      <c r="M788" s="173"/>
      <c r="N788" s="173"/>
      <c r="O788" s="173"/>
      <c r="P788" s="173"/>
      <c r="Q788" s="173"/>
      <c r="R788" s="173"/>
      <c r="S788" s="173"/>
      <c r="T788" s="173"/>
      <c r="U788" s="173"/>
      <c r="V788" s="173"/>
      <c r="W788" s="173"/>
      <c r="X788" s="173"/>
      <c r="Y788" s="173"/>
      <c r="Z788" s="173"/>
    </row>
    <row r="789" spans="1:26" ht="11.25" customHeight="1">
      <c r="A789" s="173"/>
      <c r="B789" s="207"/>
      <c r="C789" s="208"/>
      <c r="D789" s="244"/>
      <c r="E789" s="173"/>
      <c r="F789" s="173"/>
      <c r="G789" s="173"/>
      <c r="H789" s="173"/>
      <c r="I789" s="173"/>
      <c r="J789" s="173"/>
      <c r="K789" s="173"/>
      <c r="L789" s="173"/>
      <c r="M789" s="173"/>
      <c r="N789" s="173"/>
      <c r="O789" s="173"/>
      <c r="P789" s="173"/>
      <c r="Q789" s="173"/>
      <c r="R789" s="173"/>
      <c r="S789" s="173"/>
      <c r="T789" s="173"/>
      <c r="U789" s="173"/>
      <c r="V789" s="173"/>
      <c r="W789" s="173"/>
      <c r="X789" s="173"/>
      <c r="Y789" s="173"/>
      <c r="Z789" s="173"/>
    </row>
    <row r="790" spans="1:26" ht="11.25" customHeight="1">
      <c r="A790" s="173"/>
      <c r="B790" s="207"/>
      <c r="C790" s="208"/>
      <c r="D790" s="244"/>
      <c r="E790" s="173"/>
      <c r="F790" s="173"/>
      <c r="G790" s="173"/>
      <c r="H790" s="173"/>
      <c r="I790" s="173"/>
      <c r="J790" s="173"/>
      <c r="K790" s="173"/>
      <c r="L790" s="173"/>
      <c r="M790" s="173"/>
      <c r="N790" s="173"/>
      <c r="O790" s="173"/>
      <c r="P790" s="173"/>
      <c r="Q790" s="173"/>
      <c r="R790" s="173"/>
      <c r="S790" s="173"/>
      <c r="T790" s="173"/>
      <c r="U790" s="173"/>
      <c r="V790" s="173"/>
      <c r="W790" s="173"/>
      <c r="X790" s="173"/>
      <c r="Y790" s="173"/>
      <c r="Z790" s="173"/>
    </row>
    <row r="791" spans="1:26" ht="11.25" customHeight="1">
      <c r="A791" s="173"/>
      <c r="B791" s="207"/>
      <c r="C791" s="208"/>
      <c r="D791" s="244"/>
      <c r="E791" s="173"/>
      <c r="F791" s="173"/>
      <c r="G791" s="173"/>
      <c r="H791" s="173"/>
      <c r="I791" s="173"/>
      <c r="J791" s="173"/>
      <c r="K791" s="173"/>
      <c r="L791" s="173"/>
      <c r="M791" s="173"/>
      <c r="N791" s="173"/>
      <c r="O791" s="173"/>
      <c r="P791" s="173"/>
      <c r="Q791" s="173"/>
      <c r="R791" s="173"/>
      <c r="S791" s="173"/>
      <c r="T791" s="173"/>
      <c r="U791" s="173"/>
      <c r="V791" s="173"/>
      <c r="W791" s="173"/>
      <c r="X791" s="173"/>
      <c r="Y791" s="173"/>
      <c r="Z791" s="173"/>
    </row>
    <row r="792" spans="1:26" ht="11.25" customHeight="1">
      <c r="A792" s="173"/>
      <c r="B792" s="207"/>
      <c r="C792" s="208"/>
      <c r="D792" s="244"/>
      <c r="E792" s="173"/>
      <c r="F792" s="173"/>
      <c r="G792" s="173"/>
      <c r="H792" s="173"/>
      <c r="I792" s="173"/>
      <c r="J792" s="173"/>
      <c r="K792" s="173"/>
      <c r="L792" s="173"/>
      <c r="M792" s="173"/>
      <c r="N792" s="173"/>
      <c r="O792" s="173"/>
      <c r="P792" s="173"/>
      <c r="Q792" s="173"/>
      <c r="R792" s="173"/>
      <c r="S792" s="173"/>
      <c r="T792" s="173"/>
      <c r="U792" s="173"/>
      <c r="V792" s="173"/>
      <c r="W792" s="173"/>
      <c r="X792" s="173"/>
      <c r="Y792" s="173"/>
      <c r="Z792" s="173"/>
    </row>
    <row r="793" spans="1:26" ht="11.25" customHeight="1">
      <c r="A793" s="173"/>
      <c r="B793" s="207"/>
      <c r="C793" s="208"/>
      <c r="D793" s="244"/>
      <c r="E793" s="173"/>
      <c r="F793" s="173"/>
      <c r="G793" s="173"/>
      <c r="H793" s="173"/>
      <c r="I793" s="173"/>
      <c r="J793" s="173"/>
      <c r="K793" s="173"/>
      <c r="L793" s="173"/>
      <c r="M793" s="173"/>
      <c r="N793" s="173"/>
      <c r="O793" s="173"/>
      <c r="P793" s="173"/>
      <c r="Q793" s="173"/>
      <c r="R793" s="173"/>
      <c r="S793" s="173"/>
      <c r="T793" s="173"/>
      <c r="U793" s="173"/>
      <c r="V793" s="173"/>
      <c r="W793" s="173"/>
      <c r="X793" s="173"/>
      <c r="Y793" s="173"/>
      <c r="Z793" s="173"/>
    </row>
    <row r="794" spans="1:26" ht="11.25" customHeight="1">
      <c r="A794" s="173"/>
      <c r="B794" s="207"/>
      <c r="C794" s="208"/>
      <c r="D794" s="244"/>
      <c r="E794" s="173"/>
      <c r="F794" s="173"/>
      <c r="G794" s="173"/>
      <c r="H794" s="173"/>
      <c r="I794" s="173"/>
      <c r="J794" s="173"/>
      <c r="K794" s="173"/>
      <c r="L794" s="173"/>
      <c r="M794" s="173"/>
      <c r="N794" s="173"/>
      <c r="O794" s="173"/>
      <c r="P794" s="173"/>
      <c r="Q794" s="173"/>
      <c r="R794" s="173"/>
      <c r="S794" s="173"/>
      <c r="T794" s="173"/>
      <c r="U794" s="173"/>
      <c r="V794" s="173"/>
      <c r="W794" s="173"/>
      <c r="X794" s="173"/>
      <c r="Y794" s="173"/>
      <c r="Z794" s="173"/>
    </row>
    <row r="795" spans="1:26" ht="11.25" customHeight="1">
      <c r="A795" s="173"/>
      <c r="B795" s="207"/>
      <c r="C795" s="208"/>
      <c r="D795" s="244"/>
      <c r="E795" s="173"/>
      <c r="F795" s="173"/>
      <c r="G795" s="173"/>
      <c r="H795" s="173"/>
      <c r="I795" s="173"/>
      <c r="J795" s="173"/>
      <c r="K795" s="173"/>
      <c r="L795" s="173"/>
      <c r="M795" s="173"/>
      <c r="N795" s="173"/>
      <c r="O795" s="173"/>
      <c r="P795" s="173"/>
      <c r="Q795" s="173"/>
      <c r="R795" s="173"/>
      <c r="S795" s="173"/>
      <c r="T795" s="173"/>
      <c r="U795" s="173"/>
      <c r="V795" s="173"/>
      <c r="W795" s="173"/>
      <c r="X795" s="173"/>
      <c r="Y795" s="173"/>
      <c r="Z795" s="173"/>
    </row>
    <row r="796" spans="1:26" ht="11.25" customHeight="1">
      <c r="A796" s="173"/>
      <c r="B796" s="207"/>
      <c r="C796" s="208"/>
      <c r="D796" s="244"/>
      <c r="E796" s="173"/>
      <c r="F796" s="173"/>
      <c r="G796" s="173"/>
      <c r="H796" s="173"/>
      <c r="I796" s="173"/>
      <c r="J796" s="173"/>
      <c r="K796" s="173"/>
      <c r="L796" s="173"/>
      <c r="M796" s="173"/>
      <c r="N796" s="173"/>
      <c r="O796" s="173"/>
      <c r="P796" s="173"/>
      <c r="Q796" s="173"/>
      <c r="R796" s="173"/>
      <c r="S796" s="173"/>
      <c r="T796" s="173"/>
      <c r="U796" s="173"/>
      <c r="V796" s="173"/>
      <c r="W796" s="173"/>
      <c r="X796" s="173"/>
      <c r="Y796" s="173"/>
      <c r="Z796" s="173"/>
    </row>
    <row r="797" spans="1:26" ht="11.25" customHeight="1">
      <c r="A797" s="173"/>
      <c r="B797" s="207"/>
      <c r="C797" s="208"/>
      <c r="D797" s="244"/>
      <c r="E797" s="173"/>
      <c r="F797" s="173"/>
      <c r="G797" s="173"/>
      <c r="H797" s="173"/>
      <c r="I797" s="173"/>
      <c r="J797" s="173"/>
      <c r="K797" s="173"/>
      <c r="L797" s="173"/>
      <c r="M797" s="173"/>
      <c r="N797" s="173"/>
      <c r="O797" s="173"/>
      <c r="P797" s="173"/>
      <c r="Q797" s="173"/>
      <c r="R797" s="173"/>
      <c r="S797" s="173"/>
      <c r="T797" s="173"/>
      <c r="U797" s="173"/>
      <c r="V797" s="173"/>
      <c r="W797" s="173"/>
      <c r="X797" s="173"/>
      <c r="Y797" s="173"/>
      <c r="Z797" s="173"/>
    </row>
    <row r="798" spans="1:26" ht="11.25" customHeight="1">
      <c r="A798" s="173"/>
      <c r="B798" s="207"/>
      <c r="C798" s="208"/>
      <c r="D798" s="244"/>
      <c r="E798" s="173"/>
      <c r="F798" s="173"/>
      <c r="G798" s="173"/>
      <c r="H798" s="173"/>
      <c r="I798" s="173"/>
      <c r="J798" s="173"/>
      <c r="K798" s="173"/>
      <c r="L798" s="173"/>
      <c r="M798" s="173"/>
      <c r="N798" s="173"/>
      <c r="O798" s="173"/>
      <c r="P798" s="173"/>
      <c r="Q798" s="173"/>
      <c r="R798" s="173"/>
      <c r="S798" s="173"/>
      <c r="T798" s="173"/>
      <c r="U798" s="173"/>
      <c r="V798" s="173"/>
      <c r="W798" s="173"/>
      <c r="X798" s="173"/>
      <c r="Y798" s="173"/>
      <c r="Z798" s="173"/>
    </row>
    <row r="799" spans="1:26" ht="11.25" customHeight="1">
      <c r="A799" s="173"/>
      <c r="B799" s="207"/>
      <c r="C799" s="208"/>
      <c r="D799" s="244"/>
      <c r="E799" s="173"/>
      <c r="F799" s="173"/>
      <c r="G799" s="173"/>
      <c r="H799" s="173"/>
      <c r="I799" s="173"/>
      <c r="J799" s="173"/>
      <c r="K799" s="173"/>
      <c r="L799" s="173"/>
      <c r="M799" s="173"/>
      <c r="N799" s="173"/>
      <c r="O799" s="173"/>
      <c r="P799" s="173"/>
      <c r="Q799" s="173"/>
      <c r="R799" s="173"/>
      <c r="S799" s="173"/>
      <c r="T799" s="173"/>
      <c r="U799" s="173"/>
      <c r="V799" s="173"/>
      <c r="W799" s="173"/>
      <c r="X799" s="173"/>
      <c r="Y799" s="173"/>
      <c r="Z799" s="173"/>
    </row>
    <row r="800" spans="1:26" ht="11.25" customHeight="1">
      <c r="A800" s="173"/>
      <c r="B800" s="207"/>
      <c r="C800" s="208"/>
      <c r="D800" s="244"/>
      <c r="E800" s="173"/>
      <c r="F800" s="173"/>
      <c r="G800" s="173"/>
      <c r="H800" s="173"/>
      <c r="I800" s="173"/>
      <c r="J800" s="173"/>
      <c r="K800" s="173"/>
      <c r="L800" s="173"/>
      <c r="M800" s="173"/>
      <c r="N800" s="173"/>
      <c r="O800" s="173"/>
      <c r="P800" s="173"/>
      <c r="Q800" s="173"/>
      <c r="R800" s="173"/>
      <c r="S800" s="173"/>
      <c r="T800" s="173"/>
      <c r="U800" s="173"/>
      <c r="V800" s="173"/>
      <c r="W800" s="173"/>
      <c r="X800" s="173"/>
      <c r="Y800" s="173"/>
      <c r="Z800" s="173"/>
    </row>
    <row r="801" spans="1:26" ht="11.25" customHeight="1">
      <c r="A801" s="173"/>
      <c r="B801" s="207"/>
      <c r="C801" s="208"/>
      <c r="D801" s="244"/>
      <c r="E801" s="173"/>
      <c r="F801" s="173"/>
      <c r="G801" s="173"/>
      <c r="H801" s="173"/>
      <c r="I801" s="173"/>
      <c r="J801" s="173"/>
      <c r="K801" s="173"/>
      <c r="L801" s="173"/>
      <c r="M801" s="173"/>
      <c r="N801" s="173"/>
      <c r="O801" s="173"/>
      <c r="P801" s="173"/>
      <c r="Q801" s="173"/>
      <c r="R801" s="173"/>
      <c r="S801" s="173"/>
      <c r="T801" s="173"/>
      <c r="U801" s="173"/>
      <c r="V801" s="173"/>
      <c r="W801" s="173"/>
      <c r="X801" s="173"/>
      <c r="Y801" s="173"/>
      <c r="Z801" s="173"/>
    </row>
    <row r="802" spans="1:26" ht="11.25" customHeight="1">
      <c r="A802" s="173"/>
      <c r="B802" s="207"/>
      <c r="C802" s="208"/>
      <c r="D802" s="244"/>
      <c r="E802" s="173"/>
      <c r="F802" s="173"/>
      <c r="G802" s="173"/>
      <c r="H802" s="173"/>
      <c r="I802" s="173"/>
      <c r="J802" s="173"/>
      <c r="K802" s="173"/>
      <c r="L802" s="173"/>
      <c r="M802" s="173"/>
      <c r="N802" s="173"/>
      <c r="O802" s="173"/>
      <c r="P802" s="173"/>
      <c r="Q802" s="173"/>
      <c r="R802" s="173"/>
      <c r="S802" s="173"/>
      <c r="T802" s="173"/>
      <c r="U802" s="173"/>
      <c r="V802" s="173"/>
      <c r="W802" s="173"/>
      <c r="X802" s="173"/>
      <c r="Y802" s="173"/>
      <c r="Z802" s="173"/>
    </row>
    <row r="803" spans="1:26" ht="11.25" customHeight="1">
      <c r="A803" s="173"/>
      <c r="B803" s="207"/>
      <c r="C803" s="208"/>
      <c r="D803" s="244"/>
      <c r="E803" s="173"/>
      <c r="F803" s="173"/>
      <c r="G803" s="173"/>
      <c r="H803" s="173"/>
      <c r="I803" s="173"/>
      <c r="J803" s="173"/>
      <c r="K803" s="173"/>
      <c r="L803" s="173"/>
      <c r="M803" s="173"/>
      <c r="N803" s="173"/>
      <c r="O803" s="173"/>
      <c r="P803" s="173"/>
      <c r="Q803" s="173"/>
      <c r="R803" s="173"/>
      <c r="S803" s="173"/>
      <c r="T803" s="173"/>
      <c r="U803" s="173"/>
      <c r="V803" s="173"/>
      <c r="W803" s="173"/>
      <c r="X803" s="173"/>
      <c r="Y803" s="173"/>
      <c r="Z803" s="173"/>
    </row>
    <row r="804" spans="1:26" ht="11.25" customHeight="1">
      <c r="A804" s="173"/>
      <c r="B804" s="207"/>
      <c r="C804" s="208"/>
      <c r="D804" s="244"/>
      <c r="E804" s="173"/>
      <c r="F804" s="173"/>
      <c r="G804" s="173"/>
      <c r="H804" s="173"/>
      <c r="I804" s="173"/>
      <c r="J804" s="173"/>
      <c r="K804" s="173"/>
      <c r="L804" s="173"/>
      <c r="M804" s="173"/>
      <c r="N804" s="173"/>
      <c r="O804" s="173"/>
      <c r="P804" s="173"/>
      <c r="Q804" s="173"/>
      <c r="R804" s="173"/>
      <c r="S804" s="173"/>
      <c r="T804" s="173"/>
      <c r="U804" s="173"/>
      <c r="V804" s="173"/>
      <c r="W804" s="173"/>
      <c r="X804" s="173"/>
      <c r="Y804" s="173"/>
      <c r="Z804" s="173"/>
    </row>
    <row r="805" spans="1:26" ht="11.25" customHeight="1">
      <c r="A805" s="173"/>
      <c r="B805" s="207"/>
      <c r="C805" s="208"/>
      <c r="D805" s="244"/>
      <c r="E805" s="173"/>
      <c r="F805" s="173"/>
      <c r="G805" s="173"/>
      <c r="H805" s="173"/>
      <c r="I805" s="173"/>
      <c r="J805" s="173"/>
      <c r="K805" s="173"/>
      <c r="L805" s="173"/>
      <c r="M805" s="173"/>
      <c r="N805" s="173"/>
      <c r="O805" s="173"/>
      <c r="P805" s="173"/>
      <c r="Q805" s="173"/>
      <c r="R805" s="173"/>
      <c r="S805" s="173"/>
      <c r="T805" s="173"/>
      <c r="U805" s="173"/>
      <c r="V805" s="173"/>
      <c r="W805" s="173"/>
      <c r="X805" s="173"/>
      <c r="Y805" s="173"/>
      <c r="Z805" s="173"/>
    </row>
    <row r="806" spans="1:26" ht="11.25" customHeight="1">
      <c r="A806" s="173"/>
      <c r="B806" s="207"/>
      <c r="C806" s="208"/>
      <c r="D806" s="244"/>
      <c r="E806" s="173"/>
      <c r="F806" s="173"/>
      <c r="G806" s="173"/>
      <c r="H806" s="173"/>
      <c r="I806" s="173"/>
      <c r="J806" s="173"/>
      <c r="K806" s="173"/>
      <c r="L806" s="173"/>
      <c r="M806" s="173"/>
      <c r="N806" s="173"/>
      <c r="O806" s="173"/>
      <c r="P806" s="173"/>
      <c r="Q806" s="173"/>
      <c r="R806" s="173"/>
      <c r="S806" s="173"/>
      <c r="T806" s="173"/>
      <c r="U806" s="173"/>
      <c r="V806" s="173"/>
      <c r="W806" s="173"/>
      <c r="X806" s="173"/>
      <c r="Y806" s="173"/>
      <c r="Z806" s="173"/>
    </row>
    <row r="807" spans="1:26" ht="11.25" customHeight="1">
      <c r="A807" s="173"/>
      <c r="B807" s="207"/>
      <c r="C807" s="208"/>
      <c r="D807" s="244"/>
      <c r="E807" s="173"/>
      <c r="F807" s="173"/>
      <c r="G807" s="173"/>
      <c r="H807" s="173"/>
      <c r="I807" s="173"/>
      <c r="J807" s="173"/>
      <c r="K807" s="173"/>
      <c r="L807" s="173"/>
      <c r="M807" s="173"/>
      <c r="N807" s="173"/>
      <c r="O807" s="173"/>
      <c r="P807" s="173"/>
      <c r="Q807" s="173"/>
      <c r="R807" s="173"/>
      <c r="S807" s="173"/>
      <c r="T807" s="173"/>
      <c r="U807" s="173"/>
      <c r="V807" s="173"/>
      <c r="W807" s="173"/>
      <c r="X807" s="173"/>
      <c r="Y807" s="173"/>
      <c r="Z807" s="173"/>
    </row>
    <row r="808" spans="1:26" ht="11.25" customHeight="1">
      <c r="A808" s="173"/>
      <c r="B808" s="207"/>
      <c r="C808" s="208"/>
      <c r="D808" s="244"/>
      <c r="E808" s="173"/>
      <c r="F808" s="173"/>
      <c r="G808" s="173"/>
      <c r="H808" s="173"/>
      <c r="I808" s="173"/>
      <c r="J808" s="173"/>
      <c r="K808" s="173"/>
      <c r="L808" s="173"/>
      <c r="M808" s="173"/>
      <c r="N808" s="173"/>
      <c r="O808" s="173"/>
      <c r="P808" s="173"/>
      <c r="Q808" s="173"/>
      <c r="R808" s="173"/>
      <c r="S808" s="173"/>
      <c r="T808" s="173"/>
      <c r="U808" s="173"/>
      <c r="V808" s="173"/>
      <c r="W808" s="173"/>
      <c r="X808" s="173"/>
      <c r="Y808" s="173"/>
      <c r="Z808" s="173"/>
    </row>
    <row r="809" spans="1:26" ht="11.25" customHeight="1">
      <c r="A809" s="173"/>
      <c r="B809" s="207"/>
      <c r="C809" s="208"/>
      <c r="D809" s="244"/>
      <c r="E809" s="173"/>
      <c r="F809" s="173"/>
      <c r="G809" s="173"/>
      <c r="H809" s="173"/>
      <c r="I809" s="173"/>
      <c r="J809" s="173"/>
      <c r="K809" s="173"/>
      <c r="L809" s="173"/>
      <c r="M809" s="173"/>
      <c r="N809" s="173"/>
      <c r="O809" s="173"/>
      <c r="P809" s="173"/>
      <c r="Q809" s="173"/>
      <c r="R809" s="173"/>
      <c r="S809" s="173"/>
      <c r="T809" s="173"/>
      <c r="U809" s="173"/>
      <c r="V809" s="173"/>
      <c r="W809" s="173"/>
      <c r="X809" s="173"/>
      <c r="Y809" s="173"/>
      <c r="Z809" s="173"/>
    </row>
    <row r="810" spans="1:26" ht="11.25" customHeight="1">
      <c r="A810" s="173"/>
      <c r="B810" s="207"/>
      <c r="C810" s="208"/>
      <c r="D810" s="244"/>
      <c r="E810" s="173"/>
      <c r="F810" s="173"/>
      <c r="G810" s="173"/>
      <c r="H810" s="173"/>
      <c r="I810" s="173"/>
      <c r="J810" s="173"/>
      <c r="K810" s="173"/>
      <c r="L810" s="173"/>
      <c r="M810" s="173"/>
      <c r="N810" s="173"/>
      <c r="O810" s="173"/>
      <c r="P810" s="173"/>
      <c r="Q810" s="173"/>
      <c r="R810" s="173"/>
      <c r="S810" s="173"/>
      <c r="T810" s="173"/>
      <c r="U810" s="173"/>
      <c r="V810" s="173"/>
      <c r="W810" s="173"/>
      <c r="X810" s="173"/>
      <c r="Y810" s="173"/>
      <c r="Z810" s="173"/>
    </row>
    <row r="811" spans="1:26" ht="11.25" customHeight="1">
      <c r="A811" s="173"/>
      <c r="B811" s="207"/>
      <c r="C811" s="208"/>
      <c r="D811" s="244"/>
      <c r="E811" s="173"/>
      <c r="F811" s="173"/>
      <c r="G811" s="173"/>
      <c r="H811" s="173"/>
      <c r="I811" s="173"/>
      <c r="J811" s="173"/>
      <c r="K811" s="173"/>
      <c r="L811" s="173"/>
      <c r="M811" s="173"/>
      <c r="N811" s="173"/>
      <c r="O811" s="173"/>
      <c r="P811" s="173"/>
      <c r="Q811" s="173"/>
      <c r="R811" s="173"/>
      <c r="S811" s="173"/>
      <c r="T811" s="173"/>
      <c r="U811" s="173"/>
      <c r="V811" s="173"/>
      <c r="W811" s="173"/>
      <c r="X811" s="173"/>
      <c r="Y811" s="173"/>
      <c r="Z811" s="173"/>
    </row>
    <row r="812" spans="1:26" ht="11.25" customHeight="1">
      <c r="A812" s="173"/>
      <c r="B812" s="207"/>
      <c r="C812" s="208"/>
      <c r="D812" s="244"/>
      <c r="E812" s="173"/>
      <c r="F812" s="173"/>
      <c r="G812" s="173"/>
      <c r="H812" s="173"/>
      <c r="I812" s="173"/>
      <c r="J812" s="173"/>
      <c r="K812" s="173"/>
      <c r="L812" s="173"/>
      <c r="M812" s="173"/>
      <c r="N812" s="173"/>
      <c r="O812" s="173"/>
      <c r="P812" s="173"/>
      <c r="Q812" s="173"/>
      <c r="R812" s="173"/>
      <c r="S812" s="173"/>
      <c r="T812" s="173"/>
      <c r="U812" s="173"/>
      <c r="V812" s="173"/>
      <c r="W812" s="173"/>
      <c r="X812" s="173"/>
      <c r="Y812" s="173"/>
      <c r="Z812" s="173"/>
    </row>
    <row r="813" spans="1:26" ht="11.25" customHeight="1">
      <c r="A813" s="173"/>
      <c r="B813" s="207"/>
      <c r="C813" s="208"/>
      <c r="D813" s="244"/>
      <c r="E813" s="173"/>
      <c r="F813" s="173"/>
      <c r="G813" s="173"/>
      <c r="H813" s="173"/>
      <c r="I813" s="173"/>
      <c r="J813" s="173"/>
      <c r="K813" s="173"/>
      <c r="L813" s="173"/>
      <c r="M813" s="173"/>
      <c r="N813" s="173"/>
      <c r="O813" s="173"/>
      <c r="P813" s="173"/>
      <c r="Q813" s="173"/>
      <c r="R813" s="173"/>
      <c r="S813" s="173"/>
      <c r="T813" s="173"/>
      <c r="U813" s="173"/>
      <c r="V813" s="173"/>
      <c r="W813" s="173"/>
      <c r="X813" s="173"/>
      <c r="Y813" s="173"/>
      <c r="Z813" s="173"/>
    </row>
    <row r="814" spans="1:26" ht="11.25" customHeight="1">
      <c r="A814" s="173"/>
      <c r="B814" s="207"/>
      <c r="C814" s="208"/>
      <c r="D814" s="244"/>
      <c r="E814" s="173"/>
      <c r="F814" s="173"/>
      <c r="G814" s="173"/>
      <c r="H814" s="173"/>
      <c r="I814" s="173"/>
      <c r="J814" s="173"/>
      <c r="K814" s="173"/>
      <c r="L814" s="173"/>
      <c r="M814" s="173"/>
      <c r="N814" s="173"/>
      <c r="O814" s="173"/>
      <c r="P814" s="173"/>
      <c r="Q814" s="173"/>
      <c r="R814" s="173"/>
      <c r="S814" s="173"/>
      <c r="T814" s="173"/>
      <c r="U814" s="173"/>
      <c r="V814" s="173"/>
      <c r="W814" s="173"/>
      <c r="X814" s="173"/>
      <c r="Y814" s="173"/>
      <c r="Z814" s="173"/>
    </row>
    <row r="815" spans="1:26" ht="11.25" customHeight="1">
      <c r="A815" s="173"/>
      <c r="B815" s="207"/>
      <c r="C815" s="208"/>
      <c r="D815" s="244"/>
      <c r="E815" s="173"/>
      <c r="F815" s="173"/>
      <c r="G815" s="173"/>
      <c r="H815" s="173"/>
      <c r="I815" s="173"/>
      <c r="J815" s="173"/>
      <c r="K815" s="173"/>
      <c r="L815" s="173"/>
      <c r="M815" s="173"/>
      <c r="N815" s="173"/>
      <c r="O815" s="173"/>
      <c r="P815" s="173"/>
      <c r="Q815" s="173"/>
      <c r="R815" s="173"/>
      <c r="S815" s="173"/>
      <c r="T815" s="173"/>
      <c r="U815" s="173"/>
      <c r="V815" s="173"/>
      <c r="W815" s="173"/>
      <c r="X815" s="173"/>
      <c r="Y815" s="173"/>
      <c r="Z815" s="173"/>
    </row>
    <row r="816" spans="1:26" ht="11.25" customHeight="1">
      <c r="A816" s="173"/>
      <c r="B816" s="207"/>
      <c r="C816" s="208"/>
      <c r="D816" s="244"/>
      <c r="E816" s="173"/>
      <c r="F816" s="173"/>
      <c r="G816" s="173"/>
      <c r="H816" s="173"/>
      <c r="I816" s="173"/>
      <c r="J816" s="173"/>
      <c r="K816" s="173"/>
      <c r="L816" s="173"/>
      <c r="M816" s="173"/>
      <c r="N816" s="173"/>
      <c r="O816" s="173"/>
      <c r="P816" s="173"/>
      <c r="Q816" s="173"/>
      <c r="R816" s="173"/>
      <c r="S816" s="173"/>
      <c r="T816" s="173"/>
      <c r="U816" s="173"/>
      <c r="V816" s="173"/>
      <c r="W816" s="173"/>
      <c r="X816" s="173"/>
      <c r="Y816" s="173"/>
      <c r="Z816" s="173"/>
    </row>
    <row r="817" spans="1:26" ht="11.25" customHeight="1">
      <c r="A817" s="173"/>
      <c r="B817" s="207"/>
      <c r="C817" s="208"/>
      <c r="D817" s="244"/>
      <c r="E817" s="173"/>
      <c r="F817" s="173"/>
      <c r="G817" s="173"/>
      <c r="H817" s="173"/>
      <c r="I817" s="173"/>
      <c r="J817" s="173"/>
      <c r="K817" s="173"/>
      <c r="L817" s="173"/>
      <c r="M817" s="173"/>
      <c r="N817" s="173"/>
      <c r="O817" s="173"/>
      <c r="P817" s="173"/>
      <c r="Q817" s="173"/>
      <c r="R817" s="173"/>
      <c r="S817" s="173"/>
      <c r="T817" s="173"/>
      <c r="U817" s="173"/>
      <c r="V817" s="173"/>
      <c r="W817" s="173"/>
      <c r="X817" s="173"/>
      <c r="Y817" s="173"/>
      <c r="Z817" s="173"/>
    </row>
    <row r="818" spans="1:26" ht="11.25" customHeight="1">
      <c r="A818" s="173"/>
      <c r="B818" s="207"/>
      <c r="C818" s="208"/>
      <c r="D818" s="244"/>
      <c r="E818" s="173"/>
      <c r="F818" s="173"/>
      <c r="G818" s="173"/>
      <c r="H818" s="173"/>
      <c r="I818" s="173"/>
      <c r="J818" s="173"/>
      <c r="K818" s="173"/>
      <c r="L818" s="173"/>
      <c r="M818" s="173"/>
      <c r="N818" s="173"/>
      <c r="O818" s="173"/>
      <c r="P818" s="173"/>
      <c r="Q818" s="173"/>
      <c r="R818" s="173"/>
      <c r="S818" s="173"/>
      <c r="T818" s="173"/>
      <c r="U818" s="173"/>
      <c r="V818" s="173"/>
      <c r="W818" s="173"/>
      <c r="X818" s="173"/>
      <c r="Y818" s="173"/>
      <c r="Z818" s="173"/>
    </row>
    <row r="819" spans="1:26" ht="11.25" customHeight="1">
      <c r="A819" s="173"/>
      <c r="B819" s="207"/>
      <c r="C819" s="208"/>
      <c r="D819" s="244"/>
      <c r="E819" s="173"/>
      <c r="F819" s="173"/>
      <c r="G819" s="173"/>
      <c r="H819" s="173"/>
      <c r="I819" s="173"/>
      <c r="J819" s="173"/>
      <c r="K819" s="173"/>
      <c r="L819" s="173"/>
      <c r="M819" s="173"/>
      <c r="N819" s="173"/>
      <c r="O819" s="173"/>
      <c r="P819" s="173"/>
      <c r="Q819" s="173"/>
      <c r="R819" s="173"/>
      <c r="S819" s="173"/>
      <c r="T819" s="173"/>
      <c r="U819" s="173"/>
      <c r="V819" s="173"/>
      <c r="W819" s="173"/>
      <c r="X819" s="173"/>
      <c r="Y819" s="173"/>
      <c r="Z819" s="173"/>
    </row>
    <row r="820" spans="1:26" ht="11.25" customHeight="1">
      <c r="A820" s="173"/>
      <c r="B820" s="207"/>
      <c r="C820" s="208"/>
      <c r="D820" s="244"/>
      <c r="E820" s="173"/>
      <c r="F820" s="173"/>
      <c r="G820" s="173"/>
      <c r="H820" s="173"/>
      <c r="I820" s="173"/>
      <c r="J820" s="173"/>
      <c r="K820" s="173"/>
      <c r="L820" s="173"/>
      <c r="M820" s="173"/>
      <c r="N820" s="173"/>
      <c r="O820" s="173"/>
      <c r="P820" s="173"/>
      <c r="Q820" s="173"/>
      <c r="R820" s="173"/>
      <c r="S820" s="173"/>
      <c r="T820" s="173"/>
      <c r="U820" s="173"/>
      <c r="V820" s="173"/>
      <c r="W820" s="173"/>
      <c r="X820" s="173"/>
      <c r="Y820" s="173"/>
      <c r="Z820" s="173"/>
    </row>
    <row r="821" spans="1:26" ht="11.25" customHeight="1">
      <c r="A821" s="173"/>
      <c r="B821" s="207"/>
      <c r="C821" s="208"/>
      <c r="D821" s="244"/>
      <c r="E821" s="173"/>
      <c r="F821" s="173"/>
      <c r="G821" s="173"/>
      <c r="H821" s="173"/>
      <c r="I821" s="173"/>
      <c r="J821" s="173"/>
      <c r="K821" s="173"/>
      <c r="L821" s="173"/>
      <c r="M821" s="173"/>
      <c r="N821" s="173"/>
      <c r="O821" s="173"/>
      <c r="P821" s="173"/>
      <c r="Q821" s="173"/>
      <c r="R821" s="173"/>
      <c r="S821" s="173"/>
      <c r="T821" s="173"/>
      <c r="U821" s="173"/>
      <c r="V821" s="173"/>
      <c r="W821" s="173"/>
      <c r="X821" s="173"/>
      <c r="Y821" s="173"/>
      <c r="Z821" s="173"/>
    </row>
    <row r="822" spans="1:26" ht="11.25" customHeight="1">
      <c r="A822" s="173"/>
      <c r="B822" s="207"/>
      <c r="C822" s="208"/>
      <c r="D822" s="244"/>
      <c r="E822" s="173"/>
      <c r="F822" s="173"/>
      <c r="G822" s="173"/>
      <c r="H822" s="173"/>
      <c r="I822" s="173"/>
      <c r="J822" s="173"/>
      <c r="K822" s="173"/>
      <c r="L822" s="173"/>
      <c r="M822" s="173"/>
      <c r="N822" s="173"/>
      <c r="O822" s="173"/>
      <c r="P822" s="173"/>
      <c r="Q822" s="173"/>
      <c r="R822" s="173"/>
      <c r="S822" s="173"/>
      <c r="T822" s="173"/>
      <c r="U822" s="173"/>
      <c r="V822" s="173"/>
      <c r="W822" s="173"/>
      <c r="X822" s="173"/>
      <c r="Y822" s="173"/>
      <c r="Z822" s="173"/>
    </row>
    <row r="823" spans="1:26" ht="11.25" customHeight="1">
      <c r="A823" s="173"/>
      <c r="B823" s="207"/>
      <c r="C823" s="208"/>
      <c r="D823" s="244"/>
      <c r="E823" s="173"/>
      <c r="F823" s="173"/>
      <c r="G823" s="173"/>
      <c r="H823" s="173"/>
      <c r="I823" s="173"/>
      <c r="J823" s="173"/>
      <c r="K823" s="173"/>
      <c r="L823" s="173"/>
      <c r="M823" s="173"/>
      <c r="N823" s="173"/>
      <c r="O823" s="173"/>
      <c r="P823" s="173"/>
      <c r="Q823" s="173"/>
      <c r="R823" s="173"/>
      <c r="S823" s="173"/>
      <c r="T823" s="173"/>
      <c r="U823" s="173"/>
      <c r="V823" s="173"/>
      <c r="W823" s="173"/>
      <c r="X823" s="173"/>
      <c r="Y823" s="173"/>
      <c r="Z823" s="173"/>
    </row>
    <row r="824" spans="1:26" ht="11.25" customHeight="1">
      <c r="A824" s="173"/>
      <c r="B824" s="207"/>
      <c r="C824" s="208"/>
      <c r="D824" s="244"/>
      <c r="E824" s="173"/>
      <c r="F824" s="173"/>
      <c r="G824" s="173"/>
      <c r="H824" s="173"/>
      <c r="I824" s="173"/>
      <c r="J824" s="173"/>
      <c r="K824" s="173"/>
      <c r="L824" s="173"/>
      <c r="M824" s="173"/>
      <c r="N824" s="173"/>
      <c r="O824" s="173"/>
      <c r="P824" s="173"/>
      <c r="Q824" s="173"/>
      <c r="R824" s="173"/>
      <c r="S824" s="173"/>
      <c r="T824" s="173"/>
      <c r="U824" s="173"/>
      <c r="V824" s="173"/>
      <c r="W824" s="173"/>
      <c r="X824" s="173"/>
      <c r="Y824" s="173"/>
      <c r="Z824" s="173"/>
    </row>
    <row r="825" spans="1:26" ht="11.25" customHeight="1">
      <c r="A825" s="173"/>
      <c r="B825" s="207"/>
      <c r="C825" s="208"/>
      <c r="D825" s="244"/>
      <c r="E825" s="173"/>
      <c r="F825" s="173"/>
      <c r="G825" s="173"/>
      <c r="H825" s="173"/>
      <c r="I825" s="173"/>
      <c r="J825" s="173"/>
      <c r="K825" s="173"/>
      <c r="L825" s="173"/>
      <c r="M825" s="173"/>
      <c r="N825" s="173"/>
      <c r="O825" s="173"/>
      <c r="P825" s="173"/>
      <c r="Q825" s="173"/>
      <c r="R825" s="173"/>
      <c r="S825" s="173"/>
      <c r="T825" s="173"/>
      <c r="U825" s="173"/>
      <c r="V825" s="173"/>
      <c r="W825" s="173"/>
      <c r="X825" s="173"/>
      <c r="Y825" s="173"/>
      <c r="Z825" s="173"/>
    </row>
    <row r="826" spans="1:26" ht="11.25" customHeight="1">
      <c r="A826" s="173"/>
      <c r="B826" s="207"/>
      <c r="C826" s="208"/>
      <c r="D826" s="244"/>
      <c r="E826" s="173"/>
      <c r="F826" s="173"/>
      <c r="G826" s="173"/>
      <c r="H826" s="173"/>
      <c r="I826" s="173"/>
      <c r="J826" s="173"/>
      <c r="K826" s="173"/>
      <c r="L826" s="173"/>
      <c r="M826" s="173"/>
      <c r="N826" s="173"/>
      <c r="O826" s="173"/>
      <c r="P826" s="173"/>
      <c r="Q826" s="173"/>
      <c r="R826" s="173"/>
      <c r="S826" s="173"/>
      <c r="T826" s="173"/>
      <c r="U826" s="173"/>
      <c r="V826" s="173"/>
      <c r="W826" s="173"/>
      <c r="X826" s="173"/>
      <c r="Y826" s="173"/>
      <c r="Z826" s="173"/>
    </row>
    <row r="827" spans="1:26" ht="11.25" customHeight="1">
      <c r="A827" s="173"/>
      <c r="B827" s="207"/>
      <c r="C827" s="208"/>
      <c r="D827" s="244"/>
      <c r="E827" s="173"/>
      <c r="F827" s="173"/>
      <c r="G827" s="173"/>
      <c r="H827" s="173"/>
      <c r="I827" s="173"/>
      <c r="J827" s="173"/>
      <c r="K827" s="173"/>
      <c r="L827" s="173"/>
      <c r="M827" s="173"/>
      <c r="N827" s="173"/>
      <c r="O827" s="173"/>
      <c r="P827" s="173"/>
      <c r="Q827" s="173"/>
      <c r="R827" s="173"/>
      <c r="S827" s="173"/>
      <c r="T827" s="173"/>
      <c r="U827" s="173"/>
      <c r="V827" s="173"/>
      <c r="W827" s="173"/>
      <c r="X827" s="173"/>
      <c r="Y827" s="173"/>
      <c r="Z827" s="173"/>
    </row>
    <row r="828" spans="1:26" ht="11.25" customHeight="1">
      <c r="A828" s="173"/>
      <c r="B828" s="207"/>
      <c r="C828" s="208"/>
      <c r="D828" s="244"/>
      <c r="E828" s="173"/>
      <c r="F828" s="173"/>
      <c r="G828" s="173"/>
      <c r="H828" s="173"/>
      <c r="I828" s="173"/>
      <c r="J828" s="173"/>
      <c r="K828" s="173"/>
      <c r="L828" s="173"/>
      <c r="M828" s="173"/>
      <c r="N828" s="173"/>
      <c r="O828" s="173"/>
      <c r="P828" s="173"/>
      <c r="Q828" s="173"/>
      <c r="R828" s="173"/>
      <c r="S828" s="173"/>
      <c r="T828" s="173"/>
      <c r="U828" s="173"/>
      <c r="V828" s="173"/>
      <c r="W828" s="173"/>
      <c r="X828" s="173"/>
      <c r="Y828" s="173"/>
      <c r="Z828" s="173"/>
    </row>
    <row r="829" spans="1:26" ht="11.25" customHeight="1">
      <c r="A829" s="173"/>
      <c r="B829" s="207"/>
      <c r="C829" s="208"/>
      <c r="D829" s="244"/>
      <c r="E829" s="173"/>
      <c r="F829" s="173"/>
      <c r="G829" s="173"/>
      <c r="H829" s="173"/>
      <c r="I829" s="173"/>
      <c r="J829" s="173"/>
      <c r="K829" s="173"/>
      <c r="L829" s="173"/>
      <c r="M829" s="173"/>
      <c r="N829" s="173"/>
      <c r="O829" s="173"/>
      <c r="P829" s="173"/>
      <c r="Q829" s="173"/>
      <c r="R829" s="173"/>
      <c r="S829" s="173"/>
      <c r="T829" s="173"/>
      <c r="U829" s="173"/>
      <c r="V829" s="173"/>
      <c r="W829" s="173"/>
      <c r="X829" s="173"/>
      <c r="Y829" s="173"/>
      <c r="Z829" s="173"/>
    </row>
    <row r="830" spans="1:26" ht="11.25" customHeight="1">
      <c r="A830" s="173"/>
      <c r="B830" s="207"/>
      <c r="C830" s="208"/>
      <c r="D830" s="244"/>
      <c r="E830" s="173"/>
      <c r="F830" s="173"/>
      <c r="G830" s="173"/>
      <c r="H830" s="173"/>
      <c r="I830" s="173"/>
      <c r="J830" s="173"/>
      <c r="K830" s="173"/>
      <c r="L830" s="173"/>
      <c r="M830" s="173"/>
      <c r="N830" s="173"/>
      <c r="O830" s="173"/>
      <c r="P830" s="173"/>
      <c r="Q830" s="173"/>
      <c r="R830" s="173"/>
      <c r="S830" s="173"/>
      <c r="T830" s="173"/>
      <c r="U830" s="173"/>
      <c r="V830" s="173"/>
      <c r="W830" s="173"/>
      <c r="X830" s="173"/>
      <c r="Y830" s="173"/>
      <c r="Z830" s="173"/>
    </row>
    <row r="831" spans="1:26" ht="11.25" customHeight="1">
      <c r="A831" s="173"/>
      <c r="B831" s="207"/>
      <c r="C831" s="208"/>
      <c r="D831" s="244"/>
      <c r="E831" s="173"/>
      <c r="F831" s="173"/>
      <c r="G831" s="173"/>
      <c r="H831" s="173"/>
      <c r="I831" s="173"/>
      <c r="J831" s="173"/>
      <c r="K831" s="173"/>
      <c r="L831" s="173"/>
      <c r="M831" s="173"/>
      <c r="N831" s="173"/>
      <c r="O831" s="173"/>
      <c r="P831" s="173"/>
      <c r="Q831" s="173"/>
      <c r="R831" s="173"/>
      <c r="S831" s="173"/>
      <c r="T831" s="173"/>
      <c r="U831" s="173"/>
      <c r="V831" s="173"/>
      <c r="W831" s="173"/>
      <c r="X831" s="173"/>
      <c r="Y831" s="173"/>
      <c r="Z831" s="173"/>
    </row>
    <row r="832" spans="1:26" ht="11.25" customHeight="1">
      <c r="A832" s="173"/>
      <c r="B832" s="207"/>
      <c r="C832" s="208"/>
      <c r="D832" s="244"/>
      <c r="E832" s="173"/>
      <c r="F832" s="173"/>
      <c r="G832" s="173"/>
      <c r="H832" s="173"/>
      <c r="I832" s="173"/>
      <c r="J832" s="173"/>
      <c r="K832" s="173"/>
      <c r="L832" s="173"/>
      <c r="M832" s="173"/>
      <c r="N832" s="173"/>
      <c r="O832" s="173"/>
      <c r="P832" s="173"/>
      <c r="Q832" s="173"/>
      <c r="R832" s="173"/>
      <c r="S832" s="173"/>
      <c r="T832" s="173"/>
      <c r="U832" s="173"/>
      <c r="V832" s="173"/>
      <c r="W832" s="173"/>
      <c r="X832" s="173"/>
      <c r="Y832" s="173"/>
      <c r="Z832" s="173"/>
    </row>
    <row r="833" spans="1:26" ht="11.25" customHeight="1">
      <c r="A833" s="173"/>
      <c r="B833" s="207"/>
      <c r="C833" s="208"/>
      <c r="D833" s="244"/>
      <c r="E833" s="173"/>
      <c r="F833" s="173"/>
      <c r="G833" s="173"/>
      <c r="H833" s="173"/>
      <c r="I833" s="173"/>
      <c r="J833" s="173"/>
      <c r="K833" s="173"/>
      <c r="L833" s="173"/>
      <c r="M833" s="173"/>
      <c r="N833" s="173"/>
      <c r="O833" s="173"/>
      <c r="P833" s="173"/>
      <c r="Q833" s="173"/>
      <c r="R833" s="173"/>
      <c r="S833" s="173"/>
      <c r="T833" s="173"/>
      <c r="U833" s="173"/>
      <c r="V833" s="173"/>
      <c r="W833" s="173"/>
      <c r="X833" s="173"/>
      <c r="Y833" s="173"/>
      <c r="Z833" s="173"/>
    </row>
    <row r="834" spans="1:26" ht="11.25" customHeight="1">
      <c r="A834" s="173"/>
      <c r="B834" s="207"/>
      <c r="C834" s="208"/>
      <c r="D834" s="244"/>
      <c r="E834" s="173"/>
      <c r="F834" s="173"/>
      <c r="G834" s="173"/>
      <c r="H834" s="173"/>
      <c r="I834" s="173"/>
      <c r="J834" s="173"/>
      <c r="K834" s="173"/>
      <c r="L834" s="173"/>
      <c r="M834" s="173"/>
      <c r="N834" s="173"/>
      <c r="O834" s="173"/>
      <c r="P834" s="173"/>
      <c r="Q834" s="173"/>
      <c r="R834" s="173"/>
      <c r="S834" s="173"/>
      <c r="T834" s="173"/>
      <c r="U834" s="173"/>
      <c r="V834" s="173"/>
      <c r="W834" s="173"/>
      <c r="X834" s="173"/>
      <c r="Y834" s="173"/>
      <c r="Z834" s="173"/>
    </row>
    <row r="835" spans="1:26" ht="11.25" customHeight="1">
      <c r="A835" s="173"/>
      <c r="B835" s="207"/>
      <c r="C835" s="208"/>
      <c r="D835" s="244"/>
      <c r="E835" s="173"/>
      <c r="F835" s="173"/>
      <c r="G835" s="173"/>
      <c r="H835" s="173"/>
      <c r="I835" s="173"/>
      <c r="J835" s="173"/>
      <c r="K835" s="173"/>
      <c r="L835" s="173"/>
      <c r="M835" s="173"/>
      <c r="N835" s="173"/>
      <c r="O835" s="173"/>
      <c r="P835" s="173"/>
      <c r="Q835" s="173"/>
      <c r="R835" s="173"/>
      <c r="S835" s="173"/>
      <c r="T835" s="173"/>
      <c r="U835" s="173"/>
      <c r="V835" s="173"/>
      <c r="W835" s="173"/>
      <c r="X835" s="173"/>
      <c r="Y835" s="173"/>
      <c r="Z835" s="173"/>
    </row>
    <row r="836" spans="1:26" ht="11.25" customHeight="1">
      <c r="A836" s="173"/>
      <c r="B836" s="207"/>
      <c r="C836" s="208"/>
      <c r="D836" s="244"/>
      <c r="E836" s="173"/>
      <c r="F836" s="173"/>
      <c r="G836" s="173"/>
      <c r="H836" s="173"/>
      <c r="I836" s="173"/>
      <c r="J836" s="173"/>
      <c r="K836" s="173"/>
      <c r="L836" s="173"/>
      <c r="M836" s="173"/>
      <c r="N836" s="173"/>
      <c r="O836" s="173"/>
      <c r="P836" s="173"/>
      <c r="Q836" s="173"/>
      <c r="R836" s="173"/>
      <c r="S836" s="173"/>
      <c r="T836" s="173"/>
      <c r="U836" s="173"/>
      <c r="V836" s="173"/>
      <c r="W836" s="173"/>
      <c r="X836" s="173"/>
      <c r="Y836" s="173"/>
      <c r="Z836" s="173"/>
    </row>
    <row r="837" spans="1:26" ht="11.25" customHeight="1">
      <c r="A837" s="173"/>
      <c r="B837" s="207"/>
      <c r="C837" s="208"/>
      <c r="D837" s="244"/>
      <c r="E837" s="173"/>
      <c r="F837" s="173"/>
      <c r="G837" s="173"/>
      <c r="H837" s="173"/>
      <c r="I837" s="173"/>
      <c r="J837" s="173"/>
      <c r="K837" s="173"/>
      <c r="L837" s="173"/>
      <c r="M837" s="173"/>
      <c r="N837" s="173"/>
      <c r="O837" s="173"/>
      <c r="P837" s="173"/>
      <c r="Q837" s="173"/>
      <c r="R837" s="173"/>
      <c r="S837" s="173"/>
      <c r="T837" s="173"/>
      <c r="U837" s="173"/>
      <c r="V837" s="173"/>
      <c r="W837" s="173"/>
      <c r="X837" s="173"/>
      <c r="Y837" s="173"/>
      <c r="Z837" s="173"/>
    </row>
    <row r="838" spans="1:26" ht="11.25" customHeight="1">
      <c r="A838" s="173"/>
      <c r="B838" s="207"/>
      <c r="C838" s="208"/>
      <c r="D838" s="244"/>
      <c r="E838" s="173"/>
      <c r="F838" s="173"/>
      <c r="G838" s="173"/>
      <c r="H838" s="173"/>
      <c r="I838" s="173"/>
      <c r="J838" s="173"/>
      <c r="K838" s="173"/>
      <c r="L838" s="173"/>
      <c r="M838" s="173"/>
      <c r="N838" s="173"/>
      <c r="O838" s="173"/>
      <c r="P838" s="173"/>
      <c r="Q838" s="173"/>
      <c r="R838" s="173"/>
      <c r="S838" s="173"/>
      <c r="T838" s="173"/>
      <c r="U838" s="173"/>
      <c r="V838" s="173"/>
      <c r="W838" s="173"/>
      <c r="X838" s="173"/>
      <c r="Y838" s="173"/>
      <c r="Z838" s="173"/>
    </row>
    <row r="839" spans="1:26" ht="11.25" customHeight="1">
      <c r="A839" s="173"/>
      <c r="B839" s="207"/>
      <c r="C839" s="208"/>
      <c r="D839" s="244"/>
      <c r="E839" s="173"/>
      <c r="F839" s="173"/>
      <c r="G839" s="173"/>
      <c r="H839" s="173"/>
      <c r="I839" s="173"/>
      <c r="J839" s="173"/>
      <c r="K839" s="173"/>
      <c r="L839" s="173"/>
      <c r="M839" s="173"/>
      <c r="N839" s="173"/>
      <c r="O839" s="173"/>
      <c r="P839" s="173"/>
      <c r="Q839" s="173"/>
      <c r="R839" s="173"/>
      <c r="S839" s="173"/>
      <c r="T839" s="173"/>
      <c r="U839" s="173"/>
      <c r="V839" s="173"/>
      <c r="W839" s="173"/>
      <c r="X839" s="173"/>
      <c r="Y839" s="173"/>
      <c r="Z839" s="173"/>
    </row>
    <row r="840" spans="1:26" ht="11.25" customHeight="1">
      <c r="A840" s="173"/>
      <c r="B840" s="207"/>
      <c r="C840" s="208"/>
      <c r="D840" s="244"/>
      <c r="E840" s="173"/>
      <c r="F840" s="173"/>
      <c r="G840" s="173"/>
      <c r="H840" s="173"/>
      <c r="I840" s="173"/>
      <c r="J840" s="173"/>
      <c r="K840" s="173"/>
      <c r="L840" s="173"/>
      <c r="M840" s="173"/>
      <c r="N840" s="173"/>
      <c r="O840" s="173"/>
      <c r="P840" s="173"/>
      <c r="Q840" s="173"/>
      <c r="R840" s="173"/>
      <c r="S840" s="173"/>
      <c r="T840" s="173"/>
      <c r="U840" s="173"/>
      <c r="V840" s="173"/>
      <c r="W840" s="173"/>
      <c r="X840" s="173"/>
      <c r="Y840" s="173"/>
      <c r="Z840" s="173"/>
    </row>
    <row r="841" spans="1:26" ht="11.25" customHeight="1">
      <c r="A841" s="173"/>
      <c r="B841" s="207"/>
      <c r="C841" s="208"/>
      <c r="D841" s="244"/>
      <c r="E841" s="173"/>
      <c r="F841" s="173"/>
      <c r="G841" s="173"/>
      <c r="H841" s="173"/>
      <c r="I841" s="173"/>
      <c r="J841" s="173"/>
      <c r="K841" s="173"/>
      <c r="L841" s="173"/>
      <c r="M841" s="173"/>
      <c r="N841" s="173"/>
      <c r="O841" s="173"/>
      <c r="P841" s="173"/>
      <c r="Q841" s="173"/>
      <c r="R841" s="173"/>
      <c r="S841" s="173"/>
      <c r="T841" s="173"/>
      <c r="U841" s="173"/>
      <c r="V841" s="173"/>
      <c r="W841" s="173"/>
      <c r="X841" s="173"/>
      <c r="Y841" s="173"/>
      <c r="Z841" s="173"/>
    </row>
    <row r="842" spans="1:26" ht="11.25" customHeight="1">
      <c r="A842" s="173"/>
      <c r="B842" s="207"/>
      <c r="C842" s="208"/>
      <c r="D842" s="244"/>
      <c r="E842" s="173"/>
      <c r="F842" s="173"/>
      <c r="G842" s="173"/>
      <c r="H842" s="173"/>
      <c r="I842" s="173"/>
      <c r="J842" s="173"/>
      <c r="K842" s="173"/>
      <c r="L842" s="173"/>
      <c r="M842" s="173"/>
      <c r="N842" s="173"/>
      <c r="O842" s="173"/>
      <c r="P842" s="173"/>
      <c r="Q842" s="173"/>
      <c r="R842" s="173"/>
      <c r="S842" s="173"/>
      <c r="T842" s="173"/>
      <c r="U842" s="173"/>
      <c r="V842" s="173"/>
      <c r="W842" s="173"/>
      <c r="X842" s="173"/>
      <c r="Y842" s="173"/>
      <c r="Z842" s="173"/>
    </row>
    <row r="843" spans="1:26" ht="11.25" customHeight="1">
      <c r="A843" s="173"/>
      <c r="B843" s="207"/>
      <c r="C843" s="208"/>
      <c r="D843" s="244"/>
      <c r="E843" s="173"/>
      <c r="F843" s="173"/>
      <c r="G843" s="173"/>
      <c r="H843" s="173"/>
      <c r="I843" s="173"/>
      <c r="J843" s="173"/>
      <c r="K843" s="173"/>
      <c r="L843" s="173"/>
      <c r="M843" s="173"/>
      <c r="N843" s="173"/>
      <c r="O843" s="173"/>
      <c r="P843" s="173"/>
      <c r="Q843" s="173"/>
      <c r="R843" s="173"/>
      <c r="S843" s="173"/>
      <c r="T843" s="173"/>
      <c r="U843" s="173"/>
      <c r="V843" s="173"/>
      <c r="W843" s="173"/>
      <c r="X843" s="173"/>
      <c r="Y843" s="173"/>
      <c r="Z843" s="173"/>
    </row>
    <row r="844" spans="1:26" ht="11.25" customHeight="1">
      <c r="A844" s="173"/>
      <c r="B844" s="207"/>
      <c r="C844" s="208"/>
      <c r="D844" s="244"/>
      <c r="E844" s="173"/>
      <c r="F844" s="173"/>
      <c r="G844" s="173"/>
      <c r="H844" s="173"/>
      <c r="I844" s="173"/>
      <c r="J844" s="173"/>
      <c r="K844" s="173"/>
      <c r="L844" s="173"/>
      <c r="M844" s="173"/>
      <c r="N844" s="173"/>
      <c r="O844" s="173"/>
      <c r="P844" s="173"/>
      <c r="Q844" s="173"/>
      <c r="R844" s="173"/>
      <c r="S844" s="173"/>
      <c r="T844" s="173"/>
      <c r="U844" s="173"/>
      <c r="V844" s="173"/>
      <c r="W844" s="173"/>
      <c r="X844" s="173"/>
      <c r="Y844" s="173"/>
      <c r="Z844" s="173"/>
    </row>
    <row r="845" spans="1:26" ht="11.25" customHeight="1">
      <c r="A845" s="173"/>
      <c r="B845" s="207"/>
      <c r="C845" s="208"/>
      <c r="D845" s="244"/>
      <c r="E845" s="173"/>
      <c r="F845" s="173"/>
      <c r="G845" s="173"/>
      <c r="H845" s="173"/>
      <c r="I845" s="173"/>
      <c r="J845" s="173"/>
      <c r="K845" s="173"/>
      <c r="L845" s="173"/>
      <c r="M845" s="173"/>
      <c r="N845" s="173"/>
      <c r="O845" s="173"/>
      <c r="P845" s="173"/>
      <c r="Q845" s="173"/>
      <c r="R845" s="173"/>
      <c r="S845" s="173"/>
      <c r="T845" s="173"/>
      <c r="U845" s="173"/>
      <c r="V845" s="173"/>
      <c r="W845" s="173"/>
      <c r="X845" s="173"/>
      <c r="Y845" s="173"/>
      <c r="Z845" s="173"/>
    </row>
    <row r="846" spans="1:26" ht="11.25" customHeight="1">
      <c r="A846" s="173"/>
      <c r="B846" s="207"/>
      <c r="C846" s="208"/>
      <c r="D846" s="244"/>
      <c r="E846" s="173"/>
      <c r="F846" s="173"/>
      <c r="G846" s="173"/>
      <c r="H846" s="173"/>
      <c r="I846" s="173"/>
      <c r="J846" s="173"/>
      <c r="K846" s="173"/>
      <c r="L846" s="173"/>
      <c r="M846" s="173"/>
      <c r="N846" s="173"/>
      <c r="O846" s="173"/>
      <c r="P846" s="173"/>
      <c r="Q846" s="173"/>
      <c r="R846" s="173"/>
      <c r="S846" s="173"/>
      <c r="T846" s="173"/>
      <c r="U846" s="173"/>
      <c r="V846" s="173"/>
      <c r="W846" s="173"/>
      <c r="X846" s="173"/>
      <c r="Y846" s="173"/>
      <c r="Z846" s="173"/>
    </row>
    <row r="847" spans="1:26" ht="11.25" customHeight="1">
      <c r="A847" s="173"/>
      <c r="B847" s="207"/>
      <c r="C847" s="208"/>
      <c r="D847" s="244"/>
      <c r="E847" s="173"/>
      <c r="F847" s="173"/>
      <c r="G847" s="173"/>
      <c r="H847" s="173"/>
      <c r="I847" s="173"/>
      <c r="J847" s="173"/>
      <c r="K847" s="173"/>
      <c r="L847" s="173"/>
      <c r="M847" s="173"/>
      <c r="N847" s="173"/>
      <c r="O847" s="173"/>
      <c r="P847" s="173"/>
      <c r="Q847" s="173"/>
      <c r="R847" s="173"/>
      <c r="S847" s="173"/>
      <c r="T847" s="173"/>
      <c r="U847" s="173"/>
      <c r="V847" s="173"/>
      <c r="W847" s="173"/>
      <c r="X847" s="173"/>
      <c r="Y847" s="173"/>
      <c r="Z847" s="173"/>
    </row>
    <row r="848" spans="1:26" ht="11.25" customHeight="1">
      <c r="A848" s="173"/>
      <c r="B848" s="207"/>
      <c r="C848" s="208"/>
      <c r="D848" s="244"/>
      <c r="E848" s="173"/>
      <c r="F848" s="173"/>
      <c r="G848" s="173"/>
      <c r="H848" s="173"/>
      <c r="I848" s="173"/>
      <c r="J848" s="173"/>
      <c r="K848" s="173"/>
      <c r="L848" s="173"/>
      <c r="M848" s="173"/>
      <c r="N848" s="173"/>
      <c r="O848" s="173"/>
      <c r="P848" s="173"/>
      <c r="Q848" s="173"/>
      <c r="R848" s="173"/>
      <c r="S848" s="173"/>
      <c r="T848" s="173"/>
      <c r="U848" s="173"/>
      <c r="V848" s="173"/>
      <c r="W848" s="173"/>
      <c r="X848" s="173"/>
      <c r="Y848" s="173"/>
      <c r="Z848" s="173"/>
    </row>
    <row r="849" spans="1:26" ht="11.25" customHeight="1">
      <c r="A849" s="173"/>
      <c r="B849" s="207"/>
      <c r="C849" s="208"/>
      <c r="D849" s="244"/>
      <c r="E849" s="173"/>
      <c r="F849" s="173"/>
      <c r="G849" s="173"/>
      <c r="H849" s="173"/>
      <c r="I849" s="173"/>
      <c r="J849" s="173"/>
      <c r="K849" s="173"/>
      <c r="L849" s="173"/>
      <c r="M849" s="173"/>
      <c r="N849" s="173"/>
      <c r="O849" s="173"/>
      <c r="P849" s="173"/>
      <c r="Q849" s="173"/>
      <c r="R849" s="173"/>
      <c r="S849" s="173"/>
      <c r="T849" s="173"/>
      <c r="U849" s="173"/>
      <c r="V849" s="173"/>
      <c r="W849" s="173"/>
      <c r="X849" s="173"/>
      <c r="Y849" s="173"/>
      <c r="Z849" s="173"/>
    </row>
    <row r="850" spans="1:26" ht="11.25" customHeight="1">
      <c r="A850" s="173"/>
      <c r="B850" s="207"/>
      <c r="C850" s="208"/>
      <c r="D850" s="244"/>
      <c r="E850" s="173"/>
      <c r="F850" s="173"/>
      <c r="G850" s="173"/>
      <c r="H850" s="173"/>
      <c r="I850" s="173"/>
      <c r="J850" s="173"/>
      <c r="K850" s="173"/>
      <c r="L850" s="173"/>
      <c r="M850" s="173"/>
      <c r="N850" s="173"/>
      <c r="O850" s="173"/>
      <c r="P850" s="173"/>
      <c r="Q850" s="173"/>
      <c r="R850" s="173"/>
      <c r="S850" s="173"/>
      <c r="T850" s="173"/>
      <c r="U850" s="173"/>
      <c r="V850" s="173"/>
      <c r="W850" s="173"/>
      <c r="X850" s="173"/>
      <c r="Y850" s="173"/>
      <c r="Z850" s="173"/>
    </row>
    <row r="851" spans="1:26" ht="11.25" customHeight="1">
      <c r="A851" s="173"/>
      <c r="B851" s="207"/>
      <c r="C851" s="208"/>
      <c r="D851" s="244"/>
      <c r="E851" s="173"/>
      <c r="F851" s="173"/>
      <c r="G851" s="173"/>
      <c r="H851" s="173"/>
      <c r="I851" s="173"/>
      <c r="J851" s="173"/>
      <c r="K851" s="173"/>
      <c r="L851" s="173"/>
      <c r="M851" s="173"/>
      <c r="N851" s="173"/>
      <c r="O851" s="173"/>
      <c r="P851" s="173"/>
      <c r="Q851" s="173"/>
      <c r="R851" s="173"/>
      <c r="S851" s="173"/>
      <c r="T851" s="173"/>
      <c r="U851" s="173"/>
      <c r="V851" s="173"/>
      <c r="W851" s="173"/>
      <c r="X851" s="173"/>
      <c r="Y851" s="173"/>
      <c r="Z851" s="173"/>
    </row>
    <row r="852" spans="1:26" ht="11.25" customHeight="1">
      <c r="A852" s="173"/>
      <c r="B852" s="207"/>
      <c r="C852" s="208"/>
      <c r="D852" s="244"/>
      <c r="E852" s="173"/>
      <c r="F852" s="173"/>
      <c r="G852" s="173"/>
      <c r="H852" s="173"/>
      <c r="I852" s="173"/>
      <c r="J852" s="173"/>
      <c r="K852" s="173"/>
      <c r="L852" s="173"/>
      <c r="M852" s="173"/>
      <c r="N852" s="173"/>
      <c r="O852" s="173"/>
      <c r="P852" s="173"/>
      <c r="Q852" s="173"/>
      <c r="R852" s="173"/>
      <c r="S852" s="173"/>
      <c r="T852" s="173"/>
      <c r="U852" s="173"/>
      <c r="V852" s="173"/>
      <c r="W852" s="173"/>
      <c r="X852" s="173"/>
      <c r="Y852" s="173"/>
      <c r="Z852" s="173"/>
    </row>
    <row r="853" spans="1:26" ht="11.25" customHeight="1">
      <c r="A853" s="173"/>
      <c r="B853" s="207"/>
      <c r="C853" s="208"/>
      <c r="D853" s="244"/>
      <c r="E853" s="173"/>
      <c r="F853" s="173"/>
      <c r="G853" s="173"/>
      <c r="H853" s="173"/>
      <c r="I853" s="173"/>
      <c r="J853" s="173"/>
      <c r="K853" s="173"/>
      <c r="L853" s="173"/>
      <c r="M853" s="173"/>
      <c r="N853" s="173"/>
      <c r="O853" s="173"/>
      <c r="P853" s="173"/>
      <c r="Q853" s="173"/>
      <c r="R853" s="173"/>
      <c r="S853" s="173"/>
      <c r="T853" s="173"/>
      <c r="U853" s="173"/>
      <c r="V853" s="173"/>
      <c r="W853" s="173"/>
      <c r="X853" s="173"/>
      <c r="Y853" s="173"/>
      <c r="Z853" s="173"/>
    </row>
    <row r="854" spans="1:26" ht="11.25" customHeight="1">
      <c r="A854" s="173"/>
      <c r="B854" s="207"/>
      <c r="C854" s="208"/>
      <c r="D854" s="244"/>
      <c r="E854" s="173"/>
      <c r="F854" s="173"/>
      <c r="G854" s="173"/>
      <c r="H854" s="173"/>
      <c r="I854" s="173"/>
      <c r="J854" s="173"/>
      <c r="K854" s="173"/>
      <c r="L854" s="173"/>
      <c r="M854" s="173"/>
      <c r="N854" s="173"/>
      <c r="O854" s="173"/>
      <c r="P854" s="173"/>
      <c r="Q854" s="173"/>
      <c r="R854" s="173"/>
      <c r="S854" s="173"/>
      <c r="T854" s="173"/>
      <c r="U854" s="173"/>
      <c r="V854" s="173"/>
      <c r="W854" s="173"/>
      <c r="X854" s="173"/>
      <c r="Y854" s="173"/>
      <c r="Z854" s="173"/>
    </row>
    <row r="855" spans="1:26" ht="11.25" customHeight="1">
      <c r="A855" s="173"/>
      <c r="B855" s="207"/>
      <c r="C855" s="208"/>
      <c r="D855" s="244"/>
      <c r="E855" s="173"/>
      <c r="F855" s="173"/>
      <c r="G855" s="173"/>
      <c r="H855" s="173"/>
      <c r="I855" s="173"/>
      <c r="J855" s="173"/>
      <c r="K855" s="173"/>
      <c r="L855" s="173"/>
      <c r="M855" s="173"/>
      <c r="N855" s="173"/>
      <c r="O855" s="173"/>
      <c r="P855" s="173"/>
      <c r="Q855" s="173"/>
      <c r="R855" s="173"/>
      <c r="S855" s="173"/>
      <c r="T855" s="173"/>
      <c r="U855" s="173"/>
      <c r="V855" s="173"/>
      <c r="W855" s="173"/>
      <c r="X855" s="173"/>
      <c r="Y855" s="173"/>
      <c r="Z855" s="173"/>
    </row>
    <row r="856" spans="1:26" ht="11.25" customHeight="1">
      <c r="A856" s="173"/>
      <c r="B856" s="207"/>
      <c r="C856" s="208"/>
      <c r="D856" s="244"/>
      <c r="E856" s="173"/>
      <c r="F856" s="173"/>
      <c r="G856" s="173"/>
      <c r="H856" s="173"/>
      <c r="I856" s="173"/>
      <c r="J856" s="173"/>
      <c r="K856" s="173"/>
      <c r="L856" s="173"/>
      <c r="M856" s="173"/>
      <c r="N856" s="173"/>
      <c r="O856" s="173"/>
      <c r="P856" s="173"/>
      <c r="Q856" s="173"/>
      <c r="R856" s="173"/>
      <c r="S856" s="173"/>
      <c r="T856" s="173"/>
      <c r="U856" s="173"/>
      <c r="V856" s="173"/>
      <c r="W856" s="173"/>
      <c r="X856" s="173"/>
      <c r="Y856" s="173"/>
      <c r="Z856" s="173"/>
    </row>
    <row r="857" spans="1:26" ht="11.25" customHeight="1">
      <c r="A857" s="173"/>
      <c r="B857" s="207"/>
      <c r="C857" s="208"/>
      <c r="D857" s="244"/>
      <c r="E857" s="173"/>
      <c r="F857" s="173"/>
      <c r="G857" s="173"/>
      <c r="H857" s="173"/>
      <c r="I857" s="173"/>
      <c r="J857" s="173"/>
      <c r="K857" s="173"/>
      <c r="L857" s="173"/>
      <c r="M857" s="173"/>
      <c r="N857" s="173"/>
      <c r="O857" s="173"/>
      <c r="P857" s="173"/>
      <c r="Q857" s="173"/>
      <c r="R857" s="173"/>
      <c r="S857" s="173"/>
      <c r="T857" s="173"/>
      <c r="U857" s="173"/>
      <c r="V857" s="173"/>
      <c r="W857" s="173"/>
      <c r="X857" s="173"/>
      <c r="Y857" s="173"/>
      <c r="Z857" s="173"/>
    </row>
    <row r="858" spans="1:26" ht="11.25" customHeight="1">
      <c r="A858" s="173"/>
      <c r="B858" s="207"/>
      <c r="C858" s="208"/>
      <c r="D858" s="244"/>
      <c r="E858" s="173"/>
      <c r="F858" s="173"/>
      <c r="G858" s="173"/>
      <c r="H858" s="173"/>
      <c r="I858" s="173"/>
      <c r="J858" s="173"/>
      <c r="K858" s="173"/>
      <c r="L858" s="173"/>
      <c r="M858" s="173"/>
      <c r="N858" s="173"/>
      <c r="O858" s="173"/>
      <c r="P858" s="173"/>
      <c r="Q858" s="173"/>
      <c r="R858" s="173"/>
      <c r="S858" s="173"/>
      <c r="T858" s="173"/>
      <c r="U858" s="173"/>
      <c r="V858" s="173"/>
      <c r="W858" s="173"/>
      <c r="X858" s="173"/>
      <c r="Y858" s="173"/>
      <c r="Z858" s="173"/>
    </row>
    <row r="859" spans="1:26" ht="11.25" customHeight="1">
      <c r="A859" s="173"/>
      <c r="B859" s="207"/>
      <c r="C859" s="208"/>
      <c r="D859" s="244"/>
      <c r="E859" s="173"/>
      <c r="F859" s="173"/>
      <c r="G859" s="173"/>
      <c r="H859" s="173"/>
      <c r="I859" s="173"/>
      <c r="J859" s="173"/>
      <c r="K859" s="173"/>
      <c r="L859" s="173"/>
      <c r="M859" s="173"/>
      <c r="N859" s="173"/>
      <c r="O859" s="173"/>
      <c r="P859" s="173"/>
      <c r="Q859" s="173"/>
      <c r="R859" s="173"/>
      <c r="S859" s="173"/>
      <c r="T859" s="173"/>
      <c r="U859" s="173"/>
      <c r="V859" s="173"/>
      <c r="W859" s="173"/>
      <c r="X859" s="173"/>
      <c r="Y859" s="173"/>
      <c r="Z859" s="173"/>
    </row>
    <row r="860" spans="1:26" ht="11.25" customHeight="1">
      <c r="A860" s="173"/>
      <c r="B860" s="207"/>
      <c r="C860" s="208"/>
      <c r="D860" s="244"/>
      <c r="E860" s="173"/>
      <c r="F860" s="173"/>
      <c r="G860" s="173"/>
      <c r="H860" s="173"/>
      <c r="I860" s="173"/>
      <c r="J860" s="173"/>
      <c r="K860" s="173"/>
      <c r="L860" s="173"/>
      <c r="M860" s="173"/>
      <c r="N860" s="173"/>
      <c r="O860" s="173"/>
      <c r="P860" s="173"/>
      <c r="Q860" s="173"/>
      <c r="R860" s="173"/>
      <c r="S860" s="173"/>
      <c r="T860" s="173"/>
      <c r="U860" s="173"/>
      <c r="V860" s="173"/>
      <c r="W860" s="173"/>
      <c r="X860" s="173"/>
      <c r="Y860" s="173"/>
      <c r="Z860" s="173"/>
    </row>
    <row r="861" spans="1:26" ht="11.25" customHeight="1">
      <c r="A861" s="173"/>
      <c r="B861" s="207"/>
      <c r="C861" s="208"/>
      <c r="D861" s="244"/>
      <c r="E861" s="173"/>
      <c r="F861" s="173"/>
      <c r="G861" s="173"/>
      <c r="H861" s="173"/>
      <c r="I861" s="173"/>
      <c r="J861" s="173"/>
      <c r="K861" s="173"/>
      <c r="L861" s="173"/>
      <c r="M861" s="173"/>
      <c r="N861" s="173"/>
      <c r="O861" s="173"/>
      <c r="P861" s="173"/>
      <c r="Q861" s="173"/>
      <c r="R861" s="173"/>
      <c r="S861" s="173"/>
      <c r="T861" s="173"/>
      <c r="U861" s="173"/>
      <c r="V861" s="173"/>
      <c r="W861" s="173"/>
      <c r="X861" s="173"/>
      <c r="Y861" s="173"/>
      <c r="Z861" s="173"/>
    </row>
    <row r="862" spans="1:26" ht="11.25" customHeight="1">
      <c r="A862" s="173"/>
      <c r="B862" s="207"/>
      <c r="C862" s="208"/>
      <c r="D862" s="244"/>
      <c r="E862" s="173"/>
      <c r="F862" s="173"/>
      <c r="G862" s="173"/>
      <c r="H862" s="173"/>
      <c r="I862" s="173"/>
      <c r="J862" s="173"/>
      <c r="K862" s="173"/>
      <c r="L862" s="173"/>
      <c r="M862" s="173"/>
      <c r="N862" s="173"/>
      <c r="O862" s="173"/>
      <c r="P862" s="173"/>
      <c r="Q862" s="173"/>
      <c r="R862" s="173"/>
      <c r="S862" s="173"/>
      <c r="T862" s="173"/>
      <c r="U862" s="173"/>
      <c r="V862" s="173"/>
      <c r="W862" s="173"/>
      <c r="X862" s="173"/>
      <c r="Y862" s="173"/>
      <c r="Z862" s="173"/>
    </row>
    <row r="863" spans="1:26" ht="11.25" customHeight="1">
      <c r="A863" s="173"/>
      <c r="B863" s="207"/>
      <c r="C863" s="208"/>
      <c r="D863" s="244"/>
      <c r="E863" s="173"/>
      <c r="F863" s="173"/>
      <c r="G863" s="173"/>
      <c r="H863" s="173"/>
      <c r="I863" s="173"/>
      <c r="J863" s="173"/>
      <c r="K863" s="173"/>
      <c r="L863" s="173"/>
      <c r="M863" s="173"/>
      <c r="N863" s="173"/>
      <c r="O863" s="173"/>
      <c r="P863" s="173"/>
      <c r="Q863" s="173"/>
      <c r="R863" s="173"/>
      <c r="S863" s="173"/>
      <c r="T863" s="173"/>
      <c r="U863" s="173"/>
      <c r="V863" s="173"/>
      <c r="W863" s="173"/>
      <c r="X863" s="173"/>
      <c r="Y863" s="173"/>
      <c r="Z863" s="173"/>
    </row>
    <row r="864" spans="1:26" ht="11.25" customHeight="1">
      <c r="A864" s="173"/>
      <c r="B864" s="207"/>
      <c r="C864" s="208"/>
      <c r="D864" s="244"/>
      <c r="E864" s="173"/>
      <c r="F864" s="173"/>
      <c r="G864" s="173"/>
      <c r="H864" s="173"/>
      <c r="I864" s="173"/>
      <c r="J864" s="173"/>
      <c r="K864" s="173"/>
      <c r="L864" s="173"/>
      <c r="M864" s="173"/>
      <c r="N864" s="173"/>
      <c r="O864" s="173"/>
      <c r="P864" s="173"/>
      <c r="Q864" s="173"/>
      <c r="R864" s="173"/>
      <c r="S864" s="173"/>
      <c r="T864" s="173"/>
      <c r="U864" s="173"/>
      <c r="V864" s="173"/>
      <c r="W864" s="173"/>
      <c r="X864" s="173"/>
      <c r="Y864" s="173"/>
      <c r="Z864" s="173"/>
    </row>
    <row r="865" spans="1:26" ht="11.25" customHeight="1">
      <c r="A865" s="173"/>
      <c r="B865" s="207"/>
      <c r="C865" s="208"/>
      <c r="D865" s="244"/>
      <c r="E865" s="173"/>
      <c r="F865" s="173"/>
      <c r="G865" s="173"/>
      <c r="H865" s="173"/>
      <c r="I865" s="173"/>
      <c r="J865" s="173"/>
      <c r="K865" s="173"/>
      <c r="L865" s="173"/>
      <c r="M865" s="173"/>
      <c r="N865" s="173"/>
      <c r="O865" s="173"/>
      <c r="P865" s="173"/>
      <c r="Q865" s="173"/>
      <c r="R865" s="173"/>
      <c r="S865" s="173"/>
      <c r="T865" s="173"/>
      <c r="U865" s="173"/>
      <c r="V865" s="173"/>
      <c r="W865" s="173"/>
      <c r="X865" s="173"/>
      <c r="Y865" s="173"/>
      <c r="Z865" s="173"/>
    </row>
    <row r="866" spans="1:26" ht="11.25" customHeight="1">
      <c r="A866" s="173"/>
      <c r="B866" s="207"/>
      <c r="C866" s="208"/>
      <c r="D866" s="244"/>
      <c r="E866" s="173"/>
      <c r="F866" s="173"/>
      <c r="G866" s="173"/>
      <c r="H866" s="173"/>
      <c r="I866" s="173"/>
      <c r="J866" s="173"/>
      <c r="K866" s="173"/>
      <c r="L866" s="173"/>
      <c r="M866" s="173"/>
      <c r="N866" s="173"/>
      <c r="O866" s="173"/>
      <c r="P866" s="173"/>
      <c r="Q866" s="173"/>
      <c r="R866" s="173"/>
      <c r="S866" s="173"/>
      <c r="T866" s="173"/>
      <c r="U866" s="173"/>
      <c r="V866" s="173"/>
      <c r="W866" s="173"/>
      <c r="X866" s="173"/>
      <c r="Y866" s="173"/>
      <c r="Z866" s="173"/>
    </row>
    <row r="867" spans="1:26" ht="11.25" customHeight="1">
      <c r="A867" s="173"/>
      <c r="B867" s="207"/>
      <c r="C867" s="208"/>
      <c r="D867" s="244"/>
      <c r="E867" s="173"/>
      <c r="F867" s="173"/>
      <c r="G867" s="173"/>
      <c r="H867" s="173"/>
      <c r="I867" s="173"/>
      <c r="J867" s="173"/>
      <c r="K867" s="173"/>
      <c r="L867" s="173"/>
      <c r="M867" s="173"/>
      <c r="N867" s="173"/>
      <c r="O867" s="173"/>
      <c r="P867" s="173"/>
      <c r="Q867" s="173"/>
      <c r="R867" s="173"/>
      <c r="S867" s="173"/>
      <c r="T867" s="173"/>
      <c r="U867" s="173"/>
      <c r="V867" s="173"/>
      <c r="W867" s="173"/>
      <c r="X867" s="173"/>
      <c r="Y867" s="173"/>
      <c r="Z867" s="173"/>
    </row>
    <row r="868" spans="1:26" ht="11.25" customHeight="1">
      <c r="A868" s="173"/>
      <c r="B868" s="207"/>
      <c r="C868" s="208"/>
      <c r="D868" s="244"/>
      <c r="E868" s="173"/>
      <c r="F868" s="173"/>
      <c r="G868" s="173"/>
      <c r="H868" s="173"/>
      <c r="I868" s="173"/>
      <c r="J868" s="173"/>
      <c r="K868" s="173"/>
      <c r="L868" s="173"/>
      <c r="M868" s="173"/>
      <c r="N868" s="173"/>
      <c r="O868" s="173"/>
      <c r="P868" s="173"/>
      <c r="Q868" s="173"/>
      <c r="R868" s="173"/>
      <c r="S868" s="173"/>
      <c r="T868" s="173"/>
      <c r="U868" s="173"/>
      <c r="V868" s="173"/>
      <c r="W868" s="173"/>
      <c r="X868" s="173"/>
      <c r="Y868" s="173"/>
      <c r="Z868" s="173"/>
    </row>
    <row r="869" spans="1:26" ht="11.25" customHeight="1">
      <c r="A869" s="173"/>
      <c r="B869" s="207"/>
      <c r="C869" s="208"/>
      <c r="D869" s="244"/>
      <c r="E869" s="173"/>
      <c r="F869" s="173"/>
      <c r="G869" s="173"/>
      <c r="H869" s="173"/>
      <c r="I869" s="173"/>
      <c r="J869" s="173"/>
      <c r="K869" s="173"/>
      <c r="L869" s="173"/>
      <c r="M869" s="173"/>
      <c r="N869" s="173"/>
      <c r="O869" s="173"/>
      <c r="P869" s="173"/>
      <c r="Q869" s="173"/>
      <c r="R869" s="173"/>
      <c r="S869" s="173"/>
      <c r="T869" s="173"/>
      <c r="U869" s="173"/>
      <c r="V869" s="173"/>
      <c r="W869" s="173"/>
      <c r="X869" s="173"/>
      <c r="Y869" s="173"/>
      <c r="Z869" s="173"/>
    </row>
    <row r="870" spans="1:26" ht="11.25" customHeight="1">
      <c r="A870" s="173"/>
      <c r="B870" s="207"/>
      <c r="C870" s="208"/>
      <c r="D870" s="244"/>
      <c r="E870" s="173"/>
      <c r="F870" s="173"/>
      <c r="G870" s="173"/>
      <c r="H870" s="173"/>
      <c r="I870" s="173"/>
      <c r="J870" s="173"/>
      <c r="K870" s="173"/>
      <c r="L870" s="173"/>
      <c r="M870" s="173"/>
      <c r="N870" s="173"/>
      <c r="O870" s="173"/>
      <c r="P870" s="173"/>
      <c r="Q870" s="173"/>
      <c r="R870" s="173"/>
      <c r="S870" s="173"/>
      <c r="T870" s="173"/>
      <c r="U870" s="173"/>
      <c r="V870" s="173"/>
      <c r="W870" s="173"/>
      <c r="X870" s="173"/>
      <c r="Y870" s="173"/>
      <c r="Z870" s="173"/>
    </row>
    <row r="871" spans="1:26" ht="11.25" customHeight="1">
      <c r="A871" s="173"/>
      <c r="B871" s="207"/>
      <c r="C871" s="208"/>
      <c r="D871" s="244"/>
      <c r="E871" s="173"/>
      <c r="F871" s="173"/>
      <c r="G871" s="173"/>
      <c r="H871" s="173"/>
      <c r="I871" s="173"/>
      <c r="J871" s="173"/>
      <c r="K871" s="173"/>
      <c r="L871" s="173"/>
      <c r="M871" s="173"/>
      <c r="N871" s="173"/>
      <c r="O871" s="173"/>
      <c r="P871" s="173"/>
      <c r="Q871" s="173"/>
      <c r="R871" s="173"/>
      <c r="S871" s="173"/>
      <c r="T871" s="173"/>
      <c r="U871" s="173"/>
      <c r="V871" s="173"/>
      <c r="W871" s="173"/>
      <c r="X871" s="173"/>
      <c r="Y871" s="173"/>
      <c r="Z871" s="173"/>
    </row>
    <row r="872" spans="1:26" ht="11.25" customHeight="1">
      <c r="A872" s="173"/>
      <c r="B872" s="207"/>
      <c r="C872" s="208"/>
      <c r="D872" s="244"/>
      <c r="E872" s="173"/>
      <c r="F872" s="173"/>
      <c r="G872" s="173"/>
      <c r="H872" s="173"/>
      <c r="I872" s="173"/>
      <c r="J872" s="173"/>
      <c r="K872" s="173"/>
      <c r="L872" s="173"/>
      <c r="M872" s="173"/>
      <c r="N872" s="173"/>
      <c r="O872" s="173"/>
      <c r="P872" s="173"/>
      <c r="Q872" s="173"/>
      <c r="R872" s="173"/>
      <c r="S872" s="173"/>
      <c r="T872" s="173"/>
      <c r="U872" s="173"/>
      <c r="V872" s="173"/>
      <c r="W872" s="173"/>
      <c r="X872" s="173"/>
      <c r="Y872" s="173"/>
      <c r="Z872" s="173"/>
    </row>
    <row r="873" spans="1:26" ht="11.25" customHeight="1">
      <c r="A873" s="173"/>
      <c r="B873" s="207"/>
      <c r="C873" s="208"/>
      <c r="D873" s="244"/>
      <c r="E873" s="173"/>
      <c r="F873" s="173"/>
      <c r="G873" s="173"/>
      <c r="H873" s="173"/>
      <c r="I873" s="173"/>
      <c r="J873" s="173"/>
      <c r="K873" s="173"/>
      <c r="L873" s="173"/>
      <c r="M873" s="173"/>
      <c r="N873" s="173"/>
      <c r="O873" s="173"/>
      <c r="P873" s="173"/>
      <c r="Q873" s="173"/>
      <c r="R873" s="173"/>
      <c r="S873" s="173"/>
      <c r="T873" s="173"/>
      <c r="U873" s="173"/>
      <c r="V873" s="173"/>
      <c r="W873" s="173"/>
      <c r="X873" s="173"/>
      <c r="Y873" s="173"/>
      <c r="Z873" s="173"/>
    </row>
    <row r="874" spans="1:26" ht="11.25" customHeight="1">
      <c r="A874" s="173"/>
      <c r="B874" s="207"/>
      <c r="C874" s="208"/>
      <c r="D874" s="244"/>
      <c r="E874" s="173"/>
      <c r="F874" s="173"/>
      <c r="G874" s="173"/>
      <c r="H874" s="173"/>
      <c r="I874" s="173"/>
      <c r="J874" s="173"/>
      <c r="K874" s="173"/>
      <c r="L874" s="173"/>
      <c r="M874" s="173"/>
      <c r="N874" s="173"/>
      <c r="O874" s="173"/>
      <c r="P874" s="173"/>
      <c r="Q874" s="173"/>
      <c r="R874" s="173"/>
      <c r="S874" s="173"/>
      <c r="T874" s="173"/>
      <c r="U874" s="173"/>
      <c r="V874" s="173"/>
      <c r="W874" s="173"/>
      <c r="X874" s="173"/>
      <c r="Y874" s="173"/>
      <c r="Z874" s="173"/>
    </row>
    <row r="875" spans="1:26" ht="11.25" customHeight="1">
      <c r="A875" s="173"/>
      <c r="B875" s="207"/>
      <c r="C875" s="208"/>
      <c r="D875" s="244"/>
      <c r="E875" s="173"/>
      <c r="F875" s="173"/>
      <c r="G875" s="173"/>
      <c r="H875" s="173"/>
      <c r="I875" s="173"/>
      <c r="J875" s="173"/>
      <c r="K875" s="173"/>
      <c r="L875" s="173"/>
      <c r="M875" s="173"/>
      <c r="N875" s="173"/>
      <c r="O875" s="173"/>
      <c r="P875" s="173"/>
      <c r="Q875" s="173"/>
      <c r="R875" s="173"/>
      <c r="S875" s="173"/>
      <c r="T875" s="173"/>
      <c r="U875" s="173"/>
      <c r="V875" s="173"/>
      <c r="W875" s="173"/>
      <c r="X875" s="173"/>
      <c r="Y875" s="173"/>
      <c r="Z875" s="173"/>
    </row>
    <row r="876" spans="1:26" ht="11.25" customHeight="1">
      <c r="A876" s="173"/>
      <c r="B876" s="207"/>
      <c r="C876" s="208"/>
      <c r="D876" s="244"/>
      <c r="E876" s="173"/>
      <c r="F876" s="173"/>
      <c r="G876" s="173"/>
      <c r="H876" s="173"/>
      <c r="I876" s="173"/>
      <c r="J876" s="173"/>
      <c r="K876" s="173"/>
      <c r="L876" s="173"/>
      <c r="M876" s="173"/>
      <c r="N876" s="173"/>
      <c r="O876" s="173"/>
      <c r="P876" s="173"/>
      <c r="Q876" s="173"/>
      <c r="R876" s="173"/>
      <c r="S876" s="173"/>
      <c r="T876" s="173"/>
      <c r="U876" s="173"/>
      <c r="V876" s="173"/>
      <c r="W876" s="173"/>
      <c r="X876" s="173"/>
      <c r="Y876" s="173"/>
      <c r="Z876" s="173"/>
    </row>
    <row r="877" spans="1:26" ht="11.25" customHeight="1">
      <c r="A877" s="173"/>
      <c r="B877" s="207"/>
      <c r="C877" s="208"/>
      <c r="D877" s="244"/>
      <c r="E877" s="173"/>
      <c r="F877" s="173"/>
      <c r="G877" s="173"/>
      <c r="H877" s="173"/>
      <c r="I877" s="173"/>
      <c r="J877" s="173"/>
      <c r="K877" s="173"/>
      <c r="L877" s="173"/>
      <c r="M877" s="173"/>
      <c r="N877" s="173"/>
      <c r="O877" s="173"/>
      <c r="P877" s="173"/>
      <c r="Q877" s="173"/>
      <c r="R877" s="173"/>
      <c r="S877" s="173"/>
      <c r="T877" s="173"/>
      <c r="U877" s="173"/>
      <c r="V877" s="173"/>
      <c r="W877" s="173"/>
      <c r="X877" s="173"/>
      <c r="Y877" s="173"/>
      <c r="Z877" s="173"/>
    </row>
    <row r="878" spans="1:26" ht="11.25" customHeight="1">
      <c r="A878" s="173"/>
      <c r="B878" s="207"/>
      <c r="C878" s="208"/>
      <c r="D878" s="244"/>
      <c r="E878" s="173"/>
      <c r="F878" s="173"/>
      <c r="G878" s="173"/>
      <c r="H878" s="173"/>
      <c r="I878" s="173"/>
      <c r="J878" s="173"/>
      <c r="K878" s="173"/>
      <c r="L878" s="173"/>
      <c r="M878" s="173"/>
      <c r="N878" s="173"/>
      <c r="O878" s="173"/>
      <c r="P878" s="173"/>
      <c r="Q878" s="173"/>
      <c r="R878" s="173"/>
      <c r="S878" s="173"/>
      <c r="T878" s="173"/>
      <c r="U878" s="173"/>
      <c r="V878" s="173"/>
      <c r="W878" s="173"/>
      <c r="X878" s="173"/>
      <c r="Y878" s="173"/>
      <c r="Z878" s="173"/>
    </row>
    <row r="879" spans="1:26" ht="11.25" customHeight="1">
      <c r="A879" s="173"/>
      <c r="B879" s="207"/>
      <c r="C879" s="208"/>
      <c r="D879" s="244"/>
      <c r="E879" s="173"/>
      <c r="F879" s="173"/>
      <c r="G879" s="173"/>
      <c r="H879" s="173"/>
      <c r="I879" s="173"/>
      <c r="J879" s="173"/>
      <c r="K879" s="173"/>
      <c r="L879" s="173"/>
      <c r="M879" s="173"/>
      <c r="N879" s="173"/>
      <c r="O879" s="173"/>
      <c r="P879" s="173"/>
      <c r="Q879" s="173"/>
      <c r="R879" s="173"/>
      <c r="S879" s="173"/>
      <c r="T879" s="173"/>
      <c r="U879" s="173"/>
      <c r="V879" s="173"/>
      <c r="W879" s="173"/>
      <c r="X879" s="173"/>
      <c r="Y879" s="173"/>
      <c r="Z879" s="173"/>
    </row>
    <row r="880" spans="1:26" ht="11.25" customHeight="1">
      <c r="A880" s="173"/>
      <c r="B880" s="207"/>
      <c r="C880" s="208"/>
      <c r="D880" s="244"/>
      <c r="E880" s="173"/>
      <c r="F880" s="173"/>
      <c r="G880" s="173"/>
      <c r="H880" s="173"/>
      <c r="I880" s="173"/>
      <c r="J880" s="173"/>
      <c r="K880" s="173"/>
      <c r="L880" s="173"/>
      <c r="M880" s="173"/>
      <c r="N880" s="173"/>
      <c r="O880" s="173"/>
      <c r="P880" s="173"/>
      <c r="Q880" s="173"/>
      <c r="R880" s="173"/>
      <c r="S880" s="173"/>
      <c r="T880" s="173"/>
      <c r="U880" s="173"/>
      <c r="V880" s="173"/>
      <c r="W880" s="173"/>
      <c r="X880" s="173"/>
      <c r="Y880" s="173"/>
      <c r="Z880" s="173"/>
    </row>
    <row r="881" spans="1:26" ht="11.25" customHeight="1">
      <c r="A881" s="173"/>
      <c r="B881" s="207"/>
      <c r="C881" s="208"/>
      <c r="D881" s="244"/>
      <c r="E881" s="173"/>
      <c r="F881" s="173"/>
      <c r="G881" s="173"/>
      <c r="H881" s="173"/>
      <c r="I881" s="173"/>
      <c r="J881" s="173"/>
      <c r="K881" s="173"/>
      <c r="L881" s="173"/>
      <c r="M881" s="173"/>
      <c r="N881" s="173"/>
      <c r="O881" s="173"/>
      <c r="P881" s="173"/>
      <c r="Q881" s="173"/>
      <c r="R881" s="173"/>
      <c r="S881" s="173"/>
      <c r="T881" s="173"/>
      <c r="U881" s="173"/>
      <c r="V881" s="173"/>
      <c r="W881" s="173"/>
      <c r="X881" s="173"/>
      <c r="Y881" s="173"/>
      <c r="Z881" s="173"/>
    </row>
    <row r="882" spans="1:26" ht="11.25" customHeight="1">
      <c r="A882" s="173"/>
      <c r="B882" s="207"/>
      <c r="C882" s="208"/>
      <c r="D882" s="244"/>
      <c r="E882" s="173"/>
      <c r="F882" s="173"/>
      <c r="G882" s="173"/>
      <c r="H882" s="173"/>
      <c r="I882" s="173"/>
      <c r="J882" s="173"/>
      <c r="K882" s="173"/>
      <c r="L882" s="173"/>
      <c r="M882" s="173"/>
      <c r="N882" s="173"/>
      <c r="O882" s="173"/>
      <c r="P882" s="173"/>
      <c r="Q882" s="173"/>
      <c r="R882" s="173"/>
      <c r="S882" s="173"/>
      <c r="T882" s="173"/>
      <c r="U882" s="173"/>
      <c r="V882" s="173"/>
      <c r="W882" s="173"/>
      <c r="X882" s="173"/>
      <c r="Y882" s="173"/>
      <c r="Z882" s="173"/>
    </row>
    <row r="883" spans="1:26" ht="11.25" customHeight="1">
      <c r="A883" s="173"/>
      <c r="B883" s="207"/>
      <c r="C883" s="208"/>
      <c r="D883" s="244"/>
      <c r="E883" s="173"/>
      <c r="F883" s="173"/>
      <c r="G883" s="173"/>
      <c r="H883" s="173"/>
      <c r="I883" s="173"/>
      <c r="J883" s="173"/>
      <c r="K883" s="173"/>
      <c r="L883" s="173"/>
      <c r="M883" s="173"/>
      <c r="N883" s="173"/>
      <c r="O883" s="173"/>
      <c r="P883" s="173"/>
      <c r="Q883" s="173"/>
      <c r="R883" s="173"/>
      <c r="S883" s="173"/>
      <c r="T883" s="173"/>
      <c r="U883" s="173"/>
      <c r="V883" s="173"/>
      <c r="W883" s="173"/>
      <c r="X883" s="173"/>
      <c r="Y883" s="173"/>
      <c r="Z883" s="173"/>
    </row>
    <row r="884" spans="1:26" ht="11.25" customHeight="1">
      <c r="A884" s="173"/>
      <c r="B884" s="207"/>
      <c r="C884" s="208"/>
      <c r="D884" s="244"/>
      <c r="E884" s="173"/>
      <c r="F884" s="173"/>
      <c r="G884" s="173"/>
      <c r="H884" s="173"/>
      <c r="I884" s="173"/>
      <c r="J884" s="173"/>
      <c r="K884" s="173"/>
      <c r="L884" s="173"/>
      <c r="M884" s="173"/>
      <c r="N884" s="173"/>
      <c r="O884" s="173"/>
      <c r="P884" s="173"/>
      <c r="Q884" s="173"/>
      <c r="R884" s="173"/>
      <c r="S884" s="173"/>
      <c r="T884" s="173"/>
      <c r="U884" s="173"/>
      <c r="V884" s="173"/>
      <c r="W884" s="173"/>
      <c r="X884" s="173"/>
      <c r="Y884" s="173"/>
      <c r="Z884" s="173"/>
    </row>
    <row r="885" spans="1:26" ht="11.25" customHeight="1">
      <c r="A885" s="173"/>
      <c r="B885" s="207"/>
      <c r="C885" s="208"/>
      <c r="D885" s="244"/>
      <c r="E885" s="173"/>
      <c r="F885" s="173"/>
      <c r="G885" s="173"/>
      <c r="H885" s="173"/>
      <c r="I885" s="173"/>
      <c r="J885" s="173"/>
      <c r="K885" s="173"/>
      <c r="L885" s="173"/>
      <c r="M885" s="173"/>
      <c r="N885" s="173"/>
      <c r="O885" s="173"/>
      <c r="P885" s="173"/>
      <c r="Q885" s="173"/>
      <c r="R885" s="173"/>
      <c r="S885" s="173"/>
      <c r="T885" s="173"/>
      <c r="U885" s="173"/>
      <c r="V885" s="173"/>
      <c r="W885" s="173"/>
      <c r="X885" s="173"/>
      <c r="Y885" s="173"/>
      <c r="Z885" s="173"/>
    </row>
    <row r="886" spans="1:26" ht="11.25" customHeight="1">
      <c r="A886" s="173"/>
      <c r="B886" s="207"/>
      <c r="C886" s="208"/>
      <c r="D886" s="244"/>
      <c r="E886" s="173"/>
      <c r="F886" s="173"/>
      <c r="G886" s="173"/>
      <c r="H886" s="173"/>
      <c r="I886" s="173"/>
      <c r="J886" s="173"/>
      <c r="K886" s="173"/>
      <c r="L886" s="173"/>
      <c r="M886" s="173"/>
      <c r="N886" s="173"/>
      <c r="O886" s="173"/>
      <c r="P886" s="173"/>
      <c r="Q886" s="173"/>
      <c r="R886" s="173"/>
      <c r="S886" s="173"/>
      <c r="T886" s="173"/>
      <c r="U886" s="173"/>
      <c r="V886" s="173"/>
      <c r="W886" s="173"/>
      <c r="X886" s="173"/>
      <c r="Y886" s="173"/>
      <c r="Z886" s="173"/>
    </row>
    <row r="887" spans="1:26" ht="11.25" customHeight="1">
      <c r="A887" s="173"/>
      <c r="B887" s="207"/>
      <c r="C887" s="208"/>
      <c r="D887" s="244"/>
      <c r="E887" s="173"/>
      <c r="F887" s="173"/>
      <c r="G887" s="173"/>
      <c r="H887" s="173"/>
      <c r="I887" s="173"/>
      <c r="J887" s="173"/>
      <c r="K887" s="173"/>
      <c r="L887" s="173"/>
      <c r="M887" s="173"/>
      <c r="N887" s="173"/>
      <c r="O887" s="173"/>
      <c r="P887" s="173"/>
      <c r="Q887" s="173"/>
      <c r="R887" s="173"/>
      <c r="S887" s="173"/>
      <c r="T887" s="173"/>
      <c r="U887" s="173"/>
      <c r="V887" s="173"/>
      <c r="W887" s="173"/>
      <c r="X887" s="173"/>
      <c r="Y887" s="173"/>
      <c r="Z887" s="173"/>
    </row>
    <row r="888" spans="1:26" ht="11.25" customHeight="1">
      <c r="A888" s="173"/>
      <c r="B888" s="207"/>
      <c r="C888" s="208"/>
      <c r="D888" s="244"/>
      <c r="E888" s="173"/>
      <c r="F888" s="173"/>
      <c r="G888" s="173"/>
      <c r="H888" s="173"/>
      <c r="I888" s="173"/>
      <c r="J888" s="173"/>
      <c r="K888" s="173"/>
      <c r="L888" s="173"/>
      <c r="M888" s="173"/>
      <c r="N888" s="173"/>
      <c r="O888" s="173"/>
      <c r="P888" s="173"/>
      <c r="Q888" s="173"/>
      <c r="R888" s="173"/>
      <c r="S888" s="173"/>
      <c r="T888" s="173"/>
      <c r="U888" s="173"/>
      <c r="V888" s="173"/>
      <c r="W888" s="173"/>
      <c r="X888" s="173"/>
      <c r="Y888" s="173"/>
      <c r="Z888" s="173"/>
    </row>
    <row r="889" spans="1:26" ht="11.25" customHeight="1">
      <c r="A889" s="173"/>
      <c r="B889" s="207"/>
      <c r="C889" s="208"/>
      <c r="D889" s="244"/>
      <c r="E889" s="173"/>
      <c r="F889" s="173"/>
      <c r="G889" s="173"/>
      <c r="H889" s="173"/>
      <c r="I889" s="173"/>
      <c r="J889" s="173"/>
      <c r="K889" s="173"/>
      <c r="L889" s="173"/>
      <c r="M889" s="173"/>
      <c r="N889" s="173"/>
      <c r="O889" s="173"/>
      <c r="P889" s="173"/>
      <c r="Q889" s="173"/>
      <c r="R889" s="173"/>
      <c r="S889" s="173"/>
      <c r="T889" s="173"/>
      <c r="U889" s="173"/>
      <c r="V889" s="173"/>
      <c r="W889" s="173"/>
      <c r="X889" s="173"/>
      <c r="Y889" s="173"/>
      <c r="Z889" s="173"/>
    </row>
    <row r="890" spans="1:26" ht="11.25" customHeight="1">
      <c r="A890" s="173"/>
      <c r="B890" s="207"/>
      <c r="C890" s="208"/>
      <c r="D890" s="244"/>
      <c r="E890" s="173"/>
      <c r="F890" s="173"/>
      <c r="G890" s="173"/>
      <c r="H890" s="173"/>
      <c r="I890" s="173"/>
      <c r="J890" s="173"/>
      <c r="K890" s="173"/>
      <c r="L890" s="173"/>
      <c r="M890" s="173"/>
      <c r="N890" s="173"/>
      <c r="O890" s="173"/>
      <c r="P890" s="173"/>
      <c r="Q890" s="173"/>
      <c r="R890" s="173"/>
      <c r="S890" s="173"/>
      <c r="T890" s="173"/>
      <c r="U890" s="173"/>
      <c r="V890" s="173"/>
      <c r="W890" s="173"/>
      <c r="X890" s="173"/>
      <c r="Y890" s="173"/>
      <c r="Z890" s="173"/>
    </row>
    <row r="891" spans="1:26" ht="11.25" customHeight="1">
      <c r="A891" s="173"/>
      <c r="B891" s="207"/>
      <c r="C891" s="208"/>
      <c r="D891" s="244"/>
      <c r="E891" s="173"/>
      <c r="F891" s="173"/>
      <c r="G891" s="173"/>
      <c r="H891" s="173"/>
      <c r="I891" s="173"/>
      <c r="J891" s="173"/>
      <c r="K891" s="173"/>
      <c r="L891" s="173"/>
      <c r="M891" s="173"/>
      <c r="N891" s="173"/>
      <c r="O891" s="173"/>
      <c r="P891" s="173"/>
      <c r="Q891" s="173"/>
      <c r="R891" s="173"/>
      <c r="S891" s="173"/>
      <c r="T891" s="173"/>
      <c r="U891" s="173"/>
      <c r="V891" s="173"/>
      <c r="W891" s="173"/>
      <c r="X891" s="173"/>
      <c r="Y891" s="173"/>
      <c r="Z891" s="173"/>
    </row>
    <row r="892" spans="1:26" ht="11.25" customHeight="1">
      <c r="A892" s="173"/>
      <c r="B892" s="207"/>
      <c r="C892" s="208"/>
      <c r="D892" s="244"/>
      <c r="E892" s="173"/>
      <c r="F892" s="173"/>
      <c r="G892" s="173"/>
      <c r="H892" s="173"/>
      <c r="I892" s="173"/>
      <c r="J892" s="173"/>
      <c r="K892" s="173"/>
      <c r="L892" s="173"/>
      <c r="M892" s="173"/>
      <c r="N892" s="173"/>
      <c r="O892" s="173"/>
      <c r="P892" s="173"/>
      <c r="Q892" s="173"/>
      <c r="R892" s="173"/>
      <c r="S892" s="173"/>
      <c r="T892" s="173"/>
      <c r="U892" s="173"/>
      <c r="V892" s="173"/>
      <c r="W892" s="173"/>
      <c r="X892" s="173"/>
      <c r="Y892" s="173"/>
      <c r="Z892" s="173"/>
    </row>
    <row r="893" spans="1:26" ht="11.25" customHeight="1">
      <c r="A893" s="173"/>
      <c r="B893" s="207"/>
      <c r="C893" s="208"/>
      <c r="D893" s="244"/>
      <c r="E893" s="173"/>
      <c r="F893" s="173"/>
      <c r="G893" s="173"/>
      <c r="H893" s="173"/>
      <c r="I893" s="173"/>
      <c r="J893" s="173"/>
      <c r="K893" s="173"/>
      <c r="L893" s="173"/>
      <c r="M893" s="173"/>
      <c r="N893" s="173"/>
      <c r="O893" s="173"/>
      <c r="P893" s="173"/>
      <c r="Q893" s="173"/>
      <c r="R893" s="173"/>
      <c r="S893" s="173"/>
      <c r="T893" s="173"/>
      <c r="U893" s="173"/>
      <c r="V893" s="173"/>
      <c r="W893" s="173"/>
      <c r="X893" s="173"/>
      <c r="Y893" s="173"/>
      <c r="Z893" s="173"/>
    </row>
    <row r="894" spans="1:26" ht="11.25" customHeight="1">
      <c r="A894" s="173"/>
      <c r="B894" s="207"/>
      <c r="C894" s="208"/>
      <c r="D894" s="244"/>
      <c r="E894" s="173"/>
      <c r="F894" s="173"/>
      <c r="G894" s="173"/>
      <c r="H894" s="173"/>
      <c r="I894" s="173"/>
      <c r="J894" s="173"/>
      <c r="K894" s="173"/>
      <c r="L894" s="173"/>
      <c r="M894" s="173"/>
      <c r="N894" s="173"/>
      <c r="O894" s="173"/>
      <c r="P894" s="173"/>
      <c r="Q894" s="173"/>
      <c r="R894" s="173"/>
      <c r="S894" s="173"/>
      <c r="T894" s="173"/>
      <c r="U894" s="173"/>
      <c r="V894" s="173"/>
      <c r="W894" s="173"/>
      <c r="X894" s="173"/>
      <c r="Y894" s="173"/>
      <c r="Z894" s="173"/>
    </row>
    <row r="895" spans="1:26" ht="11.25" customHeight="1">
      <c r="A895" s="173"/>
      <c r="B895" s="207"/>
      <c r="C895" s="208"/>
      <c r="D895" s="244"/>
      <c r="E895" s="173"/>
      <c r="F895" s="173"/>
      <c r="G895" s="173"/>
      <c r="H895" s="173"/>
      <c r="I895" s="173"/>
      <c r="J895" s="173"/>
      <c r="K895" s="173"/>
      <c r="L895" s="173"/>
      <c r="M895" s="173"/>
      <c r="N895" s="173"/>
      <c r="O895" s="173"/>
      <c r="P895" s="173"/>
      <c r="Q895" s="173"/>
      <c r="R895" s="173"/>
      <c r="S895" s="173"/>
      <c r="T895" s="173"/>
      <c r="U895" s="173"/>
      <c r="V895" s="173"/>
      <c r="W895" s="173"/>
      <c r="X895" s="173"/>
      <c r="Y895" s="173"/>
      <c r="Z895" s="173"/>
    </row>
    <row r="896" spans="1:26" ht="11.25" customHeight="1">
      <c r="A896" s="173"/>
      <c r="B896" s="207"/>
      <c r="C896" s="208"/>
      <c r="D896" s="244"/>
      <c r="E896" s="173"/>
      <c r="F896" s="173"/>
      <c r="G896" s="173"/>
      <c r="H896" s="173"/>
      <c r="I896" s="173"/>
      <c r="J896" s="173"/>
      <c r="K896" s="173"/>
      <c r="L896" s="173"/>
      <c r="M896" s="173"/>
      <c r="N896" s="173"/>
      <c r="O896" s="173"/>
      <c r="P896" s="173"/>
      <c r="Q896" s="173"/>
      <c r="R896" s="173"/>
      <c r="S896" s="173"/>
      <c r="T896" s="173"/>
      <c r="U896" s="173"/>
      <c r="V896" s="173"/>
      <c r="W896" s="173"/>
      <c r="X896" s="173"/>
      <c r="Y896" s="173"/>
      <c r="Z896" s="173"/>
    </row>
    <row r="897" spans="1:26" ht="11.25" customHeight="1">
      <c r="A897" s="173"/>
      <c r="B897" s="207"/>
      <c r="C897" s="208"/>
      <c r="D897" s="244"/>
      <c r="E897" s="173"/>
      <c r="F897" s="173"/>
      <c r="G897" s="173"/>
      <c r="H897" s="173"/>
      <c r="I897" s="173"/>
      <c r="J897" s="173"/>
      <c r="K897" s="173"/>
      <c r="L897" s="173"/>
      <c r="M897" s="173"/>
      <c r="N897" s="173"/>
      <c r="O897" s="173"/>
      <c r="P897" s="173"/>
      <c r="Q897" s="173"/>
      <c r="R897" s="173"/>
      <c r="S897" s="173"/>
      <c r="T897" s="173"/>
      <c r="U897" s="173"/>
      <c r="V897" s="173"/>
      <c r="W897" s="173"/>
      <c r="X897" s="173"/>
      <c r="Y897" s="173"/>
      <c r="Z897" s="173"/>
    </row>
    <row r="898" spans="1:26" ht="11.25" customHeight="1">
      <c r="A898" s="173"/>
      <c r="B898" s="207"/>
      <c r="C898" s="208"/>
      <c r="D898" s="244"/>
      <c r="E898" s="173"/>
      <c r="F898" s="173"/>
      <c r="G898" s="173"/>
      <c r="H898" s="173"/>
      <c r="I898" s="173"/>
      <c r="J898" s="173"/>
      <c r="K898" s="173"/>
      <c r="L898" s="173"/>
      <c r="M898" s="173"/>
      <c r="N898" s="173"/>
      <c r="O898" s="173"/>
      <c r="P898" s="173"/>
      <c r="Q898" s="173"/>
      <c r="R898" s="173"/>
      <c r="S898" s="173"/>
      <c r="T898" s="173"/>
      <c r="U898" s="173"/>
      <c r="V898" s="173"/>
      <c r="W898" s="173"/>
      <c r="X898" s="173"/>
      <c r="Y898" s="173"/>
      <c r="Z898" s="173"/>
    </row>
    <row r="899" spans="1:26" ht="11.25" customHeight="1">
      <c r="A899" s="173"/>
      <c r="B899" s="207"/>
      <c r="C899" s="208"/>
      <c r="D899" s="244"/>
      <c r="E899" s="173"/>
      <c r="F899" s="173"/>
      <c r="G899" s="173"/>
      <c r="H899" s="173"/>
      <c r="I899" s="173"/>
      <c r="J899" s="173"/>
      <c r="K899" s="173"/>
      <c r="L899" s="173"/>
      <c r="M899" s="173"/>
      <c r="N899" s="173"/>
      <c r="O899" s="173"/>
      <c r="P899" s="173"/>
      <c r="Q899" s="173"/>
      <c r="R899" s="173"/>
      <c r="S899" s="173"/>
      <c r="T899" s="173"/>
      <c r="U899" s="173"/>
      <c r="V899" s="173"/>
      <c r="W899" s="173"/>
      <c r="X899" s="173"/>
      <c r="Y899" s="173"/>
      <c r="Z899" s="173"/>
    </row>
    <row r="900" spans="1:26" ht="11.25" customHeight="1">
      <c r="A900" s="173"/>
      <c r="B900" s="207"/>
      <c r="C900" s="208"/>
      <c r="D900" s="244"/>
      <c r="E900" s="173"/>
      <c r="F900" s="173"/>
      <c r="G900" s="173"/>
      <c r="H900" s="173"/>
      <c r="I900" s="173"/>
      <c r="J900" s="173"/>
      <c r="K900" s="173"/>
      <c r="L900" s="173"/>
      <c r="M900" s="173"/>
      <c r="N900" s="173"/>
      <c r="O900" s="173"/>
      <c r="P900" s="173"/>
      <c r="Q900" s="173"/>
      <c r="R900" s="173"/>
      <c r="S900" s="173"/>
      <c r="T900" s="173"/>
      <c r="U900" s="173"/>
      <c r="V900" s="173"/>
      <c r="W900" s="173"/>
      <c r="X900" s="173"/>
      <c r="Y900" s="173"/>
      <c r="Z900" s="173"/>
    </row>
    <row r="901" spans="1:26" ht="11.25" customHeight="1">
      <c r="A901" s="173"/>
      <c r="B901" s="207"/>
      <c r="C901" s="208"/>
      <c r="D901" s="244"/>
      <c r="E901" s="173"/>
      <c r="F901" s="173"/>
      <c r="G901" s="173"/>
      <c r="H901" s="173"/>
      <c r="I901" s="173"/>
      <c r="J901" s="173"/>
      <c r="K901" s="173"/>
      <c r="L901" s="173"/>
      <c r="M901" s="173"/>
      <c r="N901" s="173"/>
      <c r="O901" s="173"/>
      <c r="P901" s="173"/>
      <c r="Q901" s="173"/>
      <c r="R901" s="173"/>
      <c r="S901" s="173"/>
      <c r="T901" s="173"/>
      <c r="U901" s="173"/>
      <c r="V901" s="173"/>
      <c r="W901" s="173"/>
      <c r="X901" s="173"/>
      <c r="Y901" s="173"/>
      <c r="Z901" s="173"/>
    </row>
    <row r="902" spans="1:26" ht="11.25" customHeight="1">
      <c r="A902" s="173"/>
      <c r="B902" s="207"/>
      <c r="C902" s="208"/>
      <c r="D902" s="244"/>
      <c r="E902" s="173"/>
      <c r="F902" s="173"/>
      <c r="G902" s="173"/>
      <c r="H902" s="173"/>
      <c r="I902" s="173"/>
      <c r="J902" s="173"/>
      <c r="K902" s="173"/>
      <c r="L902" s="173"/>
      <c r="M902" s="173"/>
      <c r="N902" s="173"/>
      <c r="O902" s="173"/>
      <c r="P902" s="173"/>
      <c r="Q902" s="173"/>
      <c r="R902" s="173"/>
      <c r="S902" s="173"/>
      <c r="T902" s="173"/>
      <c r="U902" s="173"/>
      <c r="V902" s="173"/>
      <c r="W902" s="173"/>
      <c r="X902" s="173"/>
      <c r="Y902" s="173"/>
      <c r="Z902" s="173"/>
    </row>
    <row r="903" spans="1:26" ht="11.25" customHeight="1">
      <c r="A903" s="173"/>
      <c r="B903" s="207"/>
      <c r="C903" s="208"/>
      <c r="D903" s="244"/>
      <c r="E903" s="173"/>
      <c r="F903" s="173"/>
      <c r="G903" s="173"/>
      <c r="H903" s="173"/>
      <c r="I903" s="173"/>
      <c r="J903" s="173"/>
      <c r="K903" s="173"/>
      <c r="L903" s="173"/>
      <c r="M903" s="173"/>
      <c r="N903" s="173"/>
      <c r="O903" s="173"/>
      <c r="P903" s="173"/>
      <c r="Q903" s="173"/>
      <c r="R903" s="173"/>
      <c r="S903" s="173"/>
      <c r="T903" s="173"/>
      <c r="U903" s="173"/>
      <c r="V903" s="173"/>
      <c r="W903" s="173"/>
      <c r="X903" s="173"/>
      <c r="Y903" s="173"/>
      <c r="Z903" s="173"/>
    </row>
    <row r="904" spans="1:26" ht="11.25" customHeight="1">
      <c r="A904" s="173"/>
      <c r="B904" s="207"/>
      <c r="C904" s="208"/>
      <c r="D904" s="244"/>
      <c r="E904" s="173"/>
      <c r="F904" s="173"/>
      <c r="G904" s="173"/>
      <c r="H904" s="173"/>
      <c r="I904" s="173"/>
      <c r="J904" s="173"/>
      <c r="K904" s="173"/>
      <c r="L904" s="173"/>
      <c r="M904" s="173"/>
      <c r="N904" s="173"/>
      <c r="O904" s="173"/>
      <c r="P904" s="173"/>
      <c r="Q904" s="173"/>
      <c r="R904" s="173"/>
      <c r="S904" s="173"/>
      <c r="T904" s="173"/>
      <c r="U904" s="173"/>
      <c r="V904" s="173"/>
      <c r="W904" s="173"/>
      <c r="X904" s="173"/>
      <c r="Y904" s="173"/>
      <c r="Z904" s="173"/>
    </row>
    <row r="905" spans="1:26" ht="11.25" customHeight="1">
      <c r="A905" s="173"/>
      <c r="B905" s="207"/>
      <c r="C905" s="208"/>
      <c r="D905" s="244"/>
      <c r="E905" s="173"/>
      <c r="F905" s="173"/>
      <c r="G905" s="173"/>
      <c r="H905" s="173"/>
      <c r="I905" s="173"/>
      <c r="J905" s="173"/>
      <c r="K905" s="173"/>
      <c r="L905" s="173"/>
      <c r="M905" s="173"/>
      <c r="N905" s="173"/>
      <c r="O905" s="173"/>
      <c r="P905" s="173"/>
      <c r="Q905" s="173"/>
      <c r="R905" s="173"/>
      <c r="S905" s="173"/>
      <c r="T905" s="173"/>
      <c r="U905" s="173"/>
      <c r="V905" s="173"/>
      <c r="W905" s="173"/>
      <c r="X905" s="173"/>
      <c r="Y905" s="173"/>
      <c r="Z905" s="173"/>
    </row>
    <row r="906" spans="1:26" ht="11.25" customHeight="1">
      <c r="A906" s="173"/>
      <c r="B906" s="207"/>
      <c r="C906" s="208"/>
      <c r="D906" s="244"/>
      <c r="E906" s="173"/>
      <c r="F906" s="173"/>
      <c r="G906" s="173"/>
      <c r="H906" s="173"/>
      <c r="I906" s="173"/>
      <c r="J906" s="173"/>
      <c r="K906" s="173"/>
      <c r="L906" s="173"/>
      <c r="M906" s="173"/>
      <c r="N906" s="173"/>
      <c r="O906" s="173"/>
      <c r="P906" s="173"/>
      <c r="Q906" s="173"/>
      <c r="R906" s="173"/>
      <c r="S906" s="173"/>
      <c r="T906" s="173"/>
      <c r="U906" s="173"/>
      <c r="V906" s="173"/>
      <c r="W906" s="173"/>
      <c r="X906" s="173"/>
      <c r="Y906" s="173"/>
      <c r="Z906" s="173"/>
    </row>
    <row r="907" spans="1:26" ht="11.25" customHeight="1">
      <c r="A907" s="173"/>
      <c r="B907" s="207"/>
      <c r="C907" s="208"/>
      <c r="D907" s="244"/>
      <c r="E907" s="173"/>
      <c r="F907" s="173"/>
      <c r="G907" s="173"/>
      <c r="H907" s="173"/>
      <c r="I907" s="173"/>
      <c r="J907" s="173"/>
      <c r="K907" s="173"/>
      <c r="L907" s="173"/>
      <c r="M907" s="173"/>
      <c r="N907" s="173"/>
      <c r="O907" s="173"/>
      <c r="P907" s="173"/>
      <c r="Q907" s="173"/>
      <c r="R907" s="173"/>
      <c r="S907" s="173"/>
      <c r="T907" s="173"/>
      <c r="U907" s="173"/>
      <c r="V907" s="173"/>
      <c r="W907" s="173"/>
      <c r="X907" s="173"/>
      <c r="Y907" s="173"/>
      <c r="Z907" s="173"/>
    </row>
    <row r="908" spans="1:26" ht="11.25" customHeight="1">
      <c r="A908" s="173"/>
      <c r="B908" s="207"/>
      <c r="C908" s="208"/>
      <c r="D908" s="244"/>
      <c r="E908" s="173"/>
      <c r="F908" s="173"/>
      <c r="G908" s="173"/>
      <c r="H908" s="173"/>
      <c r="I908" s="173"/>
      <c r="J908" s="173"/>
      <c r="K908" s="173"/>
      <c r="L908" s="173"/>
      <c r="M908" s="173"/>
      <c r="N908" s="173"/>
      <c r="O908" s="173"/>
      <c r="P908" s="173"/>
      <c r="Q908" s="173"/>
      <c r="R908" s="173"/>
      <c r="S908" s="173"/>
      <c r="T908" s="173"/>
      <c r="U908" s="173"/>
      <c r="V908" s="173"/>
      <c r="W908" s="173"/>
      <c r="X908" s="173"/>
      <c r="Y908" s="173"/>
      <c r="Z908" s="173"/>
    </row>
    <row r="909" spans="1:26" ht="11.25" customHeight="1">
      <c r="A909" s="173"/>
      <c r="B909" s="207"/>
      <c r="C909" s="208"/>
      <c r="D909" s="244"/>
      <c r="E909" s="173"/>
      <c r="F909" s="173"/>
      <c r="G909" s="173"/>
      <c r="H909" s="173"/>
      <c r="I909" s="173"/>
      <c r="J909" s="173"/>
      <c r="K909" s="173"/>
      <c r="L909" s="173"/>
      <c r="M909" s="173"/>
      <c r="N909" s="173"/>
      <c r="O909" s="173"/>
      <c r="P909" s="173"/>
      <c r="Q909" s="173"/>
      <c r="R909" s="173"/>
      <c r="S909" s="173"/>
      <c r="T909" s="173"/>
      <c r="U909" s="173"/>
      <c r="V909" s="173"/>
      <c r="W909" s="173"/>
      <c r="X909" s="173"/>
      <c r="Y909" s="173"/>
      <c r="Z909" s="173"/>
    </row>
    <row r="910" spans="1:26" ht="11.25" customHeight="1">
      <c r="A910" s="173"/>
      <c r="B910" s="207"/>
      <c r="C910" s="208"/>
      <c r="D910" s="244"/>
      <c r="E910" s="173"/>
      <c r="F910" s="173"/>
      <c r="G910" s="173"/>
      <c r="H910" s="173"/>
      <c r="I910" s="173"/>
      <c r="J910" s="173"/>
      <c r="K910" s="173"/>
      <c r="L910" s="173"/>
      <c r="M910" s="173"/>
      <c r="N910" s="173"/>
      <c r="O910" s="173"/>
      <c r="P910" s="173"/>
      <c r="Q910" s="173"/>
      <c r="R910" s="173"/>
      <c r="S910" s="173"/>
      <c r="T910" s="173"/>
      <c r="U910" s="173"/>
      <c r="V910" s="173"/>
      <c r="W910" s="173"/>
      <c r="X910" s="173"/>
      <c r="Y910" s="173"/>
      <c r="Z910" s="173"/>
    </row>
    <row r="911" spans="1:26" ht="11.25" customHeight="1">
      <c r="A911" s="173"/>
      <c r="B911" s="207"/>
      <c r="C911" s="208"/>
      <c r="D911" s="244"/>
      <c r="E911" s="173"/>
      <c r="F911" s="173"/>
      <c r="G911" s="173"/>
      <c r="H911" s="173"/>
      <c r="I911" s="173"/>
      <c r="J911" s="173"/>
      <c r="K911" s="173"/>
      <c r="L911" s="173"/>
      <c r="M911" s="173"/>
      <c r="N911" s="173"/>
      <c r="O911" s="173"/>
      <c r="P911" s="173"/>
      <c r="Q911" s="173"/>
      <c r="R911" s="173"/>
      <c r="S911" s="173"/>
      <c r="T911" s="173"/>
      <c r="U911" s="173"/>
      <c r="V911" s="173"/>
      <c r="W911" s="173"/>
      <c r="X911" s="173"/>
      <c r="Y911" s="173"/>
      <c r="Z911" s="173"/>
    </row>
    <row r="912" spans="1:26" ht="11.25" customHeight="1">
      <c r="A912" s="173"/>
      <c r="B912" s="207"/>
      <c r="C912" s="208"/>
      <c r="D912" s="244"/>
      <c r="E912" s="173"/>
      <c r="F912" s="173"/>
      <c r="G912" s="173"/>
      <c r="H912" s="173"/>
      <c r="I912" s="173"/>
      <c r="J912" s="173"/>
      <c r="K912" s="173"/>
      <c r="L912" s="173"/>
      <c r="M912" s="173"/>
      <c r="N912" s="173"/>
      <c r="O912" s="173"/>
      <c r="P912" s="173"/>
      <c r="Q912" s="173"/>
      <c r="R912" s="173"/>
      <c r="S912" s="173"/>
      <c r="T912" s="173"/>
      <c r="U912" s="173"/>
      <c r="V912" s="173"/>
      <c r="W912" s="173"/>
      <c r="X912" s="173"/>
      <c r="Y912" s="173"/>
      <c r="Z912" s="173"/>
    </row>
    <row r="913" spans="1:26" ht="11.25" customHeight="1">
      <c r="A913" s="173"/>
      <c r="B913" s="207"/>
      <c r="C913" s="208"/>
      <c r="D913" s="244"/>
      <c r="E913" s="173"/>
      <c r="F913" s="173"/>
      <c r="G913" s="173"/>
      <c r="H913" s="173"/>
      <c r="I913" s="173"/>
      <c r="J913" s="173"/>
      <c r="K913" s="173"/>
      <c r="L913" s="173"/>
      <c r="M913" s="173"/>
      <c r="N913" s="173"/>
      <c r="O913" s="173"/>
      <c r="P913" s="173"/>
      <c r="Q913" s="173"/>
      <c r="R913" s="173"/>
      <c r="S913" s="173"/>
      <c r="T913" s="173"/>
      <c r="U913" s="173"/>
      <c r="V913" s="173"/>
      <c r="W913" s="173"/>
      <c r="X913" s="173"/>
      <c r="Y913" s="173"/>
      <c r="Z913" s="173"/>
    </row>
    <row r="914" spans="1:26" ht="11.25" customHeight="1">
      <c r="A914" s="173"/>
      <c r="B914" s="207"/>
      <c r="C914" s="208"/>
      <c r="D914" s="244"/>
      <c r="E914" s="173"/>
      <c r="F914" s="173"/>
      <c r="G914" s="173"/>
      <c r="H914" s="173"/>
      <c r="I914" s="173"/>
      <c r="J914" s="173"/>
      <c r="K914" s="173"/>
      <c r="L914" s="173"/>
      <c r="M914" s="173"/>
      <c r="N914" s="173"/>
      <c r="O914" s="173"/>
      <c r="P914" s="173"/>
      <c r="Q914" s="173"/>
      <c r="R914" s="173"/>
      <c r="S914" s="173"/>
      <c r="T914" s="173"/>
      <c r="U914" s="173"/>
      <c r="V914" s="173"/>
      <c r="W914" s="173"/>
      <c r="X914" s="173"/>
      <c r="Y914" s="173"/>
      <c r="Z914" s="173"/>
    </row>
    <row r="915" spans="1:26" ht="11.25" customHeight="1">
      <c r="A915" s="173"/>
      <c r="B915" s="207"/>
      <c r="C915" s="208"/>
      <c r="D915" s="244"/>
      <c r="E915" s="173"/>
      <c r="F915" s="173"/>
      <c r="G915" s="173"/>
      <c r="H915" s="173"/>
      <c r="I915" s="173"/>
      <c r="J915" s="173"/>
      <c r="K915" s="173"/>
      <c r="L915" s="173"/>
      <c r="M915" s="173"/>
      <c r="N915" s="173"/>
      <c r="O915" s="173"/>
      <c r="P915" s="173"/>
      <c r="Q915" s="173"/>
      <c r="R915" s="173"/>
      <c r="S915" s="173"/>
      <c r="T915" s="173"/>
      <c r="U915" s="173"/>
      <c r="V915" s="173"/>
      <c r="W915" s="173"/>
      <c r="X915" s="173"/>
      <c r="Y915" s="173"/>
      <c r="Z915" s="173"/>
    </row>
    <row r="916" spans="1:26" ht="11.25" customHeight="1">
      <c r="A916" s="173"/>
      <c r="B916" s="207"/>
      <c r="C916" s="208"/>
      <c r="D916" s="244"/>
      <c r="E916" s="173"/>
      <c r="F916" s="173"/>
      <c r="G916" s="173"/>
      <c r="H916" s="173"/>
      <c r="I916" s="173"/>
      <c r="J916" s="173"/>
      <c r="K916" s="173"/>
      <c r="L916" s="173"/>
      <c r="M916" s="173"/>
      <c r="N916" s="173"/>
      <c r="O916" s="173"/>
      <c r="P916" s="173"/>
      <c r="Q916" s="173"/>
      <c r="R916" s="173"/>
      <c r="S916" s="173"/>
      <c r="T916" s="173"/>
      <c r="U916" s="173"/>
      <c r="V916" s="173"/>
      <c r="W916" s="173"/>
      <c r="X916" s="173"/>
      <c r="Y916" s="173"/>
      <c r="Z916" s="173"/>
    </row>
    <row r="917" spans="1:26" ht="11.25" customHeight="1">
      <c r="A917" s="173"/>
      <c r="B917" s="207"/>
      <c r="C917" s="208"/>
      <c r="D917" s="244"/>
      <c r="E917" s="173"/>
      <c r="F917" s="173"/>
      <c r="G917" s="173"/>
      <c r="H917" s="173"/>
      <c r="I917" s="173"/>
      <c r="J917" s="173"/>
      <c r="K917" s="173"/>
      <c r="L917" s="173"/>
      <c r="M917" s="173"/>
      <c r="N917" s="173"/>
      <c r="O917" s="173"/>
      <c r="P917" s="173"/>
      <c r="Q917" s="173"/>
      <c r="R917" s="173"/>
      <c r="S917" s="173"/>
      <c r="T917" s="173"/>
      <c r="U917" s="173"/>
      <c r="V917" s="173"/>
      <c r="W917" s="173"/>
      <c r="X917" s="173"/>
      <c r="Y917" s="173"/>
      <c r="Z917" s="173"/>
    </row>
    <row r="918" spans="1:26" ht="11.25" customHeight="1">
      <c r="A918" s="173"/>
      <c r="B918" s="207"/>
      <c r="C918" s="208"/>
      <c r="D918" s="244"/>
      <c r="E918" s="173"/>
      <c r="F918" s="173"/>
      <c r="G918" s="173"/>
      <c r="H918" s="173"/>
      <c r="I918" s="173"/>
      <c r="J918" s="173"/>
      <c r="K918" s="173"/>
      <c r="L918" s="173"/>
      <c r="M918" s="173"/>
      <c r="N918" s="173"/>
      <c r="O918" s="173"/>
      <c r="P918" s="173"/>
      <c r="Q918" s="173"/>
      <c r="R918" s="173"/>
      <c r="S918" s="173"/>
      <c r="T918" s="173"/>
      <c r="U918" s="173"/>
      <c r="V918" s="173"/>
      <c r="W918" s="173"/>
      <c r="X918" s="173"/>
      <c r="Y918" s="173"/>
      <c r="Z918" s="173"/>
    </row>
    <row r="919" spans="1:26" ht="11.25" customHeight="1">
      <c r="A919" s="173"/>
      <c r="B919" s="207"/>
      <c r="C919" s="208"/>
      <c r="D919" s="244"/>
      <c r="E919" s="173"/>
      <c r="F919" s="173"/>
      <c r="G919" s="173"/>
      <c r="H919" s="173"/>
      <c r="I919" s="173"/>
      <c r="J919" s="173"/>
      <c r="K919" s="173"/>
      <c r="L919" s="173"/>
      <c r="M919" s="173"/>
      <c r="N919" s="173"/>
      <c r="O919" s="173"/>
      <c r="P919" s="173"/>
      <c r="Q919" s="173"/>
      <c r="R919" s="173"/>
      <c r="S919" s="173"/>
      <c r="T919" s="173"/>
      <c r="U919" s="173"/>
      <c r="V919" s="173"/>
      <c r="W919" s="173"/>
      <c r="X919" s="173"/>
      <c r="Y919" s="173"/>
      <c r="Z919" s="173"/>
    </row>
    <row r="920" spans="1:26" ht="11.25" customHeight="1">
      <c r="A920" s="173"/>
      <c r="B920" s="207"/>
      <c r="C920" s="208"/>
      <c r="D920" s="244"/>
      <c r="E920" s="173"/>
      <c r="F920" s="173"/>
      <c r="G920" s="173"/>
      <c r="H920" s="173"/>
      <c r="I920" s="173"/>
      <c r="J920" s="173"/>
      <c r="K920" s="173"/>
      <c r="L920" s="173"/>
      <c r="M920" s="173"/>
      <c r="N920" s="173"/>
      <c r="O920" s="173"/>
      <c r="P920" s="173"/>
      <c r="Q920" s="173"/>
      <c r="R920" s="173"/>
      <c r="S920" s="173"/>
      <c r="T920" s="173"/>
      <c r="U920" s="173"/>
      <c r="V920" s="173"/>
      <c r="W920" s="173"/>
      <c r="X920" s="173"/>
      <c r="Y920" s="173"/>
      <c r="Z920" s="173"/>
    </row>
    <row r="921" spans="1:26" ht="11.25" customHeight="1">
      <c r="A921" s="173"/>
      <c r="B921" s="207"/>
      <c r="C921" s="208"/>
      <c r="D921" s="244"/>
      <c r="E921" s="173"/>
      <c r="F921" s="173"/>
      <c r="G921" s="173"/>
      <c r="H921" s="173"/>
      <c r="I921" s="173"/>
      <c r="J921" s="173"/>
      <c r="K921" s="173"/>
      <c r="L921" s="173"/>
      <c r="M921" s="173"/>
      <c r="N921" s="173"/>
      <c r="O921" s="173"/>
      <c r="P921" s="173"/>
      <c r="Q921" s="173"/>
      <c r="R921" s="173"/>
      <c r="S921" s="173"/>
      <c r="T921" s="173"/>
      <c r="U921" s="173"/>
      <c r="V921" s="173"/>
      <c r="W921" s="173"/>
      <c r="X921" s="173"/>
      <c r="Y921" s="173"/>
      <c r="Z921" s="173"/>
    </row>
    <row r="922" spans="1:26" ht="11.25" customHeight="1">
      <c r="A922" s="173"/>
      <c r="B922" s="207"/>
      <c r="C922" s="208"/>
      <c r="D922" s="244"/>
      <c r="E922" s="173"/>
      <c r="F922" s="173"/>
      <c r="G922" s="173"/>
      <c r="H922" s="173"/>
      <c r="I922" s="173"/>
      <c r="J922" s="173"/>
      <c r="K922" s="173"/>
      <c r="L922" s="173"/>
      <c r="M922" s="173"/>
      <c r="N922" s="173"/>
      <c r="O922" s="173"/>
      <c r="P922" s="173"/>
      <c r="Q922" s="173"/>
      <c r="R922" s="173"/>
      <c r="S922" s="173"/>
      <c r="T922" s="173"/>
      <c r="U922" s="173"/>
      <c r="V922" s="173"/>
      <c r="W922" s="173"/>
      <c r="X922" s="173"/>
      <c r="Y922" s="173"/>
      <c r="Z922" s="173"/>
    </row>
    <row r="923" spans="1:26" ht="11.25" customHeight="1">
      <c r="A923" s="173"/>
      <c r="B923" s="207"/>
      <c r="C923" s="208"/>
      <c r="D923" s="244"/>
      <c r="E923" s="173"/>
      <c r="F923" s="173"/>
      <c r="G923" s="173"/>
      <c r="H923" s="173"/>
      <c r="I923" s="173"/>
      <c r="J923" s="173"/>
      <c r="K923" s="173"/>
      <c r="L923" s="173"/>
      <c r="M923" s="173"/>
      <c r="N923" s="173"/>
      <c r="O923" s="173"/>
      <c r="P923" s="173"/>
      <c r="Q923" s="173"/>
      <c r="R923" s="173"/>
      <c r="S923" s="173"/>
      <c r="T923" s="173"/>
      <c r="U923" s="173"/>
      <c r="V923" s="173"/>
      <c r="W923" s="173"/>
      <c r="X923" s="173"/>
      <c r="Y923" s="173"/>
      <c r="Z923" s="173"/>
    </row>
    <row r="924" spans="1:26" ht="11.25" customHeight="1">
      <c r="A924" s="173"/>
      <c r="B924" s="207"/>
      <c r="C924" s="208"/>
      <c r="D924" s="244"/>
      <c r="E924" s="173"/>
      <c r="F924" s="173"/>
      <c r="G924" s="173"/>
      <c r="H924" s="173"/>
      <c r="I924" s="173"/>
      <c r="J924" s="173"/>
      <c r="K924" s="173"/>
      <c r="L924" s="173"/>
      <c r="M924" s="173"/>
      <c r="N924" s="173"/>
      <c r="O924" s="173"/>
      <c r="P924" s="173"/>
      <c r="Q924" s="173"/>
      <c r="R924" s="173"/>
      <c r="S924" s="173"/>
      <c r="T924" s="173"/>
      <c r="U924" s="173"/>
      <c r="V924" s="173"/>
      <c r="W924" s="173"/>
      <c r="X924" s="173"/>
      <c r="Y924" s="173"/>
      <c r="Z924" s="173"/>
    </row>
    <row r="925" spans="1:26" ht="11.25" customHeight="1">
      <c r="A925" s="173"/>
      <c r="B925" s="207"/>
      <c r="C925" s="208"/>
      <c r="D925" s="244"/>
      <c r="E925" s="173"/>
      <c r="F925" s="173"/>
      <c r="G925" s="173"/>
      <c r="H925" s="173"/>
      <c r="I925" s="173"/>
      <c r="J925" s="173"/>
      <c r="K925" s="173"/>
      <c r="L925" s="173"/>
      <c r="M925" s="173"/>
      <c r="N925" s="173"/>
      <c r="O925" s="173"/>
      <c r="P925" s="173"/>
      <c r="Q925" s="173"/>
      <c r="R925" s="173"/>
      <c r="S925" s="173"/>
      <c r="T925" s="173"/>
      <c r="U925" s="173"/>
      <c r="V925" s="173"/>
      <c r="W925" s="173"/>
      <c r="X925" s="173"/>
      <c r="Y925" s="173"/>
      <c r="Z925" s="173"/>
    </row>
    <row r="926" spans="1:26" ht="11.25" customHeight="1">
      <c r="A926" s="173"/>
      <c r="B926" s="207"/>
      <c r="C926" s="208"/>
      <c r="D926" s="244"/>
      <c r="E926" s="173"/>
      <c r="F926" s="173"/>
      <c r="G926" s="173"/>
      <c r="H926" s="173"/>
      <c r="I926" s="173"/>
      <c r="J926" s="173"/>
      <c r="K926" s="173"/>
      <c r="L926" s="173"/>
      <c r="M926" s="173"/>
      <c r="N926" s="173"/>
      <c r="O926" s="173"/>
      <c r="P926" s="173"/>
      <c r="Q926" s="173"/>
      <c r="R926" s="173"/>
      <c r="S926" s="173"/>
      <c r="T926" s="173"/>
      <c r="U926" s="173"/>
      <c r="V926" s="173"/>
      <c r="W926" s="173"/>
      <c r="X926" s="173"/>
      <c r="Y926" s="173"/>
      <c r="Z926" s="173"/>
    </row>
    <row r="927" spans="1:26" ht="11.25" customHeight="1">
      <c r="A927" s="173"/>
      <c r="B927" s="207"/>
      <c r="C927" s="208"/>
      <c r="D927" s="244"/>
      <c r="E927" s="173"/>
      <c r="F927" s="173"/>
      <c r="G927" s="173"/>
      <c r="H927" s="173"/>
      <c r="I927" s="173"/>
      <c r="J927" s="173"/>
      <c r="K927" s="173"/>
      <c r="L927" s="173"/>
      <c r="M927" s="173"/>
      <c r="N927" s="173"/>
      <c r="O927" s="173"/>
      <c r="P927" s="173"/>
      <c r="Q927" s="173"/>
      <c r="R927" s="173"/>
      <c r="S927" s="173"/>
      <c r="T927" s="173"/>
      <c r="U927" s="173"/>
      <c r="V927" s="173"/>
      <c r="W927" s="173"/>
      <c r="X927" s="173"/>
      <c r="Y927" s="173"/>
      <c r="Z927" s="173"/>
    </row>
    <row r="928" spans="1:26" ht="11.25" customHeight="1">
      <c r="A928" s="173"/>
      <c r="B928" s="207"/>
      <c r="C928" s="208"/>
      <c r="D928" s="244"/>
      <c r="E928" s="173"/>
      <c r="F928" s="173"/>
      <c r="G928" s="173"/>
      <c r="H928" s="173"/>
      <c r="I928" s="173"/>
      <c r="J928" s="173"/>
      <c r="K928" s="173"/>
      <c r="L928" s="173"/>
      <c r="M928" s="173"/>
      <c r="N928" s="173"/>
      <c r="O928" s="173"/>
      <c r="P928" s="173"/>
      <c r="Q928" s="173"/>
      <c r="R928" s="173"/>
      <c r="S928" s="173"/>
      <c r="T928" s="173"/>
      <c r="U928" s="173"/>
      <c r="V928" s="173"/>
      <c r="W928" s="173"/>
      <c r="X928" s="173"/>
      <c r="Y928" s="173"/>
      <c r="Z928" s="173"/>
    </row>
    <row r="929" spans="1:26" ht="11.25" customHeight="1">
      <c r="A929" s="173"/>
      <c r="B929" s="207"/>
      <c r="C929" s="208"/>
      <c r="D929" s="244"/>
      <c r="E929" s="173"/>
      <c r="F929" s="173"/>
      <c r="G929" s="173"/>
      <c r="H929" s="173"/>
      <c r="I929" s="173"/>
      <c r="J929" s="173"/>
      <c r="K929" s="173"/>
      <c r="L929" s="173"/>
      <c r="M929" s="173"/>
      <c r="N929" s="173"/>
      <c r="O929" s="173"/>
      <c r="P929" s="173"/>
      <c r="Q929" s="173"/>
      <c r="R929" s="173"/>
      <c r="S929" s="173"/>
      <c r="T929" s="173"/>
      <c r="U929" s="173"/>
      <c r="V929" s="173"/>
      <c r="W929" s="173"/>
      <c r="X929" s="173"/>
      <c r="Y929" s="173"/>
      <c r="Z929" s="173"/>
    </row>
    <row r="930" spans="1:26" ht="11.25" customHeight="1">
      <c r="A930" s="173"/>
      <c r="B930" s="207"/>
      <c r="C930" s="208"/>
      <c r="D930" s="244"/>
      <c r="E930" s="173"/>
      <c r="F930" s="173"/>
      <c r="G930" s="173"/>
      <c r="H930" s="173"/>
      <c r="I930" s="173"/>
      <c r="J930" s="173"/>
      <c r="K930" s="173"/>
      <c r="L930" s="173"/>
      <c r="M930" s="173"/>
      <c r="N930" s="173"/>
      <c r="O930" s="173"/>
      <c r="P930" s="173"/>
      <c r="Q930" s="173"/>
      <c r="R930" s="173"/>
      <c r="S930" s="173"/>
      <c r="T930" s="173"/>
      <c r="U930" s="173"/>
      <c r="V930" s="173"/>
      <c r="W930" s="173"/>
      <c r="X930" s="173"/>
      <c r="Y930" s="173"/>
      <c r="Z930" s="173"/>
    </row>
    <row r="931" spans="1:26" ht="11.25" customHeight="1">
      <c r="A931" s="173"/>
      <c r="B931" s="207"/>
      <c r="C931" s="208"/>
      <c r="D931" s="244"/>
      <c r="E931" s="173"/>
      <c r="F931" s="173"/>
      <c r="G931" s="173"/>
      <c r="H931" s="173"/>
      <c r="I931" s="173"/>
      <c r="J931" s="173"/>
      <c r="K931" s="173"/>
      <c r="L931" s="173"/>
      <c r="M931" s="173"/>
      <c r="N931" s="173"/>
      <c r="O931" s="173"/>
      <c r="P931" s="173"/>
      <c r="Q931" s="173"/>
      <c r="R931" s="173"/>
      <c r="S931" s="173"/>
      <c r="T931" s="173"/>
      <c r="U931" s="173"/>
      <c r="V931" s="173"/>
      <c r="W931" s="173"/>
      <c r="X931" s="173"/>
      <c r="Y931" s="173"/>
      <c r="Z931" s="173"/>
    </row>
    <row r="932" spans="1:26" ht="11.25" customHeight="1">
      <c r="A932" s="173"/>
      <c r="B932" s="207"/>
      <c r="C932" s="208"/>
      <c r="D932" s="244"/>
      <c r="E932" s="173"/>
      <c r="F932" s="173"/>
      <c r="G932" s="173"/>
      <c r="H932" s="173"/>
      <c r="I932" s="173"/>
      <c r="J932" s="173"/>
      <c r="K932" s="173"/>
      <c r="L932" s="173"/>
      <c r="M932" s="173"/>
      <c r="N932" s="173"/>
      <c r="O932" s="173"/>
      <c r="P932" s="173"/>
      <c r="Q932" s="173"/>
      <c r="R932" s="173"/>
      <c r="S932" s="173"/>
      <c r="T932" s="173"/>
      <c r="U932" s="173"/>
      <c r="V932" s="173"/>
      <c r="W932" s="173"/>
      <c r="X932" s="173"/>
      <c r="Y932" s="173"/>
      <c r="Z932" s="173"/>
    </row>
    <row r="933" spans="1:26" ht="11.25" customHeight="1">
      <c r="A933" s="173"/>
      <c r="B933" s="207"/>
      <c r="C933" s="208"/>
      <c r="D933" s="244"/>
      <c r="E933" s="173"/>
      <c r="F933" s="173"/>
      <c r="G933" s="173"/>
      <c r="H933" s="173"/>
      <c r="I933" s="173"/>
      <c r="J933" s="173"/>
      <c r="K933" s="173"/>
      <c r="L933" s="173"/>
      <c r="M933" s="173"/>
      <c r="N933" s="173"/>
      <c r="O933" s="173"/>
      <c r="P933" s="173"/>
      <c r="Q933" s="173"/>
      <c r="R933" s="173"/>
      <c r="S933" s="173"/>
      <c r="T933" s="173"/>
      <c r="U933" s="173"/>
      <c r="V933" s="173"/>
      <c r="W933" s="173"/>
      <c r="X933" s="173"/>
      <c r="Y933" s="173"/>
      <c r="Z933" s="173"/>
    </row>
    <row r="934" spans="1:26" ht="11.25" customHeight="1">
      <c r="A934" s="173"/>
      <c r="B934" s="207"/>
      <c r="C934" s="208"/>
      <c r="D934" s="244"/>
      <c r="E934" s="173"/>
      <c r="F934" s="173"/>
      <c r="G934" s="173"/>
      <c r="H934" s="173"/>
      <c r="I934" s="173"/>
      <c r="J934" s="173"/>
      <c r="K934" s="173"/>
      <c r="L934" s="173"/>
      <c r="M934" s="173"/>
      <c r="N934" s="173"/>
      <c r="O934" s="173"/>
      <c r="P934" s="173"/>
      <c r="Q934" s="173"/>
      <c r="R934" s="173"/>
      <c r="S934" s="173"/>
      <c r="T934" s="173"/>
      <c r="U934" s="173"/>
      <c r="V934" s="173"/>
      <c r="W934" s="173"/>
      <c r="X934" s="173"/>
      <c r="Y934" s="173"/>
      <c r="Z934" s="173"/>
    </row>
    <row r="935" spans="1:26" ht="11.25" customHeight="1">
      <c r="A935" s="173"/>
      <c r="B935" s="207"/>
      <c r="C935" s="208"/>
      <c r="D935" s="244"/>
      <c r="E935" s="173"/>
      <c r="F935" s="173"/>
      <c r="G935" s="173"/>
      <c r="H935" s="173"/>
      <c r="I935" s="173"/>
      <c r="J935" s="173"/>
      <c r="K935" s="173"/>
      <c r="L935" s="173"/>
      <c r="M935" s="173"/>
      <c r="N935" s="173"/>
      <c r="O935" s="173"/>
      <c r="P935" s="173"/>
      <c r="Q935" s="173"/>
      <c r="R935" s="173"/>
      <c r="S935" s="173"/>
      <c r="T935" s="173"/>
      <c r="U935" s="173"/>
      <c r="V935" s="173"/>
      <c r="W935" s="173"/>
      <c r="X935" s="173"/>
      <c r="Y935" s="173"/>
      <c r="Z935" s="173"/>
    </row>
    <row r="936" spans="1:26" ht="11.25" customHeight="1">
      <c r="A936" s="173"/>
      <c r="B936" s="207"/>
      <c r="C936" s="208"/>
      <c r="D936" s="244"/>
      <c r="E936" s="173"/>
      <c r="F936" s="173"/>
      <c r="G936" s="173"/>
      <c r="H936" s="173"/>
      <c r="I936" s="173"/>
      <c r="J936" s="173"/>
      <c r="K936" s="173"/>
      <c r="L936" s="173"/>
      <c r="M936" s="173"/>
      <c r="N936" s="173"/>
      <c r="O936" s="173"/>
      <c r="P936" s="173"/>
      <c r="Q936" s="173"/>
      <c r="R936" s="173"/>
      <c r="S936" s="173"/>
      <c r="T936" s="173"/>
      <c r="U936" s="173"/>
      <c r="V936" s="173"/>
      <c r="W936" s="173"/>
      <c r="X936" s="173"/>
      <c r="Y936" s="173"/>
      <c r="Z936" s="173"/>
    </row>
    <row r="937" spans="1:26" ht="11.25" customHeight="1">
      <c r="A937" s="173"/>
      <c r="B937" s="207"/>
      <c r="C937" s="208"/>
      <c r="D937" s="244"/>
      <c r="E937" s="173"/>
      <c r="F937" s="173"/>
      <c r="G937" s="173"/>
      <c r="H937" s="173"/>
      <c r="I937" s="173"/>
      <c r="J937" s="173"/>
      <c r="K937" s="173"/>
      <c r="L937" s="173"/>
      <c r="M937" s="173"/>
      <c r="N937" s="173"/>
      <c r="O937" s="173"/>
      <c r="P937" s="173"/>
      <c r="Q937" s="173"/>
      <c r="R937" s="173"/>
      <c r="S937" s="173"/>
      <c r="T937" s="173"/>
      <c r="U937" s="173"/>
      <c r="V937" s="173"/>
      <c r="W937" s="173"/>
      <c r="X937" s="173"/>
      <c r="Y937" s="173"/>
      <c r="Z937" s="173"/>
    </row>
    <row r="938" spans="1:26" ht="11.25" customHeight="1">
      <c r="A938" s="173"/>
      <c r="B938" s="207"/>
      <c r="C938" s="208"/>
      <c r="D938" s="244"/>
      <c r="E938" s="173"/>
      <c r="F938" s="173"/>
      <c r="G938" s="173"/>
      <c r="H938" s="173"/>
      <c r="I938" s="173"/>
      <c r="J938" s="173"/>
      <c r="K938" s="173"/>
      <c r="L938" s="173"/>
      <c r="M938" s="173"/>
      <c r="N938" s="173"/>
      <c r="O938" s="173"/>
      <c r="P938" s="173"/>
      <c r="Q938" s="173"/>
      <c r="R938" s="173"/>
      <c r="S938" s="173"/>
      <c r="T938" s="173"/>
      <c r="U938" s="173"/>
      <c r="V938" s="173"/>
      <c r="W938" s="173"/>
      <c r="X938" s="173"/>
      <c r="Y938" s="173"/>
      <c r="Z938" s="173"/>
    </row>
    <row r="939" spans="1:26" ht="11.25" customHeight="1">
      <c r="A939" s="173"/>
      <c r="B939" s="207"/>
      <c r="C939" s="208"/>
      <c r="D939" s="244"/>
      <c r="E939" s="173"/>
      <c r="F939" s="173"/>
      <c r="G939" s="173"/>
      <c r="H939" s="173"/>
      <c r="I939" s="173"/>
      <c r="J939" s="173"/>
      <c r="K939" s="173"/>
      <c r="L939" s="173"/>
      <c r="M939" s="173"/>
      <c r="N939" s="173"/>
      <c r="O939" s="173"/>
      <c r="P939" s="173"/>
      <c r="Q939" s="173"/>
      <c r="R939" s="173"/>
      <c r="S939" s="173"/>
      <c r="T939" s="173"/>
      <c r="U939" s="173"/>
      <c r="V939" s="173"/>
      <c r="W939" s="173"/>
      <c r="X939" s="173"/>
      <c r="Y939" s="173"/>
      <c r="Z939" s="173"/>
    </row>
    <row r="940" spans="1:26" ht="11.25" customHeight="1">
      <c r="A940" s="173"/>
      <c r="B940" s="207"/>
      <c r="C940" s="208"/>
      <c r="D940" s="244"/>
      <c r="E940" s="173"/>
      <c r="F940" s="173"/>
      <c r="G940" s="173"/>
      <c r="H940" s="173"/>
      <c r="I940" s="173"/>
      <c r="J940" s="173"/>
      <c r="K940" s="173"/>
      <c r="L940" s="173"/>
      <c r="M940" s="173"/>
      <c r="N940" s="173"/>
      <c r="O940" s="173"/>
      <c r="P940" s="173"/>
      <c r="Q940" s="173"/>
      <c r="R940" s="173"/>
      <c r="S940" s="173"/>
      <c r="T940" s="173"/>
      <c r="U940" s="173"/>
      <c r="V940" s="173"/>
      <c r="W940" s="173"/>
      <c r="X940" s="173"/>
      <c r="Y940" s="173"/>
      <c r="Z940" s="173"/>
    </row>
    <row r="941" spans="1:26" ht="11.25" customHeight="1">
      <c r="A941" s="173"/>
      <c r="B941" s="207"/>
      <c r="C941" s="208"/>
      <c r="D941" s="244"/>
      <c r="E941" s="173"/>
      <c r="F941" s="173"/>
      <c r="G941" s="173"/>
      <c r="H941" s="173"/>
      <c r="I941" s="173"/>
      <c r="J941" s="173"/>
      <c r="K941" s="173"/>
      <c r="L941" s="173"/>
      <c r="M941" s="173"/>
      <c r="N941" s="173"/>
      <c r="O941" s="173"/>
      <c r="P941" s="173"/>
      <c r="Q941" s="173"/>
      <c r="R941" s="173"/>
      <c r="S941" s="173"/>
      <c r="T941" s="173"/>
      <c r="U941" s="173"/>
      <c r="V941" s="173"/>
      <c r="W941" s="173"/>
      <c r="X941" s="173"/>
      <c r="Y941" s="173"/>
      <c r="Z941" s="173"/>
    </row>
    <row r="942" spans="1:26" ht="11.25" customHeight="1">
      <c r="A942" s="173"/>
      <c r="B942" s="207"/>
      <c r="C942" s="208"/>
      <c r="D942" s="244"/>
      <c r="E942" s="173"/>
      <c r="F942" s="173"/>
      <c r="G942" s="173"/>
      <c r="H942" s="173"/>
      <c r="I942" s="173"/>
      <c r="J942" s="173"/>
      <c r="K942" s="173"/>
      <c r="L942" s="173"/>
      <c r="M942" s="173"/>
      <c r="N942" s="173"/>
      <c r="O942" s="173"/>
      <c r="P942" s="173"/>
      <c r="Q942" s="173"/>
      <c r="R942" s="173"/>
      <c r="S942" s="173"/>
      <c r="T942" s="173"/>
      <c r="U942" s="173"/>
      <c r="V942" s="173"/>
      <c r="W942" s="173"/>
      <c r="X942" s="173"/>
      <c r="Y942" s="173"/>
      <c r="Z942" s="173"/>
    </row>
    <row r="943" spans="1:26" ht="11.25" customHeight="1">
      <c r="A943" s="173"/>
      <c r="B943" s="207"/>
      <c r="C943" s="208"/>
      <c r="D943" s="244"/>
      <c r="E943" s="173"/>
      <c r="F943" s="173"/>
      <c r="G943" s="173"/>
      <c r="H943" s="173"/>
      <c r="I943" s="173"/>
      <c r="J943" s="173"/>
      <c r="K943" s="173"/>
      <c r="L943" s="173"/>
      <c r="M943" s="173"/>
      <c r="N943" s="173"/>
      <c r="O943" s="173"/>
      <c r="P943" s="173"/>
      <c r="Q943" s="173"/>
      <c r="R943" s="173"/>
      <c r="S943" s="173"/>
      <c r="T943" s="173"/>
      <c r="U943" s="173"/>
      <c r="V943" s="173"/>
      <c r="W943" s="173"/>
      <c r="X943" s="173"/>
      <c r="Y943" s="173"/>
      <c r="Z943" s="173"/>
    </row>
    <row r="944" spans="1:26" ht="11.25" customHeight="1">
      <c r="A944" s="173"/>
      <c r="B944" s="207"/>
      <c r="C944" s="208"/>
      <c r="D944" s="244"/>
      <c r="E944" s="173"/>
      <c r="F944" s="173"/>
      <c r="G944" s="173"/>
      <c r="H944" s="173"/>
      <c r="I944" s="173"/>
      <c r="J944" s="173"/>
      <c r="K944" s="173"/>
      <c r="L944" s="173"/>
      <c r="M944" s="173"/>
      <c r="N944" s="173"/>
      <c r="O944" s="173"/>
      <c r="P944" s="173"/>
      <c r="Q944" s="173"/>
      <c r="R944" s="173"/>
      <c r="S944" s="173"/>
      <c r="T944" s="173"/>
      <c r="U944" s="173"/>
      <c r="V944" s="173"/>
      <c r="W944" s="173"/>
      <c r="X944" s="173"/>
      <c r="Y944" s="173"/>
      <c r="Z944" s="173"/>
    </row>
    <row r="945" spans="1:26" ht="11.25" customHeight="1">
      <c r="A945" s="173"/>
      <c r="B945" s="207"/>
      <c r="C945" s="208"/>
      <c r="D945" s="244"/>
      <c r="E945" s="173"/>
      <c r="F945" s="173"/>
      <c r="G945" s="173"/>
      <c r="H945" s="173"/>
      <c r="I945" s="173"/>
      <c r="J945" s="173"/>
      <c r="K945" s="173"/>
      <c r="L945" s="173"/>
      <c r="M945" s="173"/>
      <c r="N945" s="173"/>
      <c r="O945" s="173"/>
      <c r="P945" s="173"/>
      <c r="Q945" s="173"/>
      <c r="R945" s="173"/>
      <c r="S945" s="173"/>
      <c r="T945" s="173"/>
      <c r="U945" s="173"/>
      <c r="V945" s="173"/>
      <c r="W945" s="173"/>
      <c r="X945" s="173"/>
      <c r="Y945" s="173"/>
      <c r="Z945" s="173"/>
    </row>
    <row r="946" spans="1:26" ht="11.25" customHeight="1">
      <c r="A946" s="173"/>
      <c r="B946" s="207"/>
      <c r="C946" s="208"/>
      <c r="D946" s="244"/>
      <c r="E946" s="173"/>
      <c r="F946" s="173"/>
      <c r="G946" s="173"/>
      <c r="H946" s="173"/>
      <c r="I946" s="173"/>
      <c r="J946" s="173"/>
      <c r="K946" s="173"/>
      <c r="L946" s="173"/>
      <c r="M946" s="173"/>
      <c r="N946" s="173"/>
      <c r="O946" s="173"/>
      <c r="P946" s="173"/>
      <c r="Q946" s="173"/>
      <c r="R946" s="173"/>
      <c r="S946" s="173"/>
      <c r="T946" s="173"/>
      <c r="U946" s="173"/>
      <c r="V946" s="173"/>
      <c r="W946" s="173"/>
      <c r="X946" s="173"/>
      <c r="Y946" s="173"/>
      <c r="Z946" s="173"/>
    </row>
    <row r="947" spans="1:26" ht="11.25" customHeight="1">
      <c r="A947" s="173"/>
      <c r="B947" s="207"/>
      <c r="C947" s="208"/>
      <c r="D947" s="244"/>
      <c r="E947" s="173"/>
      <c r="F947" s="173"/>
      <c r="G947" s="173"/>
      <c r="H947" s="173"/>
      <c r="I947" s="173"/>
      <c r="J947" s="173"/>
      <c r="K947" s="173"/>
      <c r="L947" s="173"/>
      <c r="M947" s="173"/>
      <c r="N947" s="173"/>
      <c r="O947" s="173"/>
      <c r="P947" s="173"/>
      <c r="Q947" s="173"/>
      <c r="R947" s="173"/>
      <c r="S947" s="173"/>
      <c r="T947" s="173"/>
      <c r="U947" s="173"/>
      <c r="V947" s="173"/>
      <c r="W947" s="173"/>
      <c r="X947" s="173"/>
      <c r="Y947" s="173"/>
      <c r="Z947" s="173"/>
    </row>
    <row r="948" spans="1:26" ht="11.25" customHeight="1">
      <c r="A948" s="173"/>
      <c r="B948" s="207"/>
      <c r="C948" s="208"/>
      <c r="D948" s="244"/>
      <c r="E948" s="173"/>
      <c r="F948" s="173"/>
      <c r="G948" s="173"/>
      <c r="H948" s="173"/>
      <c r="I948" s="173"/>
      <c r="J948" s="173"/>
      <c r="K948" s="173"/>
      <c r="L948" s="173"/>
      <c r="M948" s="173"/>
      <c r="N948" s="173"/>
      <c r="O948" s="173"/>
      <c r="P948" s="173"/>
      <c r="Q948" s="173"/>
      <c r="R948" s="173"/>
      <c r="S948" s="173"/>
      <c r="T948" s="173"/>
      <c r="U948" s="173"/>
      <c r="V948" s="173"/>
      <c r="W948" s="173"/>
      <c r="X948" s="173"/>
      <c r="Y948" s="173"/>
      <c r="Z948" s="173"/>
    </row>
    <row r="949" spans="1:26" ht="11.25" customHeight="1">
      <c r="A949" s="173"/>
      <c r="B949" s="207"/>
      <c r="C949" s="208"/>
      <c r="D949" s="244"/>
      <c r="E949" s="173"/>
      <c r="F949" s="173"/>
      <c r="G949" s="173"/>
      <c r="H949" s="173"/>
      <c r="I949" s="173"/>
      <c r="J949" s="173"/>
      <c r="K949" s="173"/>
      <c r="L949" s="173"/>
      <c r="M949" s="173"/>
      <c r="N949" s="173"/>
      <c r="O949" s="173"/>
      <c r="P949" s="173"/>
      <c r="Q949" s="173"/>
      <c r="R949" s="173"/>
      <c r="S949" s="173"/>
      <c r="T949" s="173"/>
      <c r="U949" s="173"/>
      <c r="V949" s="173"/>
      <c r="W949" s="173"/>
      <c r="X949" s="173"/>
      <c r="Y949" s="173"/>
      <c r="Z949" s="173"/>
    </row>
    <row r="950" spans="1:26" ht="11.25" customHeight="1">
      <c r="A950" s="173"/>
      <c r="B950" s="207"/>
      <c r="C950" s="208"/>
      <c r="D950" s="244"/>
      <c r="E950" s="173"/>
      <c r="F950" s="173"/>
      <c r="G950" s="173"/>
      <c r="H950" s="173"/>
      <c r="I950" s="173"/>
      <c r="J950" s="173"/>
      <c r="K950" s="173"/>
      <c r="L950" s="173"/>
      <c r="M950" s="173"/>
      <c r="N950" s="173"/>
      <c r="O950" s="173"/>
      <c r="P950" s="173"/>
      <c r="Q950" s="173"/>
      <c r="R950" s="173"/>
      <c r="S950" s="173"/>
      <c r="T950" s="173"/>
      <c r="U950" s="173"/>
      <c r="V950" s="173"/>
      <c r="W950" s="173"/>
      <c r="X950" s="173"/>
      <c r="Y950" s="173"/>
      <c r="Z950" s="173"/>
    </row>
    <row r="951" spans="1:26" ht="11.25" customHeight="1">
      <c r="A951" s="173"/>
      <c r="B951" s="207"/>
      <c r="C951" s="208"/>
      <c r="D951" s="244"/>
      <c r="E951" s="173"/>
      <c r="F951" s="173"/>
      <c r="G951" s="173"/>
      <c r="H951" s="173"/>
      <c r="I951" s="173"/>
      <c r="J951" s="173"/>
      <c r="K951" s="173"/>
      <c r="L951" s="173"/>
      <c r="M951" s="173"/>
      <c r="N951" s="173"/>
      <c r="O951" s="173"/>
      <c r="P951" s="173"/>
      <c r="Q951" s="173"/>
      <c r="R951" s="173"/>
      <c r="S951" s="173"/>
      <c r="T951" s="173"/>
      <c r="U951" s="173"/>
      <c r="V951" s="173"/>
      <c r="W951" s="173"/>
      <c r="X951" s="173"/>
      <c r="Y951" s="173"/>
      <c r="Z951" s="173"/>
    </row>
    <row r="952" spans="1:26" ht="11.25" customHeight="1">
      <c r="A952" s="173"/>
      <c r="B952" s="207"/>
      <c r="C952" s="208"/>
      <c r="D952" s="244"/>
      <c r="E952" s="173"/>
      <c r="F952" s="173"/>
      <c r="G952" s="173"/>
      <c r="H952" s="173"/>
      <c r="I952" s="173"/>
      <c r="J952" s="173"/>
      <c r="K952" s="173"/>
      <c r="L952" s="173"/>
      <c r="M952" s="173"/>
      <c r="N952" s="173"/>
      <c r="O952" s="173"/>
      <c r="P952" s="173"/>
      <c r="Q952" s="173"/>
      <c r="R952" s="173"/>
      <c r="S952" s="173"/>
      <c r="T952" s="173"/>
      <c r="U952" s="173"/>
      <c r="V952" s="173"/>
      <c r="W952" s="173"/>
      <c r="X952" s="173"/>
      <c r="Y952" s="173"/>
      <c r="Z952" s="173"/>
    </row>
    <row r="953" spans="1:26" ht="11.25" customHeight="1">
      <c r="A953" s="173"/>
      <c r="B953" s="207"/>
      <c r="C953" s="208"/>
      <c r="D953" s="244"/>
      <c r="E953" s="173"/>
      <c r="F953" s="173"/>
      <c r="G953" s="173"/>
      <c r="H953" s="173"/>
      <c r="I953" s="173"/>
      <c r="J953" s="173"/>
      <c r="K953" s="173"/>
      <c r="L953" s="173"/>
      <c r="M953" s="173"/>
      <c r="N953" s="173"/>
      <c r="O953" s="173"/>
      <c r="P953" s="173"/>
      <c r="Q953" s="173"/>
      <c r="R953" s="173"/>
      <c r="S953" s="173"/>
      <c r="T953" s="173"/>
      <c r="U953" s="173"/>
      <c r="V953" s="173"/>
      <c r="W953" s="173"/>
      <c r="X953" s="173"/>
      <c r="Y953" s="173"/>
      <c r="Z953" s="173"/>
    </row>
    <row r="954" spans="1:26" ht="11.25" customHeight="1">
      <c r="A954" s="173"/>
      <c r="B954" s="207"/>
      <c r="C954" s="208"/>
      <c r="D954" s="244"/>
      <c r="E954" s="173"/>
      <c r="F954" s="173"/>
      <c r="G954" s="173"/>
      <c r="H954" s="173"/>
      <c r="I954" s="173"/>
      <c r="J954" s="173"/>
      <c r="K954" s="173"/>
      <c r="L954" s="173"/>
      <c r="M954" s="173"/>
      <c r="N954" s="173"/>
      <c r="O954" s="173"/>
      <c r="P954" s="173"/>
      <c r="Q954" s="173"/>
      <c r="R954" s="173"/>
      <c r="S954" s="173"/>
      <c r="T954" s="173"/>
      <c r="U954" s="173"/>
      <c r="V954" s="173"/>
      <c r="W954" s="173"/>
      <c r="X954" s="173"/>
      <c r="Y954" s="173"/>
      <c r="Z954" s="173"/>
    </row>
    <row r="955" spans="1:26" ht="11.25" customHeight="1">
      <c r="A955" s="173"/>
      <c r="B955" s="207"/>
      <c r="C955" s="208"/>
      <c r="D955" s="244"/>
      <c r="E955" s="173"/>
      <c r="F955" s="173"/>
      <c r="G955" s="173"/>
      <c r="H955" s="173"/>
      <c r="I955" s="173"/>
      <c r="J955" s="173"/>
      <c r="K955" s="173"/>
      <c r="L955" s="173"/>
      <c r="M955" s="173"/>
      <c r="N955" s="173"/>
      <c r="O955" s="173"/>
      <c r="P955" s="173"/>
      <c r="Q955" s="173"/>
      <c r="R955" s="173"/>
      <c r="S955" s="173"/>
      <c r="T955" s="173"/>
      <c r="U955" s="173"/>
      <c r="V955" s="173"/>
      <c r="W955" s="173"/>
      <c r="X955" s="173"/>
      <c r="Y955" s="173"/>
      <c r="Z955" s="173"/>
    </row>
    <row r="956" spans="1:26" ht="11.25" customHeight="1">
      <c r="A956" s="173"/>
      <c r="B956" s="207"/>
      <c r="C956" s="208"/>
      <c r="D956" s="244"/>
      <c r="E956" s="173"/>
      <c r="F956" s="173"/>
      <c r="G956" s="173"/>
      <c r="H956" s="173"/>
      <c r="I956" s="173"/>
      <c r="J956" s="173"/>
      <c r="K956" s="173"/>
      <c r="L956" s="173"/>
      <c r="M956" s="173"/>
      <c r="N956" s="173"/>
      <c r="O956" s="173"/>
      <c r="P956" s="173"/>
      <c r="Q956" s="173"/>
      <c r="R956" s="173"/>
      <c r="S956" s="173"/>
      <c r="T956" s="173"/>
      <c r="U956" s="173"/>
      <c r="V956" s="173"/>
      <c r="W956" s="173"/>
      <c r="X956" s="173"/>
      <c r="Y956" s="173"/>
      <c r="Z956" s="173"/>
    </row>
    <row r="957" spans="1:26" ht="11.25" customHeight="1">
      <c r="A957" s="173"/>
      <c r="B957" s="207"/>
      <c r="C957" s="208"/>
      <c r="D957" s="244"/>
      <c r="E957" s="173"/>
      <c r="F957" s="173"/>
      <c r="G957" s="173"/>
      <c r="H957" s="173"/>
      <c r="I957" s="173"/>
      <c r="J957" s="173"/>
      <c r="K957" s="173"/>
      <c r="L957" s="173"/>
      <c r="M957" s="173"/>
      <c r="N957" s="173"/>
      <c r="O957" s="173"/>
      <c r="P957" s="173"/>
      <c r="Q957" s="173"/>
      <c r="R957" s="173"/>
      <c r="S957" s="173"/>
      <c r="T957" s="173"/>
      <c r="U957" s="173"/>
      <c r="V957" s="173"/>
      <c r="W957" s="173"/>
      <c r="X957" s="173"/>
      <c r="Y957" s="173"/>
      <c r="Z957" s="173"/>
    </row>
    <row r="958" spans="1:26" ht="11.25" customHeight="1">
      <c r="A958" s="173"/>
      <c r="B958" s="207"/>
      <c r="C958" s="208"/>
      <c r="D958" s="244"/>
      <c r="E958" s="173"/>
      <c r="F958" s="173"/>
      <c r="G958" s="173"/>
      <c r="H958" s="173"/>
      <c r="I958" s="173"/>
      <c r="J958" s="173"/>
      <c r="K958" s="173"/>
      <c r="L958" s="173"/>
      <c r="M958" s="173"/>
      <c r="N958" s="173"/>
      <c r="O958" s="173"/>
      <c r="P958" s="173"/>
      <c r="Q958" s="173"/>
      <c r="R958" s="173"/>
      <c r="S958" s="173"/>
      <c r="T958" s="173"/>
      <c r="U958" s="173"/>
      <c r="V958" s="173"/>
      <c r="W958" s="173"/>
      <c r="X958" s="173"/>
      <c r="Y958" s="173"/>
      <c r="Z958" s="173"/>
    </row>
    <row r="959" spans="1:26" ht="11.25" customHeight="1">
      <c r="A959" s="173"/>
      <c r="B959" s="207"/>
      <c r="C959" s="208"/>
      <c r="D959" s="244"/>
      <c r="E959" s="173"/>
      <c r="F959" s="173"/>
      <c r="G959" s="173"/>
      <c r="H959" s="173"/>
      <c r="I959" s="173"/>
      <c r="J959" s="173"/>
      <c r="K959" s="173"/>
      <c r="L959" s="173"/>
      <c r="M959" s="173"/>
      <c r="N959" s="173"/>
      <c r="O959" s="173"/>
      <c r="P959" s="173"/>
      <c r="Q959" s="173"/>
      <c r="R959" s="173"/>
      <c r="S959" s="173"/>
      <c r="T959" s="173"/>
      <c r="U959" s="173"/>
      <c r="V959" s="173"/>
      <c r="W959" s="173"/>
      <c r="X959" s="173"/>
      <c r="Y959" s="173"/>
      <c r="Z959" s="173"/>
    </row>
    <row r="960" spans="1:26" ht="11.25" customHeight="1">
      <c r="A960" s="173"/>
      <c r="B960" s="207"/>
      <c r="C960" s="208"/>
      <c r="D960" s="244"/>
      <c r="E960" s="173"/>
      <c r="F960" s="173"/>
      <c r="G960" s="173"/>
      <c r="H960" s="173"/>
      <c r="I960" s="173"/>
      <c r="J960" s="173"/>
      <c r="K960" s="173"/>
      <c r="L960" s="173"/>
      <c r="M960" s="173"/>
      <c r="N960" s="173"/>
      <c r="O960" s="173"/>
      <c r="P960" s="173"/>
      <c r="Q960" s="173"/>
      <c r="R960" s="173"/>
      <c r="S960" s="173"/>
      <c r="T960" s="173"/>
      <c r="U960" s="173"/>
      <c r="V960" s="173"/>
      <c r="W960" s="173"/>
      <c r="X960" s="173"/>
      <c r="Y960" s="173"/>
      <c r="Z960" s="173"/>
    </row>
    <row r="961" spans="1:26" ht="11.25" customHeight="1">
      <c r="A961" s="173"/>
      <c r="B961" s="207"/>
      <c r="C961" s="208"/>
      <c r="D961" s="244"/>
      <c r="E961" s="173"/>
      <c r="F961" s="173"/>
      <c r="G961" s="173"/>
      <c r="H961" s="173"/>
      <c r="I961" s="173"/>
      <c r="J961" s="173"/>
      <c r="K961" s="173"/>
      <c r="L961" s="173"/>
      <c r="M961" s="173"/>
      <c r="N961" s="173"/>
      <c r="O961" s="173"/>
      <c r="P961" s="173"/>
      <c r="Q961" s="173"/>
      <c r="R961" s="173"/>
      <c r="S961" s="173"/>
      <c r="T961" s="173"/>
      <c r="U961" s="173"/>
      <c r="V961" s="173"/>
      <c r="W961" s="173"/>
      <c r="X961" s="173"/>
      <c r="Y961" s="173"/>
      <c r="Z961" s="173"/>
    </row>
    <row r="962" spans="1:26" ht="11.25" customHeight="1">
      <c r="A962" s="173"/>
      <c r="B962" s="207"/>
      <c r="C962" s="208"/>
      <c r="D962" s="244"/>
      <c r="E962" s="173"/>
      <c r="F962" s="173"/>
      <c r="G962" s="173"/>
      <c r="H962" s="173"/>
      <c r="I962" s="173"/>
      <c r="J962" s="173"/>
      <c r="K962" s="173"/>
      <c r="L962" s="173"/>
      <c r="M962" s="173"/>
      <c r="N962" s="173"/>
      <c r="O962" s="173"/>
      <c r="P962" s="173"/>
      <c r="Q962" s="173"/>
      <c r="R962" s="173"/>
      <c r="S962" s="173"/>
      <c r="T962" s="173"/>
      <c r="U962" s="173"/>
      <c r="V962" s="173"/>
      <c r="W962" s="173"/>
      <c r="X962" s="173"/>
      <c r="Y962" s="173"/>
      <c r="Z962" s="173"/>
    </row>
    <row r="963" spans="1:26" ht="11.25" customHeight="1">
      <c r="A963" s="173"/>
      <c r="B963" s="207"/>
      <c r="C963" s="208"/>
      <c r="D963" s="244"/>
      <c r="E963" s="173"/>
      <c r="F963" s="173"/>
      <c r="G963" s="173"/>
      <c r="H963" s="173"/>
      <c r="I963" s="173"/>
      <c r="J963" s="173"/>
      <c r="K963" s="173"/>
      <c r="L963" s="173"/>
      <c r="M963" s="173"/>
      <c r="N963" s="173"/>
      <c r="O963" s="173"/>
      <c r="P963" s="173"/>
      <c r="Q963" s="173"/>
      <c r="R963" s="173"/>
      <c r="S963" s="173"/>
      <c r="T963" s="173"/>
      <c r="U963" s="173"/>
      <c r="V963" s="173"/>
      <c r="W963" s="173"/>
      <c r="X963" s="173"/>
      <c r="Y963" s="173"/>
      <c r="Z963" s="173"/>
    </row>
    <row r="964" spans="1:26" ht="11.25" customHeight="1">
      <c r="A964" s="173"/>
      <c r="B964" s="207"/>
      <c r="C964" s="208"/>
      <c r="D964" s="244"/>
      <c r="E964" s="173"/>
      <c r="F964" s="173"/>
      <c r="G964" s="173"/>
      <c r="H964" s="173"/>
      <c r="I964" s="173"/>
      <c r="J964" s="173"/>
      <c r="K964" s="173"/>
      <c r="L964" s="173"/>
      <c r="M964" s="173"/>
      <c r="N964" s="173"/>
      <c r="O964" s="173"/>
      <c r="P964" s="173"/>
      <c r="Q964" s="173"/>
      <c r="R964" s="173"/>
      <c r="S964" s="173"/>
      <c r="T964" s="173"/>
      <c r="U964" s="173"/>
      <c r="V964" s="173"/>
      <c r="W964" s="173"/>
      <c r="X964" s="173"/>
      <c r="Y964" s="173"/>
      <c r="Z964" s="173"/>
    </row>
    <row r="965" spans="1:26" ht="11.25" customHeight="1">
      <c r="A965" s="173"/>
      <c r="B965" s="207"/>
      <c r="C965" s="208"/>
      <c r="D965" s="244"/>
      <c r="E965" s="173"/>
      <c r="F965" s="173"/>
      <c r="G965" s="173"/>
      <c r="H965" s="173"/>
      <c r="I965" s="173"/>
      <c r="J965" s="173"/>
      <c r="K965" s="173"/>
      <c r="L965" s="173"/>
      <c r="M965" s="173"/>
      <c r="N965" s="173"/>
      <c r="O965" s="173"/>
      <c r="P965" s="173"/>
      <c r="Q965" s="173"/>
      <c r="R965" s="173"/>
      <c r="S965" s="173"/>
      <c r="T965" s="173"/>
      <c r="U965" s="173"/>
      <c r="V965" s="173"/>
      <c r="W965" s="173"/>
      <c r="X965" s="173"/>
      <c r="Y965" s="173"/>
      <c r="Z965" s="173"/>
    </row>
    <row r="966" spans="1:26" ht="11.25" customHeight="1">
      <c r="A966" s="173"/>
      <c r="B966" s="207"/>
      <c r="C966" s="208"/>
      <c r="D966" s="244"/>
      <c r="E966" s="173"/>
      <c r="F966" s="173"/>
      <c r="G966" s="173"/>
      <c r="H966" s="173"/>
      <c r="I966" s="173"/>
      <c r="J966" s="173"/>
      <c r="K966" s="173"/>
      <c r="L966" s="173"/>
      <c r="M966" s="173"/>
      <c r="N966" s="173"/>
      <c r="O966" s="173"/>
      <c r="P966" s="173"/>
      <c r="Q966" s="173"/>
      <c r="R966" s="173"/>
      <c r="S966" s="173"/>
      <c r="T966" s="173"/>
      <c r="U966" s="173"/>
      <c r="V966" s="173"/>
      <c r="W966" s="173"/>
      <c r="X966" s="173"/>
      <c r="Y966" s="173"/>
      <c r="Z966" s="173"/>
    </row>
    <row r="967" spans="1:26" ht="11.25" customHeight="1">
      <c r="A967" s="173"/>
      <c r="B967" s="207"/>
      <c r="C967" s="208"/>
      <c r="D967" s="244"/>
      <c r="E967" s="173"/>
      <c r="F967" s="173"/>
      <c r="G967" s="173"/>
      <c r="H967" s="173"/>
      <c r="I967" s="173"/>
      <c r="J967" s="173"/>
      <c r="K967" s="173"/>
      <c r="L967" s="173"/>
      <c r="M967" s="173"/>
      <c r="N967" s="173"/>
      <c r="O967" s="173"/>
      <c r="P967" s="173"/>
      <c r="Q967" s="173"/>
      <c r="R967" s="173"/>
      <c r="S967" s="173"/>
      <c r="T967" s="173"/>
      <c r="U967" s="173"/>
      <c r="V967" s="173"/>
      <c r="W967" s="173"/>
      <c r="X967" s="173"/>
      <c r="Y967" s="173"/>
      <c r="Z967" s="173"/>
    </row>
    <row r="968" spans="1:26" ht="11.25" customHeight="1">
      <c r="A968" s="173"/>
      <c r="B968" s="207"/>
      <c r="C968" s="208"/>
      <c r="D968" s="244"/>
      <c r="E968" s="173"/>
      <c r="F968" s="173"/>
      <c r="G968" s="173"/>
      <c r="H968" s="173"/>
      <c r="I968" s="173"/>
      <c r="J968" s="173"/>
      <c r="K968" s="173"/>
      <c r="L968" s="173"/>
      <c r="M968" s="173"/>
      <c r="N968" s="173"/>
      <c r="O968" s="173"/>
      <c r="P968" s="173"/>
      <c r="Q968" s="173"/>
      <c r="R968" s="173"/>
      <c r="S968" s="173"/>
      <c r="T968" s="173"/>
      <c r="U968" s="173"/>
      <c r="V968" s="173"/>
      <c r="W968" s="173"/>
      <c r="X968" s="173"/>
      <c r="Y968" s="173"/>
      <c r="Z968" s="173"/>
    </row>
    <row r="969" spans="1:26" ht="11.25" customHeight="1">
      <c r="A969" s="173"/>
      <c r="B969" s="207"/>
      <c r="C969" s="208"/>
      <c r="D969" s="244"/>
      <c r="E969" s="173"/>
      <c r="F969" s="173"/>
      <c r="G969" s="173"/>
      <c r="H969" s="173"/>
      <c r="I969" s="173"/>
      <c r="J969" s="173"/>
      <c r="K969" s="173"/>
      <c r="L969" s="173"/>
      <c r="M969" s="173"/>
      <c r="N969" s="173"/>
      <c r="O969" s="173"/>
      <c r="P969" s="173"/>
      <c r="Q969" s="173"/>
      <c r="R969" s="173"/>
      <c r="S969" s="173"/>
      <c r="T969" s="173"/>
      <c r="U969" s="173"/>
      <c r="V969" s="173"/>
      <c r="W969" s="173"/>
      <c r="X969" s="173"/>
      <c r="Y969" s="173"/>
      <c r="Z969" s="173"/>
    </row>
    <row r="970" spans="1:26" ht="11.25" customHeight="1">
      <c r="A970" s="173"/>
      <c r="B970" s="207"/>
      <c r="C970" s="208"/>
      <c r="D970" s="244"/>
      <c r="E970" s="173"/>
      <c r="F970" s="173"/>
      <c r="G970" s="173"/>
      <c r="H970" s="173"/>
      <c r="I970" s="173"/>
      <c r="J970" s="173"/>
      <c r="K970" s="173"/>
      <c r="L970" s="173"/>
      <c r="M970" s="173"/>
      <c r="N970" s="173"/>
      <c r="O970" s="173"/>
      <c r="P970" s="173"/>
      <c r="Q970" s="173"/>
      <c r="R970" s="173"/>
      <c r="S970" s="173"/>
      <c r="T970" s="173"/>
      <c r="U970" s="173"/>
      <c r="V970" s="173"/>
      <c r="W970" s="173"/>
      <c r="X970" s="173"/>
      <c r="Y970" s="173"/>
      <c r="Z970" s="173"/>
    </row>
    <row r="971" spans="1:26" ht="11.25" customHeight="1">
      <c r="A971" s="173"/>
      <c r="B971" s="207"/>
      <c r="C971" s="208"/>
      <c r="D971" s="244"/>
      <c r="E971" s="173"/>
      <c r="F971" s="173"/>
      <c r="G971" s="173"/>
      <c r="H971" s="173"/>
      <c r="I971" s="173"/>
      <c r="J971" s="173"/>
      <c r="K971" s="173"/>
      <c r="L971" s="173"/>
      <c r="M971" s="173"/>
      <c r="N971" s="173"/>
      <c r="O971" s="173"/>
      <c r="P971" s="173"/>
      <c r="Q971" s="173"/>
      <c r="R971" s="173"/>
      <c r="S971" s="173"/>
      <c r="T971" s="173"/>
      <c r="U971" s="173"/>
      <c r="V971" s="173"/>
      <c r="W971" s="173"/>
      <c r="X971" s="173"/>
      <c r="Y971" s="173"/>
      <c r="Z971" s="173"/>
    </row>
    <row r="972" spans="1:26" ht="11.25" customHeight="1">
      <c r="A972" s="173"/>
      <c r="B972" s="207"/>
      <c r="C972" s="208"/>
      <c r="D972" s="244"/>
      <c r="E972" s="173"/>
      <c r="F972" s="173"/>
      <c r="G972" s="173"/>
      <c r="H972" s="173"/>
      <c r="I972" s="173"/>
      <c r="J972" s="173"/>
      <c r="K972" s="173"/>
      <c r="L972" s="173"/>
      <c r="M972" s="173"/>
      <c r="N972" s="173"/>
      <c r="O972" s="173"/>
      <c r="P972" s="173"/>
      <c r="Q972" s="173"/>
      <c r="R972" s="173"/>
      <c r="S972" s="173"/>
      <c r="T972" s="173"/>
      <c r="U972" s="173"/>
      <c r="V972" s="173"/>
      <c r="W972" s="173"/>
      <c r="X972" s="173"/>
      <c r="Y972" s="173"/>
      <c r="Z972" s="173"/>
    </row>
    <row r="973" spans="1:26" ht="11.25" customHeight="1">
      <c r="A973" s="173"/>
      <c r="B973" s="207"/>
      <c r="C973" s="208"/>
      <c r="D973" s="244"/>
      <c r="E973" s="173"/>
      <c r="F973" s="173"/>
      <c r="G973" s="173"/>
      <c r="H973" s="173"/>
      <c r="I973" s="173"/>
      <c r="J973" s="173"/>
      <c r="K973" s="173"/>
      <c r="L973" s="173"/>
      <c r="M973" s="173"/>
      <c r="N973" s="173"/>
      <c r="O973" s="173"/>
      <c r="P973" s="173"/>
      <c r="Q973" s="173"/>
      <c r="R973" s="173"/>
      <c r="S973" s="173"/>
      <c r="T973" s="173"/>
      <c r="U973" s="173"/>
      <c r="V973" s="173"/>
      <c r="W973" s="173"/>
      <c r="X973" s="173"/>
      <c r="Y973" s="173"/>
      <c r="Z973" s="173"/>
    </row>
    <row r="974" spans="1:26" ht="11.25" customHeight="1">
      <c r="A974" s="173"/>
      <c r="B974" s="207"/>
      <c r="C974" s="208"/>
      <c r="D974" s="244"/>
      <c r="E974" s="173"/>
      <c r="F974" s="173"/>
      <c r="G974" s="173"/>
      <c r="H974" s="173"/>
      <c r="I974" s="173"/>
      <c r="J974" s="173"/>
      <c r="K974" s="173"/>
      <c r="L974" s="173"/>
      <c r="M974" s="173"/>
      <c r="N974" s="173"/>
      <c r="O974" s="173"/>
      <c r="P974" s="173"/>
      <c r="Q974" s="173"/>
      <c r="R974" s="173"/>
      <c r="S974" s="173"/>
      <c r="T974" s="173"/>
      <c r="U974" s="173"/>
      <c r="V974" s="173"/>
      <c r="W974" s="173"/>
      <c r="X974" s="173"/>
      <c r="Y974" s="173"/>
      <c r="Z974" s="173"/>
    </row>
    <row r="975" spans="1:26" ht="11.25" customHeight="1">
      <c r="A975" s="173"/>
      <c r="B975" s="207"/>
      <c r="C975" s="208"/>
      <c r="D975" s="244"/>
      <c r="E975" s="173"/>
      <c r="F975" s="173"/>
      <c r="G975" s="173"/>
      <c r="H975" s="173"/>
      <c r="I975" s="173"/>
      <c r="J975" s="173"/>
      <c r="K975" s="173"/>
      <c r="L975" s="173"/>
      <c r="M975" s="173"/>
      <c r="N975" s="173"/>
      <c r="O975" s="173"/>
      <c r="P975" s="173"/>
      <c r="Q975" s="173"/>
      <c r="R975" s="173"/>
      <c r="S975" s="173"/>
      <c r="T975" s="173"/>
      <c r="U975" s="173"/>
      <c r="V975" s="173"/>
      <c r="W975" s="173"/>
      <c r="X975" s="173"/>
      <c r="Y975" s="173"/>
      <c r="Z975" s="173"/>
    </row>
    <row r="976" spans="1:26" ht="11.25" customHeight="1">
      <c r="A976" s="173"/>
      <c r="B976" s="207"/>
      <c r="C976" s="208"/>
      <c r="D976" s="244"/>
      <c r="E976" s="173"/>
      <c r="F976" s="173"/>
      <c r="G976" s="173"/>
      <c r="H976" s="173"/>
      <c r="I976" s="173"/>
      <c r="J976" s="173"/>
      <c r="K976" s="173"/>
      <c r="L976" s="173"/>
      <c r="M976" s="173"/>
      <c r="N976" s="173"/>
      <c r="O976" s="173"/>
      <c r="P976" s="173"/>
      <c r="Q976" s="173"/>
      <c r="R976" s="173"/>
      <c r="S976" s="173"/>
      <c r="T976" s="173"/>
      <c r="U976" s="173"/>
      <c r="V976" s="173"/>
      <c r="W976" s="173"/>
      <c r="X976" s="173"/>
      <c r="Y976" s="173"/>
      <c r="Z976" s="173"/>
    </row>
    <row r="977" spans="1:26" ht="11.25" customHeight="1">
      <c r="A977" s="173"/>
      <c r="B977" s="207"/>
      <c r="C977" s="208"/>
      <c r="D977" s="244"/>
      <c r="E977" s="173"/>
      <c r="F977" s="173"/>
      <c r="G977" s="173"/>
      <c r="H977" s="173"/>
      <c r="I977" s="173"/>
      <c r="J977" s="173"/>
      <c r="K977" s="173"/>
      <c r="L977" s="173"/>
      <c r="M977" s="173"/>
      <c r="N977" s="173"/>
      <c r="O977" s="173"/>
      <c r="P977" s="173"/>
      <c r="Q977" s="173"/>
      <c r="R977" s="173"/>
      <c r="S977" s="173"/>
      <c r="T977" s="173"/>
      <c r="U977" s="173"/>
      <c r="V977" s="173"/>
      <c r="W977" s="173"/>
      <c r="X977" s="173"/>
      <c r="Y977" s="173"/>
      <c r="Z977" s="173"/>
    </row>
    <row r="978" spans="1:26" ht="11.25" customHeight="1">
      <c r="A978" s="173"/>
      <c r="B978" s="207"/>
      <c r="C978" s="208"/>
      <c r="D978" s="244"/>
      <c r="E978" s="173"/>
      <c r="F978" s="173"/>
      <c r="G978" s="173"/>
      <c r="H978" s="173"/>
      <c r="I978" s="173"/>
      <c r="J978" s="173"/>
      <c r="K978" s="173"/>
      <c r="L978" s="173"/>
      <c r="M978" s="173"/>
      <c r="N978" s="173"/>
      <c r="O978" s="173"/>
      <c r="P978" s="173"/>
      <c r="Q978" s="173"/>
      <c r="R978" s="173"/>
      <c r="S978" s="173"/>
      <c r="T978" s="173"/>
      <c r="U978" s="173"/>
      <c r="V978" s="173"/>
      <c r="W978" s="173"/>
      <c r="X978" s="173"/>
      <c r="Y978" s="173"/>
      <c r="Z978" s="173"/>
    </row>
    <row r="979" spans="1:26" ht="11.25" customHeight="1">
      <c r="A979" s="173"/>
      <c r="B979" s="207"/>
      <c r="C979" s="208"/>
      <c r="D979" s="244"/>
      <c r="E979" s="173"/>
      <c r="F979" s="173"/>
      <c r="G979" s="173"/>
      <c r="H979" s="173"/>
      <c r="I979" s="173"/>
      <c r="J979" s="173"/>
      <c r="K979" s="173"/>
      <c r="L979" s="173"/>
      <c r="M979" s="173"/>
      <c r="N979" s="173"/>
      <c r="O979" s="173"/>
      <c r="P979" s="173"/>
      <c r="Q979" s="173"/>
      <c r="R979" s="173"/>
      <c r="S979" s="173"/>
      <c r="T979" s="173"/>
      <c r="U979" s="173"/>
      <c r="V979" s="173"/>
      <c r="W979" s="173"/>
      <c r="X979" s="173"/>
      <c r="Y979" s="173"/>
      <c r="Z979" s="173"/>
    </row>
    <row r="980" spans="1:26" ht="11.25" customHeight="1">
      <c r="A980" s="173"/>
      <c r="B980" s="207"/>
      <c r="C980" s="208"/>
      <c r="D980" s="244"/>
      <c r="E980" s="173"/>
      <c r="F980" s="173"/>
      <c r="G980" s="173"/>
      <c r="H980" s="173"/>
      <c r="I980" s="173"/>
      <c r="J980" s="173"/>
      <c r="K980" s="173"/>
      <c r="L980" s="173"/>
      <c r="M980" s="173"/>
      <c r="N980" s="173"/>
      <c r="O980" s="173"/>
      <c r="P980" s="173"/>
      <c r="Q980" s="173"/>
      <c r="R980" s="173"/>
      <c r="S980" s="173"/>
      <c r="T980" s="173"/>
      <c r="U980" s="173"/>
      <c r="V980" s="173"/>
      <c r="W980" s="173"/>
      <c r="X980" s="173"/>
      <c r="Y980" s="173"/>
      <c r="Z980" s="173"/>
    </row>
    <row r="981" spans="1:26" ht="11.25" customHeight="1">
      <c r="A981" s="173"/>
      <c r="B981" s="207"/>
      <c r="C981" s="208"/>
      <c r="D981" s="244"/>
      <c r="E981" s="173"/>
      <c r="F981" s="173"/>
      <c r="G981" s="173"/>
      <c r="H981" s="173"/>
      <c r="I981" s="173"/>
      <c r="J981" s="173"/>
      <c r="K981" s="173"/>
      <c r="L981" s="173"/>
      <c r="M981" s="173"/>
      <c r="N981" s="173"/>
      <c r="O981" s="173"/>
      <c r="P981" s="173"/>
      <c r="Q981" s="173"/>
      <c r="R981" s="173"/>
      <c r="S981" s="173"/>
      <c r="T981" s="173"/>
      <c r="U981" s="173"/>
      <c r="V981" s="173"/>
      <c r="W981" s="173"/>
      <c r="X981" s="173"/>
      <c r="Y981" s="173"/>
      <c r="Z981" s="173"/>
    </row>
    <row r="982" spans="1:26" ht="11.25" customHeight="1">
      <c r="A982" s="173"/>
      <c r="B982" s="207"/>
      <c r="C982" s="208"/>
      <c r="D982" s="244"/>
      <c r="E982" s="173"/>
      <c r="F982" s="173"/>
      <c r="G982" s="173"/>
      <c r="H982" s="173"/>
      <c r="I982" s="173"/>
      <c r="J982" s="173"/>
      <c r="K982" s="173"/>
      <c r="L982" s="173"/>
      <c r="M982" s="173"/>
      <c r="N982" s="173"/>
      <c r="O982" s="173"/>
      <c r="P982" s="173"/>
      <c r="Q982" s="173"/>
      <c r="R982" s="173"/>
      <c r="S982" s="173"/>
      <c r="T982" s="173"/>
      <c r="U982" s="173"/>
      <c r="V982" s="173"/>
      <c r="W982" s="173"/>
      <c r="X982" s="173"/>
      <c r="Y982" s="173"/>
      <c r="Z982" s="173"/>
    </row>
    <row r="983" spans="1:26" ht="11.25" customHeight="1">
      <c r="A983" s="173"/>
      <c r="B983" s="207"/>
      <c r="C983" s="208"/>
      <c r="D983" s="244"/>
      <c r="E983" s="173"/>
      <c r="F983" s="173"/>
      <c r="G983" s="173"/>
      <c r="H983" s="173"/>
      <c r="I983" s="173"/>
      <c r="J983" s="173"/>
      <c r="K983" s="173"/>
      <c r="L983" s="173"/>
      <c r="M983" s="173"/>
      <c r="N983" s="173"/>
      <c r="O983" s="173"/>
      <c r="P983" s="173"/>
      <c r="Q983" s="173"/>
      <c r="R983" s="173"/>
      <c r="S983" s="173"/>
      <c r="T983" s="173"/>
      <c r="U983" s="173"/>
      <c r="V983" s="173"/>
      <c r="W983" s="173"/>
      <c r="X983" s="173"/>
      <c r="Y983" s="173"/>
      <c r="Z983" s="173"/>
    </row>
    <row r="984" spans="1:26" ht="11.25" customHeight="1">
      <c r="A984" s="173"/>
      <c r="B984" s="207"/>
      <c r="C984" s="208"/>
      <c r="D984" s="244"/>
      <c r="E984" s="173"/>
      <c r="F984" s="173"/>
      <c r="G984" s="173"/>
      <c r="H984" s="173"/>
      <c r="I984" s="173"/>
      <c r="J984" s="173"/>
      <c r="K984" s="173"/>
      <c r="L984" s="173"/>
      <c r="M984" s="173"/>
      <c r="N984" s="173"/>
      <c r="O984" s="173"/>
      <c r="P984" s="173"/>
      <c r="Q984" s="173"/>
      <c r="R984" s="173"/>
      <c r="S984" s="173"/>
      <c r="T984" s="173"/>
      <c r="U984" s="173"/>
      <c r="V984" s="173"/>
      <c r="W984" s="173"/>
      <c r="X984" s="173"/>
      <c r="Y984" s="173"/>
      <c r="Z984" s="173"/>
    </row>
    <row r="985" spans="1:26" ht="11.25" customHeight="1">
      <c r="A985" s="173"/>
      <c r="B985" s="207"/>
      <c r="C985" s="208"/>
      <c r="D985" s="244"/>
      <c r="E985" s="173"/>
      <c r="F985" s="173"/>
      <c r="G985" s="173"/>
      <c r="H985" s="173"/>
      <c r="I985" s="173"/>
      <c r="J985" s="173"/>
      <c r="K985" s="173"/>
      <c r="L985" s="173"/>
      <c r="M985" s="173"/>
      <c r="N985" s="173"/>
      <c r="O985" s="173"/>
      <c r="P985" s="173"/>
      <c r="Q985" s="173"/>
      <c r="R985" s="173"/>
      <c r="S985" s="173"/>
      <c r="T985" s="173"/>
      <c r="U985" s="173"/>
      <c r="V985" s="173"/>
      <c r="W985" s="173"/>
      <c r="X985" s="173"/>
      <c r="Y985" s="173"/>
      <c r="Z985" s="173"/>
    </row>
    <row r="986" spans="1:26" ht="11.25" customHeight="1">
      <c r="A986" s="173"/>
      <c r="B986" s="207"/>
      <c r="C986" s="208"/>
      <c r="D986" s="244"/>
      <c r="E986" s="173"/>
      <c r="F986" s="173"/>
      <c r="G986" s="173"/>
      <c r="H986" s="173"/>
      <c r="I986" s="173"/>
      <c r="J986" s="173"/>
      <c r="K986" s="173"/>
      <c r="L986" s="173"/>
      <c r="M986" s="173"/>
      <c r="N986" s="173"/>
      <c r="O986" s="173"/>
      <c r="P986" s="173"/>
      <c r="Q986" s="173"/>
      <c r="R986" s="173"/>
      <c r="S986" s="173"/>
      <c r="T986" s="173"/>
      <c r="U986" s="173"/>
      <c r="V986" s="173"/>
      <c r="W986" s="173"/>
      <c r="X986" s="173"/>
      <c r="Y986" s="173"/>
      <c r="Z986" s="173"/>
    </row>
    <row r="987" spans="1:26" ht="11.25" customHeight="1">
      <c r="A987" s="173"/>
      <c r="B987" s="207"/>
      <c r="C987" s="208"/>
      <c r="D987" s="244"/>
      <c r="E987" s="173"/>
      <c r="F987" s="173"/>
      <c r="G987" s="173"/>
      <c r="H987" s="173"/>
      <c r="I987" s="173"/>
      <c r="J987" s="173"/>
      <c r="K987" s="173"/>
      <c r="L987" s="173"/>
      <c r="M987" s="173"/>
      <c r="N987" s="173"/>
      <c r="O987" s="173"/>
      <c r="P987" s="173"/>
      <c r="Q987" s="173"/>
      <c r="R987" s="173"/>
      <c r="S987" s="173"/>
      <c r="T987" s="173"/>
      <c r="U987" s="173"/>
      <c r="V987" s="173"/>
      <c r="W987" s="173"/>
      <c r="X987" s="173"/>
      <c r="Y987" s="173"/>
      <c r="Z987" s="173"/>
    </row>
    <row r="988" spans="1:26" ht="11.25" customHeight="1">
      <c r="A988" s="173"/>
      <c r="B988" s="207"/>
      <c r="C988" s="208"/>
      <c r="D988" s="244"/>
      <c r="E988" s="173"/>
      <c r="F988" s="173"/>
      <c r="G988" s="173"/>
      <c r="H988" s="173"/>
      <c r="I988" s="173"/>
      <c r="J988" s="173"/>
      <c r="K988" s="173"/>
      <c r="L988" s="173"/>
      <c r="M988" s="173"/>
      <c r="N988" s="173"/>
      <c r="O988" s="173"/>
      <c r="P988" s="173"/>
      <c r="Q988" s="173"/>
      <c r="R988" s="173"/>
      <c r="S988" s="173"/>
      <c r="T988" s="173"/>
      <c r="U988" s="173"/>
      <c r="V988" s="173"/>
      <c r="W988" s="173"/>
      <c r="X988" s="173"/>
      <c r="Y988" s="173"/>
      <c r="Z988" s="173"/>
    </row>
    <row r="989" spans="1:26" ht="11.25" customHeight="1">
      <c r="A989" s="173"/>
      <c r="B989" s="207"/>
      <c r="C989" s="208"/>
      <c r="D989" s="244"/>
      <c r="E989" s="173"/>
      <c r="F989" s="173"/>
      <c r="G989" s="173"/>
      <c r="H989" s="173"/>
      <c r="I989" s="173"/>
      <c r="J989" s="173"/>
      <c r="K989" s="173"/>
      <c r="L989" s="173"/>
      <c r="M989" s="173"/>
      <c r="N989" s="173"/>
      <c r="O989" s="173"/>
      <c r="P989" s="173"/>
      <c r="Q989" s="173"/>
      <c r="R989" s="173"/>
      <c r="S989" s="173"/>
      <c r="T989" s="173"/>
      <c r="U989" s="173"/>
      <c r="V989" s="173"/>
      <c r="W989" s="173"/>
      <c r="X989" s="173"/>
      <c r="Y989" s="173"/>
      <c r="Z989" s="173"/>
    </row>
    <row r="990" spans="1:26" ht="11.25" customHeight="1">
      <c r="A990" s="173"/>
      <c r="B990" s="207"/>
      <c r="C990" s="208"/>
      <c r="D990" s="244"/>
      <c r="E990" s="173"/>
      <c r="F990" s="173"/>
      <c r="G990" s="173"/>
      <c r="H990" s="173"/>
      <c r="I990" s="173"/>
      <c r="J990" s="173"/>
      <c r="K990" s="173"/>
      <c r="L990" s="173"/>
      <c r="M990" s="173"/>
      <c r="N990" s="173"/>
      <c r="O990" s="173"/>
      <c r="P990" s="173"/>
      <c r="Q990" s="173"/>
      <c r="R990" s="173"/>
      <c r="S990" s="173"/>
      <c r="T990" s="173"/>
      <c r="U990" s="173"/>
      <c r="V990" s="173"/>
      <c r="W990" s="173"/>
      <c r="X990" s="173"/>
      <c r="Y990" s="173"/>
      <c r="Z990" s="173"/>
    </row>
    <row r="991" spans="1:26" ht="11.25" customHeight="1">
      <c r="A991" s="173"/>
      <c r="B991" s="207"/>
      <c r="C991" s="208"/>
      <c r="D991" s="244"/>
      <c r="E991" s="173"/>
      <c r="F991" s="173"/>
      <c r="G991" s="173"/>
      <c r="H991" s="173"/>
      <c r="I991" s="173"/>
      <c r="J991" s="173"/>
      <c r="K991" s="173"/>
      <c r="L991" s="173"/>
      <c r="M991" s="173"/>
      <c r="N991" s="173"/>
      <c r="O991" s="173"/>
      <c r="P991" s="173"/>
      <c r="Q991" s="173"/>
      <c r="R991" s="173"/>
      <c r="S991" s="173"/>
      <c r="T991" s="173"/>
      <c r="U991" s="173"/>
      <c r="V991" s="173"/>
      <c r="W991" s="173"/>
      <c r="X991" s="173"/>
      <c r="Y991" s="173"/>
      <c r="Z991" s="173"/>
    </row>
    <row r="992" spans="1:26" ht="11.25" customHeight="1">
      <c r="A992" s="173"/>
      <c r="B992" s="207"/>
      <c r="C992" s="208"/>
      <c r="D992" s="244"/>
      <c r="E992" s="173"/>
      <c r="F992" s="173"/>
      <c r="G992" s="173"/>
      <c r="H992" s="173"/>
      <c r="I992" s="173"/>
      <c r="J992" s="173"/>
      <c r="K992" s="173"/>
      <c r="L992" s="173"/>
      <c r="M992" s="173"/>
      <c r="N992" s="173"/>
      <c r="O992" s="173"/>
      <c r="P992" s="173"/>
      <c r="Q992" s="173"/>
      <c r="R992" s="173"/>
      <c r="S992" s="173"/>
      <c r="T992" s="173"/>
      <c r="U992" s="173"/>
      <c r="V992" s="173"/>
      <c r="W992" s="173"/>
      <c r="X992" s="173"/>
      <c r="Y992" s="173"/>
      <c r="Z992" s="173"/>
    </row>
    <row r="993" spans="1:26" ht="11.25" customHeight="1">
      <c r="A993" s="173"/>
      <c r="B993" s="207"/>
      <c r="C993" s="208"/>
      <c r="D993" s="244"/>
      <c r="E993" s="173"/>
      <c r="F993" s="173"/>
      <c r="G993" s="173"/>
      <c r="H993" s="173"/>
      <c r="I993" s="173"/>
      <c r="J993" s="173"/>
      <c r="K993" s="173"/>
      <c r="L993" s="173"/>
      <c r="M993" s="173"/>
      <c r="N993" s="173"/>
      <c r="O993" s="173"/>
      <c r="P993" s="173"/>
      <c r="Q993" s="173"/>
      <c r="R993" s="173"/>
      <c r="S993" s="173"/>
      <c r="T993" s="173"/>
      <c r="U993" s="173"/>
      <c r="V993" s="173"/>
      <c r="W993" s="173"/>
      <c r="X993" s="173"/>
      <c r="Y993" s="173"/>
      <c r="Z993" s="173"/>
    </row>
    <row r="994" spans="1:26" ht="11.25" customHeight="1">
      <c r="A994" s="173"/>
      <c r="B994" s="207"/>
      <c r="C994" s="208"/>
      <c r="D994" s="244"/>
      <c r="E994" s="173"/>
      <c r="F994" s="173"/>
      <c r="G994" s="173"/>
      <c r="H994" s="173"/>
      <c r="I994" s="173"/>
      <c r="J994" s="173"/>
      <c r="K994" s="173"/>
      <c r="L994" s="173"/>
      <c r="M994" s="173"/>
      <c r="N994" s="173"/>
      <c r="O994" s="173"/>
      <c r="P994" s="173"/>
      <c r="Q994" s="173"/>
      <c r="R994" s="173"/>
      <c r="S994" s="173"/>
      <c r="T994" s="173"/>
      <c r="U994" s="173"/>
      <c r="V994" s="173"/>
      <c r="W994" s="173"/>
      <c r="X994" s="173"/>
      <c r="Y994" s="173"/>
      <c r="Z994" s="173"/>
    </row>
    <row r="995" spans="1:26" ht="11.25" customHeight="1">
      <c r="A995" s="173"/>
      <c r="B995" s="207"/>
      <c r="C995" s="208"/>
      <c r="D995" s="244"/>
      <c r="E995" s="173"/>
      <c r="F995" s="173"/>
      <c r="G995" s="173"/>
      <c r="H995" s="173"/>
      <c r="I995" s="173"/>
      <c r="J995" s="173"/>
      <c r="K995" s="173"/>
      <c r="L995" s="173"/>
      <c r="M995" s="173"/>
      <c r="N995" s="173"/>
      <c r="O995" s="173"/>
      <c r="P995" s="173"/>
      <c r="Q995" s="173"/>
      <c r="R995" s="173"/>
      <c r="S995" s="173"/>
      <c r="T995" s="173"/>
      <c r="U995" s="173"/>
      <c r="V995" s="173"/>
      <c r="W995" s="173"/>
      <c r="X995" s="173"/>
      <c r="Y995" s="173"/>
      <c r="Z995" s="173"/>
    </row>
    <row r="996" spans="1:26" ht="11.25" customHeight="1">
      <c r="A996" s="173"/>
      <c r="B996" s="207"/>
      <c r="C996" s="208"/>
      <c r="D996" s="244"/>
      <c r="E996" s="173"/>
      <c r="F996" s="173"/>
      <c r="G996" s="173"/>
      <c r="H996" s="173"/>
      <c r="I996" s="173"/>
      <c r="J996" s="173"/>
      <c r="K996" s="173"/>
      <c r="L996" s="173"/>
      <c r="M996" s="173"/>
      <c r="N996" s="173"/>
      <c r="O996" s="173"/>
      <c r="P996" s="173"/>
      <c r="Q996" s="173"/>
      <c r="R996" s="173"/>
      <c r="S996" s="173"/>
      <c r="T996" s="173"/>
      <c r="U996" s="173"/>
      <c r="V996" s="173"/>
      <c r="W996" s="173"/>
      <c r="X996" s="173"/>
      <c r="Y996" s="173"/>
      <c r="Z996" s="173"/>
    </row>
    <row r="997" spans="1:26" ht="11.25" customHeight="1">
      <c r="A997" s="173"/>
      <c r="B997" s="207"/>
      <c r="C997" s="208"/>
      <c r="D997" s="244"/>
      <c r="E997" s="173"/>
      <c r="F997" s="173"/>
      <c r="G997" s="173"/>
      <c r="H997" s="173"/>
      <c r="I997" s="173"/>
      <c r="J997" s="173"/>
      <c r="K997" s="173"/>
      <c r="L997" s="173"/>
      <c r="M997" s="173"/>
      <c r="N997" s="173"/>
      <c r="O997" s="173"/>
      <c r="P997" s="173"/>
      <c r="Q997" s="173"/>
      <c r="R997" s="173"/>
      <c r="S997" s="173"/>
      <c r="T997" s="173"/>
      <c r="U997" s="173"/>
      <c r="V997" s="173"/>
      <c r="W997" s="173"/>
      <c r="X997" s="173"/>
      <c r="Y997" s="173"/>
      <c r="Z997" s="173"/>
    </row>
    <row r="998" spans="1:26" ht="11.25" customHeight="1">
      <c r="A998" s="173"/>
      <c r="B998" s="207"/>
      <c r="C998" s="208"/>
      <c r="D998" s="244"/>
      <c r="E998" s="173"/>
      <c r="F998" s="173"/>
      <c r="G998" s="173"/>
      <c r="H998" s="173"/>
      <c r="I998" s="173"/>
      <c r="J998" s="173"/>
      <c r="K998" s="173"/>
      <c r="L998" s="173"/>
      <c r="M998" s="173"/>
      <c r="N998" s="173"/>
      <c r="O998" s="173"/>
      <c r="P998" s="173"/>
      <c r="Q998" s="173"/>
      <c r="R998" s="173"/>
      <c r="S998" s="173"/>
      <c r="T998" s="173"/>
      <c r="U998" s="173"/>
      <c r="V998" s="173"/>
      <c r="W998" s="173"/>
      <c r="X998" s="173"/>
      <c r="Y998" s="173"/>
      <c r="Z998" s="173"/>
    </row>
    <row r="999" spans="1:26" ht="11.25" customHeight="1">
      <c r="A999" s="173"/>
      <c r="B999" s="207"/>
      <c r="C999" s="208"/>
      <c r="D999" s="244"/>
      <c r="E999" s="173"/>
      <c r="F999" s="173"/>
      <c r="G999" s="173"/>
      <c r="H999" s="173"/>
      <c r="I999" s="173"/>
      <c r="J999" s="173"/>
      <c r="K999" s="173"/>
      <c r="L999" s="173"/>
      <c r="M999" s="173"/>
      <c r="N999" s="173"/>
      <c r="O999" s="173"/>
      <c r="P999" s="173"/>
      <c r="Q999" s="173"/>
      <c r="R999" s="173"/>
      <c r="S999" s="173"/>
      <c r="T999" s="173"/>
      <c r="U999" s="173"/>
      <c r="V999" s="173"/>
      <c r="W999" s="173"/>
      <c r="X999" s="173"/>
      <c r="Y999" s="173"/>
      <c r="Z999" s="173"/>
    </row>
    <row r="1000" spans="1:26" ht="11.25" customHeight="1">
      <c r="A1000" s="173"/>
      <c r="B1000" s="207"/>
      <c r="C1000" s="208"/>
      <c r="D1000" s="244"/>
      <c r="E1000" s="173"/>
      <c r="F1000" s="173"/>
      <c r="G1000" s="173"/>
      <c r="H1000" s="173"/>
      <c r="I1000" s="173"/>
      <c r="J1000" s="173"/>
      <c r="K1000" s="173"/>
      <c r="L1000" s="173"/>
      <c r="M1000" s="173"/>
      <c r="N1000" s="173"/>
      <c r="O1000" s="173"/>
      <c r="P1000" s="173"/>
      <c r="Q1000" s="173"/>
      <c r="R1000" s="173"/>
      <c r="S1000" s="173"/>
      <c r="T1000" s="173"/>
      <c r="U1000" s="173"/>
      <c r="V1000" s="173"/>
      <c r="W1000" s="173"/>
      <c r="X1000" s="173"/>
      <c r="Y1000" s="173"/>
      <c r="Z1000" s="173"/>
    </row>
  </sheetData>
  <autoFilter ref="A1:R112" xr:uid="{00000000-0009-0000-0000-00000B000000}"/>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Terrorism</vt:lpstr>
      <vt:lpstr>Atlas Carta</vt:lpstr>
      <vt:lpstr>Terrorism NSSC 48-63</vt:lpstr>
      <vt:lpstr>Geocoding</vt:lpstr>
      <vt:lpstr>Terrorism Combined</vt:lpstr>
      <vt:lpstr>Terrorism Combined Edited</vt:lpstr>
      <vt:lpstr>Terrorism and Reprisals Combine</vt:lpstr>
      <vt:lpstr>Reprisals Omer</vt:lpstr>
      <vt:lpstr>Reprisals Combined (Shivangi)</vt:lpstr>
      <vt:lpstr>Reprisals Paratroopers</vt:lpstr>
      <vt:lpstr>Geocoding (1)</vt:lpstr>
      <vt:lpstr>Copy of Reprisals Combined (Shi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2020-01-01T12:14:34Z</dcterms:created>
  <dcterms:modified xsi:type="dcterms:W3CDTF">2020-01-01T12:14:34Z</dcterms:modified>
</cp:coreProperties>
</file>